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mblingcommission-my.sharepoint.com/personal/smurphy_gamblingcommission_gov_uk/Documents/Code/Python/YouGov Finance/Code/gambling-spend-displacement/lookups/"/>
    </mc:Choice>
  </mc:AlternateContent>
  <xr:revisionPtr revIDLastSave="369" documentId="8_{660F984B-ED45-43D5-ADAC-987E1B8FF93F}" xr6:coauthVersionLast="47" xr6:coauthVersionMax="47" xr10:uidLastSave="{2BFE9C9D-8BB3-47BB-A535-3AFEB0B7A9FF}"/>
  <bookViews>
    <workbookView xWindow="-13476" yWindow="-17388" windowWidth="30936" windowHeight="16776" activeTab="1" xr2:uid="{30F133CF-6F10-4845-B249-CC310C7F49AE}"/>
  </bookViews>
  <sheets>
    <sheet name="CPA_COICOP_map" sheetId="1" r:id="rId1"/>
    <sheet name="Effects" sheetId="2" r:id="rId2"/>
    <sheet name="IOT" sheetId="6" state="hidden" r:id="rId3"/>
  </sheets>
  <externalReferences>
    <externalReference r:id="rId4"/>
    <externalReference r:id="rId5"/>
    <externalReference r:id="rId6"/>
  </externalReferences>
  <definedNames>
    <definedName name="_xlnm._FilterDatabase" localSheetId="0" hidden="1">CPA_COICOP_map!$A$1:$I$252</definedName>
    <definedName name="_xlnm._FilterDatabase" localSheetId="1" hidden="1">Effects!$A$1:$K$106</definedName>
    <definedName name="_xlnm._FilterDatabase" localSheetId="2" hidden="1">IOT!$A$6:$DO$120</definedName>
    <definedName name="CDIDs_x">#REF!</definedName>
    <definedName name="conf_status_code" localSheetId="2">#REF!</definedName>
    <definedName name="conf_status_code">#REF!</definedName>
    <definedName name="CSDB_data">#REF!</definedName>
    <definedName name="CSDB_download">'[1]download cpsa'!$A$4:$GX$1205</definedName>
    <definedName name="CSDB_download_x">'[1]download cpsa'!$A$4:$GX$4</definedName>
    <definedName name="CSDB_download_y">'[1]download cpsa'!$A$4:$A$1205</definedName>
    <definedName name="Date_y">#REF!</definedName>
    <definedName name="Obs_conf_code">[2]table_id!$II$2:$II$6</definedName>
    <definedName name="obs_status_code" hidden="1">'[3]1500'!#REF!</definedName>
    <definedName name="organisation_code" localSheetId="2">#REF!</definedName>
    <definedName name="organisation_code">#REF!</definedName>
    <definedName name="Price_Code" localSheetId="2">#REF!</definedName>
    <definedName name="Price_Code">#REF!</definedName>
    <definedName name="Price_Codes" localSheetId="2">#REF!</definedName>
    <definedName name="Price_Codes">#REF!</definedName>
    <definedName name="Prices_codes">[2]table_id!$IO$2:$IO$4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" i="1"/>
  <c r="DO3" i="6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" i="1"/>
</calcChain>
</file>

<file path=xl/sharedStrings.xml><?xml version="1.0" encoding="utf-8"?>
<sst xmlns="http://schemas.openxmlformats.org/spreadsheetml/2006/main" count="1507" uniqueCount="377">
  <si>
    <t>COICOP</t>
  </si>
  <si>
    <t>CPA</t>
  </si>
  <si>
    <t>CPA Weight in COICOP</t>
  </si>
  <si>
    <t>Proportion of CPA in each COICOP</t>
  </si>
  <si>
    <t>01.1.1</t>
  </si>
  <si>
    <t>01.1.2</t>
  </si>
  <si>
    <t>01.1.3</t>
  </si>
  <si>
    <t>10.2-3</t>
  </si>
  <si>
    <t>01.1.4</t>
  </si>
  <si>
    <t>01.1.5</t>
  </si>
  <si>
    <t>01.1.6</t>
  </si>
  <si>
    <t>01.1.7</t>
  </si>
  <si>
    <t>01.1.8</t>
  </si>
  <si>
    <t>01.1.9</t>
  </si>
  <si>
    <t>01.2.1</t>
  </si>
  <si>
    <t>01.2.2</t>
  </si>
  <si>
    <t>02.1.1</t>
  </si>
  <si>
    <t>11.01-6</t>
  </si>
  <si>
    <t>02.1.2</t>
  </si>
  <si>
    <t>02.1.3</t>
  </si>
  <si>
    <t>03.1.1</t>
  </si>
  <si>
    <t>03.1.2</t>
  </si>
  <si>
    <t>03.1.3</t>
  </si>
  <si>
    <t>03.1.4</t>
  </si>
  <si>
    <t>03.2.1</t>
  </si>
  <si>
    <t>03.2.2</t>
  </si>
  <si>
    <t>04.1.1</t>
  </si>
  <si>
    <t>68.1-2</t>
  </si>
  <si>
    <t>04.1.2</t>
  </si>
  <si>
    <t>04.2.1</t>
  </si>
  <si>
    <t>68.2IMP</t>
  </si>
  <si>
    <t>04.2.2</t>
  </si>
  <si>
    <t>04.3.1</t>
  </si>
  <si>
    <t>23OTHER</t>
  </si>
  <si>
    <t>23.5-6</t>
  </si>
  <si>
    <t>24.4-5</t>
  </si>
  <si>
    <t>25OTHER</t>
  </si>
  <si>
    <t>04.3.2</t>
  </si>
  <si>
    <t>04.4.1</t>
  </si>
  <si>
    <t>04.4.2</t>
  </si>
  <si>
    <t>04.4.3</t>
  </si>
  <si>
    <t>04.4.4</t>
  </si>
  <si>
    <t>04.5.1</t>
  </si>
  <si>
    <t>04.5.2</t>
  </si>
  <si>
    <t>35.2-3</t>
  </si>
  <si>
    <t>04.5.3</t>
  </si>
  <si>
    <t>04.5.4</t>
  </si>
  <si>
    <t>04.5.5</t>
  </si>
  <si>
    <t>05.1.1</t>
  </si>
  <si>
    <t>05.1.2</t>
  </si>
  <si>
    <t>05.1.3</t>
  </si>
  <si>
    <t>05.3.1</t>
  </si>
  <si>
    <t>05.3.2</t>
  </si>
  <si>
    <t>05.3.3</t>
  </si>
  <si>
    <t>05.5.1</t>
  </si>
  <si>
    <t>05.5.2</t>
  </si>
  <si>
    <t>05.6.1</t>
  </si>
  <si>
    <t>05.6.2</t>
  </si>
  <si>
    <t>06.1.1</t>
  </si>
  <si>
    <t>06.1.2</t>
  </si>
  <si>
    <t>06.1.3</t>
  </si>
  <si>
    <t>30OTHER</t>
  </si>
  <si>
    <t>06.2.1</t>
  </si>
  <si>
    <t>06.2.2</t>
  </si>
  <si>
    <t>06.2.3</t>
  </si>
  <si>
    <t>07.1.1</t>
  </si>
  <si>
    <t>07.1.2</t>
  </si>
  <si>
    <t>07.1.3</t>
  </si>
  <si>
    <t>07.2.1</t>
  </si>
  <si>
    <t>07.2.2</t>
  </si>
  <si>
    <t>07.2.3</t>
  </si>
  <si>
    <t>07.2.4</t>
  </si>
  <si>
    <t>07.3.1</t>
  </si>
  <si>
    <t>49.1-2</t>
  </si>
  <si>
    <t>49.3-5</t>
  </si>
  <si>
    <t>07.3.2</t>
  </si>
  <si>
    <t>07.3.3</t>
  </si>
  <si>
    <t>07.3.4</t>
  </si>
  <si>
    <t>07.3.6</t>
  </si>
  <si>
    <t>09.1.1</t>
  </si>
  <si>
    <t>09.1.2</t>
  </si>
  <si>
    <t>09.1.3</t>
  </si>
  <si>
    <t>09.1.4</t>
  </si>
  <si>
    <t>09.1.5</t>
  </si>
  <si>
    <t>09.2.1</t>
  </si>
  <si>
    <t>09.2.2</t>
  </si>
  <si>
    <t>09.2.3</t>
  </si>
  <si>
    <t>09.3.1</t>
  </si>
  <si>
    <t>09.3.2</t>
  </si>
  <si>
    <t>09.3.3</t>
  </si>
  <si>
    <t>20A</t>
  </si>
  <si>
    <t>20C</t>
  </si>
  <si>
    <t>09.3.4</t>
  </si>
  <si>
    <t>09.3.5</t>
  </si>
  <si>
    <t>09.4.1</t>
  </si>
  <si>
    <t>09.4.2</t>
  </si>
  <si>
    <t>09.4.3</t>
  </si>
  <si>
    <t>09.5.1</t>
  </si>
  <si>
    <t>09.5.2</t>
  </si>
  <si>
    <t>09.5.3</t>
  </si>
  <si>
    <t>09.5.4</t>
  </si>
  <si>
    <t>11.1.1</t>
  </si>
  <si>
    <t>11.1.2</t>
  </si>
  <si>
    <t>12.1.1</t>
  </si>
  <si>
    <t>12.1.2</t>
  </si>
  <si>
    <t>12.1.3</t>
  </si>
  <si>
    <t>12.3.1</t>
  </si>
  <si>
    <t>12.3.2</t>
  </si>
  <si>
    <t>12.5.1</t>
  </si>
  <si>
    <t>65.1-2</t>
  </si>
  <si>
    <t>12.5.2</t>
  </si>
  <si>
    <t>12.5.3</t>
  </si>
  <si>
    <t>12.5.4</t>
  </si>
  <si>
    <t>12.5.5</t>
  </si>
  <si>
    <t>12.6.1</t>
  </si>
  <si>
    <t>12.6.2</t>
  </si>
  <si>
    <t>Product</t>
  </si>
  <si>
    <t>Intermediate consumption at basic prices</t>
  </si>
  <si>
    <t>Use of imported products, cif</t>
  </si>
  <si>
    <t>Taxes less subsidies on products</t>
  </si>
  <si>
    <t>Intermediate consumption at purchaser's prices</t>
  </si>
  <si>
    <t>Compensation of employees</t>
  </si>
  <si>
    <t>Gross operating surplus and mixed income</t>
  </si>
  <si>
    <t>Taxes less subsidies on production</t>
  </si>
  <si>
    <t>Gross value added</t>
  </si>
  <si>
    <t>Output</t>
  </si>
  <si>
    <t>CPA_A01</t>
  </si>
  <si>
    <t xml:space="preserve">Products of agriculture, hunting and related services         </t>
  </si>
  <si>
    <t>CPA_A02</t>
  </si>
  <si>
    <t xml:space="preserve">Products of forestry, logging and related services         </t>
  </si>
  <si>
    <t>CPA_A03</t>
  </si>
  <si>
    <t xml:space="preserve">Fish and other fishing products; aquaculture products; support services to fishing     </t>
  </si>
  <si>
    <t>CPA_B05</t>
  </si>
  <si>
    <t xml:space="preserve">Coal and lignite             </t>
  </si>
  <si>
    <t>CPA_B06 &amp; B07</t>
  </si>
  <si>
    <t>Extraction Of Crude Petroleum And Natural Gas  &amp; Mining Of Metal Ores</t>
  </si>
  <si>
    <t>CPA_B08</t>
  </si>
  <si>
    <t xml:space="preserve">Other mining and quarrying products           </t>
  </si>
  <si>
    <t>CPA_B09</t>
  </si>
  <si>
    <t xml:space="preserve">Mining support services             </t>
  </si>
  <si>
    <t>CPA_C101</t>
  </si>
  <si>
    <t xml:space="preserve">Preserved meat and meat products           </t>
  </si>
  <si>
    <t>CPA_C102_3</t>
  </si>
  <si>
    <t xml:space="preserve">Processed and preserved fish, crustaceans, molluscs, fruit and vegetables       </t>
  </si>
  <si>
    <t>CPA_C104</t>
  </si>
  <si>
    <t xml:space="preserve">Vegetable and animal oils and fats          </t>
  </si>
  <si>
    <t>CPA_C105</t>
  </si>
  <si>
    <t xml:space="preserve">Dairy products              </t>
  </si>
  <si>
    <t>CPA_C106</t>
  </si>
  <si>
    <t xml:space="preserve">Grain mill products, starches and starch products         </t>
  </si>
  <si>
    <t>CPA_C107</t>
  </si>
  <si>
    <t xml:space="preserve">Bakery and farinaceous products            </t>
  </si>
  <si>
    <t>CPA_C108</t>
  </si>
  <si>
    <t xml:space="preserve">Other food products             </t>
  </si>
  <si>
    <t>CPA_C109</t>
  </si>
  <si>
    <t xml:space="preserve">Prepared animal feeds             </t>
  </si>
  <si>
    <t>CPA_C11.01-6 &amp; C12</t>
  </si>
  <si>
    <t>Alcoholic beverages  &amp; Tobacco products</t>
  </si>
  <si>
    <t>CPA_C1107</t>
  </si>
  <si>
    <t xml:space="preserve">Soft drinks              </t>
  </si>
  <si>
    <t>CPA_C13</t>
  </si>
  <si>
    <t xml:space="preserve">Textiles               </t>
  </si>
  <si>
    <t>CPA_C14</t>
  </si>
  <si>
    <t xml:space="preserve">Wearing apparel              </t>
  </si>
  <si>
    <t>CPA_C15</t>
  </si>
  <si>
    <t xml:space="preserve">Leather and related products            </t>
  </si>
  <si>
    <t>CPA_C16</t>
  </si>
  <si>
    <t>Wood and of products of wood and cork, except furniture; articles of straw and plaiting materials</t>
  </si>
  <si>
    <t>CPA_C17</t>
  </si>
  <si>
    <t xml:space="preserve">Paper and paper products            </t>
  </si>
  <si>
    <t>CPA_C18</t>
  </si>
  <si>
    <t xml:space="preserve">Printing and recording services            </t>
  </si>
  <si>
    <t>CPA_C19</t>
  </si>
  <si>
    <t xml:space="preserve">Coke and refined petroleum products           </t>
  </si>
  <si>
    <t>CPA_C203</t>
  </si>
  <si>
    <t xml:space="preserve">Paints, varnishes and similar coatings, printing ink and mastics       </t>
  </si>
  <si>
    <t>CPA_C204</t>
  </si>
  <si>
    <t xml:space="preserve">Soap and detergents, cleaning and polishing preparations, perfumes and toilet preparations     </t>
  </si>
  <si>
    <t>CPA_C205</t>
  </si>
  <si>
    <t xml:space="preserve">Other chemical products             </t>
  </si>
  <si>
    <t>CPA_C20A</t>
  </si>
  <si>
    <t xml:space="preserve">Industrial gases, inorganics and fertilisers (all inorganic chemicals) - 20.11/13/15      </t>
  </si>
  <si>
    <t>CPA_C20B</t>
  </si>
  <si>
    <t xml:space="preserve">Petrochemicals - 20.14/16/17/60             </t>
  </si>
  <si>
    <t>CPA_C20C</t>
  </si>
  <si>
    <t xml:space="preserve">Dyestuffs, agro-chemicals - 20.12/20            </t>
  </si>
  <si>
    <t>CPA_C21</t>
  </si>
  <si>
    <t xml:space="preserve">Basic pharmaceutical products and pharmaceutical preparations          </t>
  </si>
  <si>
    <t>CPA_C22</t>
  </si>
  <si>
    <t xml:space="preserve">Rubber and plastic products            </t>
  </si>
  <si>
    <t>CPA_C235_6</t>
  </si>
  <si>
    <t xml:space="preserve">Cement, lime, plaster and articles of concrete, cement and plaster </t>
  </si>
  <si>
    <t>CPA_C23OTHER</t>
  </si>
  <si>
    <t xml:space="preserve">Glass, refractory, clay, other porcelain and ceramic, stone and abrasive products - 23.1-4/7-9   </t>
  </si>
  <si>
    <t>CPA_C241_3</t>
  </si>
  <si>
    <t xml:space="preserve">Basic iron and steel            </t>
  </si>
  <si>
    <t>CPA_C244_5</t>
  </si>
  <si>
    <t xml:space="preserve">Other basic metals and casting           </t>
  </si>
  <si>
    <t>CPA_C254</t>
  </si>
  <si>
    <t xml:space="preserve">Weapons and ammunition             </t>
  </si>
  <si>
    <t>CPA_C25OTHER</t>
  </si>
  <si>
    <t xml:space="preserve">Fabricated metal products, excl. machinery and equipment and weapons &amp; ammunition - 25.1-3/25.5-9   </t>
  </si>
  <si>
    <t>CPA_C26</t>
  </si>
  <si>
    <t xml:space="preserve">Computer, electronic and optical products           </t>
  </si>
  <si>
    <t>CPA_C27</t>
  </si>
  <si>
    <t xml:space="preserve">Electrical equipment              </t>
  </si>
  <si>
    <t>CPA_C28</t>
  </si>
  <si>
    <t xml:space="preserve">Machinery and equipment n.e.c.            </t>
  </si>
  <si>
    <t>CPA_C29</t>
  </si>
  <si>
    <t xml:space="preserve">Motor vehicles, trailers and semi-trailers           </t>
  </si>
  <si>
    <t>CPA_C301</t>
  </si>
  <si>
    <t xml:space="preserve">Ships and boats             </t>
  </si>
  <si>
    <t>CPA_C303</t>
  </si>
  <si>
    <t xml:space="preserve">Air and spacecraft and related machinery          </t>
  </si>
  <si>
    <t>CPA_C30OTHER</t>
  </si>
  <si>
    <t xml:space="preserve">Other transport equipment - 30.2/4/9           </t>
  </si>
  <si>
    <t>CPA_C31</t>
  </si>
  <si>
    <t xml:space="preserve">Furniture               </t>
  </si>
  <si>
    <t>CPA_C32</t>
  </si>
  <si>
    <t xml:space="preserve">Other manufactured goods             </t>
  </si>
  <si>
    <t>CPA_C3315</t>
  </si>
  <si>
    <t xml:space="preserve">Repair and maintenance of ships and boats         </t>
  </si>
  <si>
    <t>CPA_C3316</t>
  </si>
  <si>
    <t xml:space="preserve">Repair and maintenance of aircraft and spacecraft         </t>
  </si>
  <si>
    <t>CPA_C33OTHER</t>
  </si>
  <si>
    <t xml:space="preserve">Rest of repair; Installation - 33.11-14/17/19/20          </t>
  </si>
  <si>
    <t>CPA_D351</t>
  </si>
  <si>
    <t>Electricity, transmission and distribution</t>
  </si>
  <si>
    <t>CPA_D352_3</t>
  </si>
  <si>
    <t xml:space="preserve">Gas; distribution of gaseous fuels through mains; steam and air conditioning supply    </t>
  </si>
  <si>
    <t>CPA_E36</t>
  </si>
  <si>
    <t xml:space="preserve">Natural water; water treatment and supply services         </t>
  </si>
  <si>
    <t>CPA_E37</t>
  </si>
  <si>
    <t xml:space="preserve">Sewerage services; sewage sludge            </t>
  </si>
  <si>
    <t>CPA_E38</t>
  </si>
  <si>
    <t xml:space="preserve">Waste collection, treatment and disposal services; materials recovery services       </t>
  </si>
  <si>
    <t>CPA_E39</t>
  </si>
  <si>
    <t xml:space="preserve">Remediation services and other waste management services         </t>
  </si>
  <si>
    <t>CPA_F41, F42 &amp; F43</t>
  </si>
  <si>
    <t>Construction</t>
  </si>
  <si>
    <t>CPA_G45</t>
  </si>
  <si>
    <t xml:space="preserve">Wholesale and retail trade and repair services of motor vehicles and motorcycles    </t>
  </si>
  <si>
    <t>CPA_G46</t>
  </si>
  <si>
    <t xml:space="preserve">Wholesale trade services, except of motor vehicles and motorcycles       </t>
  </si>
  <si>
    <t>CPA_G47</t>
  </si>
  <si>
    <t xml:space="preserve">Retail trade services, except of motor vehicles and motorcycles       </t>
  </si>
  <si>
    <t>CPA_H491_2</t>
  </si>
  <si>
    <t xml:space="preserve">Rail transport services             </t>
  </si>
  <si>
    <t>CPA_H493_5</t>
  </si>
  <si>
    <t xml:space="preserve">Land transport services and transport services via pipelines, excluding rail transport     </t>
  </si>
  <si>
    <t>CPA_H50</t>
  </si>
  <si>
    <t xml:space="preserve">Water transport services             </t>
  </si>
  <si>
    <t>CPA_H51</t>
  </si>
  <si>
    <t xml:space="preserve">Air transport services             </t>
  </si>
  <si>
    <t>CPA_H52</t>
  </si>
  <si>
    <t xml:space="preserve">Warehousing and support services for transportation          </t>
  </si>
  <si>
    <t>CPA_H53</t>
  </si>
  <si>
    <t xml:space="preserve">Postal and courier services            </t>
  </si>
  <si>
    <t>CPA_I55</t>
  </si>
  <si>
    <t xml:space="preserve">Accommodation services              </t>
  </si>
  <si>
    <t>CPA_I56</t>
  </si>
  <si>
    <t xml:space="preserve">Food and beverage serving services           </t>
  </si>
  <si>
    <t>CPA_J58</t>
  </si>
  <si>
    <t xml:space="preserve">Publishing services              </t>
  </si>
  <si>
    <t>CPA_J59 &amp; J60</t>
  </si>
  <si>
    <t>Motion Picture, Video &amp; TV Programme Production, Sound Recording &amp; Music Publishing Activities &amp; Programming And Broadcasting Activities</t>
  </si>
  <si>
    <t>CPA_J61</t>
  </si>
  <si>
    <t xml:space="preserve">Telecommunications services              </t>
  </si>
  <si>
    <t>CPA_J62</t>
  </si>
  <si>
    <t xml:space="preserve">Computer programming, consultancy and related services          </t>
  </si>
  <si>
    <t>CPA_J63</t>
  </si>
  <si>
    <t xml:space="preserve">Information services              </t>
  </si>
  <si>
    <t>CPA_K64</t>
  </si>
  <si>
    <t xml:space="preserve">Financial services, except insurance and pension funding         </t>
  </si>
  <si>
    <t>CPA_K65.1-2 &amp; K65.3</t>
  </si>
  <si>
    <t>Insurance, reinsurance and pension funding services, except compulsory social security</t>
  </si>
  <si>
    <t>CPA_K66</t>
  </si>
  <si>
    <t xml:space="preserve">Services auxiliary to financial services and insurance services        </t>
  </si>
  <si>
    <t>CPA_L683</t>
  </si>
  <si>
    <t xml:space="preserve">Real estate services on a fee or contract basis       </t>
  </si>
  <si>
    <t>CPA_L68A</t>
  </si>
  <si>
    <t>Owner-Occupiers' Housing Services</t>
  </si>
  <si>
    <t>CPA_L68BXL683</t>
  </si>
  <si>
    <t xml:space="preserve">Real estate services, excluding on a fee or contract basis and imputed rent   </t>
  </si>
  <si>
    <t>CPA_M691</t>
  </si>
  <si>
    <t xml:space="preserve">Legal services              </t>
  </si>
  <si>
    <t>CPA_M692</t>
  </si>
  <si>
    <t xml:space="preserve">Accounting, bookkeeping and auditing services; tax consulting services        </t>
  </si>
  <si>
    <t>CPA_M70</t>
  </si>
  <si>
    <t xml:space="preserve">Services of head offices; management consulting services         </t>
  </si>
  <si>
    <t>CPA_M71</t>
  </si>
  <si>
    <t xml:space="preserve">Architectural and engineering services; technical testing and analysis services       </t>
  </si>
  <si>
    <t>CPA_M72</t>
  </si>
  <si>
    <t xml:space="preserve">Scientific research and development services           </t>
  </si>
  <si>
    <t>CPA_M73</t>
  </si>
  <si>
    <t xml:space="preserve">Advertising and market research services           </t>
  </si>
  <si>
    <t>CPA_M74</t>
  </si>
  <si>
    <t xml:space="preserve">Other professional, scientific and technical services          </t>
  </si>
  <si>
    <t>CPA_M75</t>
  </si>
  <si>
    <t xml:space="preserve">Veterinary services              </t>
  </si>
  <si>
    <t>CPA_N77</t>
  </si>
  <si>
    <t xml:space="preserve">Rental and leasing services            </t>
  </si>
  <si>
    <t>CPA_N78</t>
  </si>
  <si>
    <t xml:space="preserve">Employment services              </t>
  </si>
  <si>
    <t>CPA_N79</t>
  </si>
  <si>
    <t xml:space="preserve">Travel agency, tour operator and other reservation services and related services     </t>
  </si>
  <si>
    <t>CPA_N80</t>
  </si>
  <si>
    <t xml:space="preserve">Security and investigation services            </t>
  </si>
  <si>
    <t>CPA_N81</t>
  </si>
  <si>
    <t xml:space="preserve">Services to buildings and landscape           </t>
  </si>
  <si>
    <t>CPA_N82</t>
  </si>
  <si>
    <t xml:space="preserve">Office administrative, office support and other business support services       </t>
  </si>
  <si>
    <t>CPA_O84</t>
  </si>
  <si>
    <t xml:space="preserve">Public administration and defence services; compulsory social security services       </t>
  </si>
  <si>
    <t>CPA_P85</t>
  </si>
  <si>
    <t xml:space="preserve">Education services              </t>
  </si>
  <si>
    <t>CPA_Q86</t>
  </si>
  <si>
    <t xml:space="preserve">Human health services             </t>
  </si>
  <si>
    <t>CPA_Q87 &amp; Q88</t>
  </si>
  <si>
    <t>Residential Care  &amp; Social Work Activities</t>
  </si>
  <si>
    <t>CPA_R90</t>
  </si>
  <si>
    <t xml:space="preserve">Creative, arts and entertainment services           </t>
  </si>
  <si>
    <t>CPA_R91</t>
  </si>
  <si>
    <t xml:space="preserve">Libraries, archives, museums and other cultural services         </t>
  </si>
  <si>
    <t>CPA_R92</t>
  </si>
  <si>
    <t xml:space="preserve">Gambling and betting services            </t>
  </si>
  <si>
    <t>CPA_R93</t>
  </si>
  <si>
    <t xml:space="preserve">Sports services and amusement and recreation services         </t>
  </si>
  <si>
    <t>CPA_S94</t>
  </si>
  <si>
    <t xml:space="preserve">Services furnished by membership organisations           </t>
  </si>
  <si>
    <t>CPA_S95</t>
  </si>
  <si>
    <t xml:space="preserve">Repair services of computers and personal and household goods       </t>
  </si>
  <si>
    <t>CPA_S96</t>
  </si>
  <si>
    <t xml:space="preserve">Other personal services             </t>
  </si>
  <si>
    <t>CPA_T97</t>
  </si>
  <si>
    <t xml:space="preserve">Services of households as employers of domestic personnel        </t>
  </si>
  <si>
    <t>my_coicop</t>
  </si>
  <si>
    <t>CPA label</t>
  </si>
  <si>
    <t>CPA (long)</t>
  </si>
  <si>
    <t>Effect (CPA)</t>
  </si>
  <si>
    <t>2019 Input-Output Analytical Tables</t>
  </si>
  <si>
    <t>Input-Output table (domestic use, basic prices, product by product), £ million</t>
  </si>
  <si>
    <t>MENU</t>
  </si>
  <si>
    <t>_T</t>
  </si>
  <si>
    <t>P3 S1</t>
  </si>
  <si>
    <t>P3 S13</t>
  </si>
  <si>
    <t>P3 S14</t>
  </si>
  <si>
    <t>P3 S15</t>
  </si>
  <si>
    <t>P51G</t>
  </si>
  <si>
    <t>P52</t>
  </si>
  <si>
    <t>P53</t>
  </si>
  <si>
    <t>P61EU</t>
  </si>
  <si>
    <t>P61RW</t>
  </si>
  <si>
    <t>P62</t>
  </si>
  <si>
    <t>TU</t>
  </si>
  <si>
    <t>Total</t>
  </si>
  <si>
    <t>Final consumption expenditure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</si>
  <si>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</si>
  <si>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</si>
  <si>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</si>
  <si>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fixed capital formation</t>
  </si>
  <si>
    <t>Changes in inventories</t>
  </si>
  <si>
    <t>Acquisitions less disposals of valuables</t>
  </si>
  <si>
    <t>Exports of goods to EU</t>
  </si>
  <si>
    <t>Exports of goods to rest of the world</t>
  </si>
  <si>
    <t>Exports of services</t>
  </si>
  <si>
    <t>Total Use at basic prices</t>
  </si>
  <si>
    <t>Total intermediate use at purchaser's prices</t>
  </si>
  <si>
    <t>D1</t>
  </si>
  <si>
    <t>GOS &amp; MI</t>
  </si>
  <si>
    <t>D29-D39</t>
  </si>
  <si>
    <t>GVA</t>
  </si>
  <si>
    <t xml:space="preserve">Gross value added </t>
  </si>
  <si>
    <t>P1</t>
  </si>
  <si>
    <t>Total output at basic prices</t>
  </si>
  <si>
    <t>Total domestic use (CPA)</t>
  </si>
  <si>
    <t>[reallocate in python]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</si>
</sst>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#\ ##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i/>
      <sz val="11"/>
      <color theme="1"/>
      <name val="Aptos Narrow"/>
      <family val="2"/>
      <scheme val="minor"/>
    </font>
    <font>
      <sz val="10"/>
      <name val="System"/>
      <family val="2"/>
    </font>
    <font>
      <b/>
      <sz val="11"/>
      <name val="Aptos Narrow"/>
      <family val="2"/>
      <scheme val="minor"/>
    </font>
    <font>
      <u/>
      <sz val="11"/>
      <color indexed="12"/>
      <name val="Arial Black"/>
      <family val="2"/>
    </font>
    <font>
      <b/>
      <sz val="16"/>
      <name val="Arial"/>
      <family val="2"/>
    </font>
    <font>
      <u/>
      <sz val="11"/>
      <color theme="10"/>
      <name val="Arial"/>
      <family val="2"/>
    </font>
    <font>
      <b/>
      <sz val="14"/>
      <name val="Arial"/>
      <family val="2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165" fontId="5" fillId="0" borderId="0"/>
    <xf numFmtId="0" fontId="8" fillId="0" borderId="0" applyNumberFormat="0" applyFill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Alignment="0" applyProtection="0"/>
    <xf numFmtId="43" fontId="11" fillId="0" borderId="0" applyFont="0" applyFill="0" applyBorder="0" applyAlignment="0" applyProtection="0"/>
  </cellStyleXfs>
  <cellXfs count="6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2" fontId="2" fillId="2" borderId="0" xfId="1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1" fillId="0" borderId="1" xfId="0" applyFont="1" applyBorder="1"/>
    <xf numFmtId="0" fontId="0" fillId="0" borderId="1" xfId="0" applyBorder="1"/>
    <xf numFmtId="164" fontId="0" fillId="0" borderId="0" xfId="0" applyNumberFormat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/>
    <xf numFmtId="0" fontId="1" fillId="4" borderId="1" xfId="0" applyFont="1" applyFill="1" applyBorder="1"/>
    <xf numFmtId="0" fontId="0" fillId="4" borderId="1" xfId="0" applyFill="1" applyBorder="1"/>
    <xf numFmtId="164" fontId="0" fillId="4" borderId="0" xfId="0" applyNumberFormat="1" applyFill="1" applyAlignment="1">
      <alignment horizontal="right"/>
    </xf>
    <xf numFmtId="164" fontId="0" fillId="4" borderId="4" xfId="0" applyNumberFormat="1" applyFill="1" applyBorder="1" applyAlignment="1">
      <alignment horizontal="right"/>
    </xf>
    <xf numFmtId="0" fontId="0" fillId="4" borderId="0" xfId="0" applyFill="1"/>
    <xf numFmtId="164" fontId="0" fillId="4" borderId="0" xfId="0" applyNumberFormat="1" applyFill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5" fontId="6" fillId="5" borderId="0" xfId="3" applyFont="1" applyFill="1" applyAlignment="1" applyProtection="1">
      <alignment horizontal="left"/>
      <protection locked="0"/>
    </xf>
    <xf numFmtId="0" fontId="0" fillId="5" borderId="0" xfId="0" applyFill="1"/>
    <xf numFmtId="165" fontId="7" fillId="6" borderId="0" xfId="2" applyNumberFormat="1" applyFont="1" applyFill="1" applyBorder="1" applyAlignment="1" applyProtection="1">
      <alignment horizontal="left"/>
      <protection locked="0"/>
    </xf>
    <xf numFmtId="0" fontId="1" fillId="0" borderId="1" xfId="0" applyFont="1" applyBorder="1" applyAlignment="1">
      <alignment horizontal="right" vertical="top"/>
    </xf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3" fontId="0" fillId="0" borderId="6" xfId="0" applyNumberFormat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3" fontId="0" fillId="0" borderId="5" xfId="0" applyNumberFormat="1" applyBorder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quotePrefix="1"/>
    <xf numFmtId="0" fontId="1" fillId="0" borderId="7" xfId="0" applyFont="1" applyBorder="1" applyAlignment="1">
      <alignment horizontal="center" vertical="top"/>
    </xf>
    <xf numFmtId="3" fontId="0" fillId="0" borderId="0" xfId="0" applyNumberFormat="1"/>
    <xf numFmtId="3" fontId="0" fillId="0" borderId="8" xfId="0" applyNumberFormat="1" applyBorder="1"/>
    <xf numFmtId="0" fontId="1" fillId="0" borderId="9" xfId="0" applyFont="1" applyBorder="1"/>
    <xf numFmtId="0" fontId="0" fillId="0" borderId="10" xfId="0" applyBorder="1"/>
    <xf numFmtId="3" fontId="0" fillId="0" borderId="10" xfId="0" applyNumberFormat="1" applyBorder="1"/>
    <xf numFmtId="3" fontId="0" fillId="0" borderId="11" xfId="0" applyNumberFormat="1" applyBorder="1"/>
    <xf numFmtId="0" fontId="1" fillId="0" borderId="7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/>
    <xf numFmtId="0" fontId="0" fillId="0" borderId="7" xfId="0" applyBorder="1"/>
    <xf numFmtId="0" fontId="0" fillId="0" borderId="12" xfId="0" applyBorder="1"/>
    <xf numFmtId="0" fontId="4" fillId="2" borderId="0" xfId="0" applyFont="1" applyFill="1" applyAlignment="1">
      <alignment vertical="center" wrapText="1"/>
    </xf>
  </cellXfs>
  <cellStyles count="8">
    <cellStyle name="Comma 2" xfId="7" xr:uid="{987BFA55-0FD6-4A1C-AB09-752784BBB7AE}"/>
    <cellStyle name="Heading 1 2" xfId="4" xr:uid="{399415BD-F0CC-4B24-85B8-374D88CA3004}"/>
    <cellStyle name="Heading 2 2" xfId="6" xr:uid="{71608397-F7AE-4299-B842-1D107361D292}"/>
    <cellStyle name="Hyperlink 2" xfId="5" xr:uid="{45CC0D5D-8A7F-4961-B88C-E35CAD5EABE8}"/>
    <cellStyle name="Hyperlink 2 2" xfId="2" xr:uid="{EFE610B6-F283-4561-836E-9330B5FDB9D7}"/>
    <cellStyle name="Normal" xfId="0" builtinId="0"/>
    <cellStyle name="Normal 2" xfId="1" xr:uid="{0CA6729E-A740-429B-BEB1-020DB9C525EA}"/>
    <cellStyle name="Normal_138x138@bp" xfId="3" xr:uid="{0878A96E-8883-4469-8E84-2AB977311F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economy/nationalaccounts/uksectoraccounts/adhocs/006611cpacoicopconverterforhouseholdconsumption2013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economy/nationalaccounts/supplyandusetables/datasets/ukinputoutputanalyticaltablesdetailed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economy/nationalaccounts/supplyandusetables/datasets/ukinputoutputanalyticaltablesdetaile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9526</xdr:rowOff>
    </xdr:from>
    <xdr:to>
      <xdr:col>1</xdr:col>
      <xdr:colOff>561975</xdr:colOff>
      <xdr:row>0</xdr:row>
      <xdr:rowOff>495300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1D827-560F-AA69-F3E1-09B9C2C3C910}"/>
            </a:ext>
          </a:extLst>
        </xdr:cNvPr>
        <xdr:cNvSpPr/>
      </xdr:nvSpPr>
      <xdr:spPr>
        <a:xfrm>
          <a:off x="114299" y="9526"/>
          <a:ext cx="1209676" cy="4857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1" kern="1200"/>
            <a:t>Data source - columns A:D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301397</xdr:colOff>
      <xdr:row>0</xdr:row>
      <xdr:rowOff>204107</xdr:rowOff>
    </xdr:from>
    <xdr:to>
      <xdr:col>1</xdr:col>
      <xdr:colOff>2064203</xdr:colOff>
      <xdr:row>0</xdr:row>
      <xdr:rowOff>747032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CD3B84-C113-24B7-51AE-DCB0AD01652D}"/>
            </a:ext>
          </a:extLst>
        </xdr:cNvPr>
        <xdr:cNvSpPr/>
      </xdr:nvSpPr>
      <xdr:spPr>
        <a:xfrm>
          <a:off x="1430790" y="204107"/>
          <a:ext cx="1762806" cy="542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1" kern="1200"/>
            <a:t>Data source - 2019</a:t>
          </a:r>
          <a:r>
            <a:rPr lang="en-GB" sz="1100" b="1" i="1" kern="1200" baseline="0"/>
            <a:t> (latest non-pandemic affectted) </a:t>
          </a:r>
          <a:endParaRPr lang="en-GB" sz="1100" b="1" i="1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209550</xdr:colOff>
      <xdr:row>0</xdr:row>
      <xdr:rowOff>0</xdr:rowOff>
    </xdr:from>
    <xdr:to>
      <xdr:col>111</xdr:col>
      <xdr:colOff>629331</xdr:colOff>
      <xdr:row>2</xdr:row>
      <xdr:rowOff>180975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97ADB-6B51-4665-AAAF-3832241178ED}"/>
            </a:ext>
          </a:extLst>
        </xdr:cNvPr>
        <xdr:cNvSpPr/>
      </xdr:nvSpPr>
      <xdr:spPr>
        <a:xfrm>
          <a:off x="150142575" y="0"/>
          <a:ext cx="1762806" cy="542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1" kern="1200"/>
            <a:t>Data source - 2019</a:t>
          </a:r>
          <a:r>
            <a:rPr lang="en-GB" sz="1100" b="1" i="1" kern="1200" baseline="0"/>
            <a:t> (latest non-pandemic affectted) </a:t>
          </a:r>
          <a:endParaRPr lang="en-GB" sz="1100" b="1" i="1" kern="1200"/>
        </a:p>
      </xdr:txBody>
    </xdr:sp>
    <xdr:clientData/>
  </xdr:twoCellAnchor>
  <xdr:twoCellAnchor>
    <xdr:from>
      <xdr:col>0</xdr:col>
      <xdr:colOff>276225</xdr:colOff>
      <xdr:row>4</xdr:row>
      <xdr:rowOff>257175</xdr:rowOff>
    </xdr:from>
    <xdr:to>
      <xdr:col>1</xdr:col>
      <xdr:colOff>647701</xdr:colOff>
      <xdr:row>4</xdr:row>
      <xdr:rowOff>742949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EF9D9A-B142-4309-AF06-778EEB5BDB22}"/>
            </a:ext>
          </a:extLst>
        </xdr:cNvPr>
        <xdr:cNvSpPr/>
      </xdr:nvSpPr>
      <xdr:spPr>
        <a:xfrm>
          <a:off x="276225" y="1019175"/>
          <a:ext cx="1323976" cy="4857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1" kern="1200"/>
            <a:t>Data source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fficenationalstatistics.sharepoint.com/sites/LMaHHhExp/Quarterly/Quarterly_Round/2024/2024_Q3/M3/06_Publishing/WebEx-Template_CPSA_CSDB.xlsx" TargetMode="External"/><Relationship Id="rId1" Type="http://schemas.openxmlformats.org/officeDocument/2006/relationships/externalLinkPath" Target="https://officenationalstatistics.sharepoint.com/sites/LMaHHhExp/Quarterly/Quarterly_Round/2024/2024_Q3/M3/06_Publishing/WebEx-Template_CPSA_CS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OLTEAN\AppData\Local\Microsoft\Windows\Temporary%20Internet%20Files\Content.Outlook\X02Q9C0H\Table%200101A%20with%20SDMX%20codes%20(version%20DS%2010.05.201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ror\AppData\Local\Temp\Temp1_NA_SU_v1.2c.zip\NA_SU\SDMX-NA_SU_T1500~T1600_V1.2c_Samp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_sheet"/>
      <sheetName val="Table_of_contents"/>
      <sheetName val="Impact_of_Covid-19"/>
      <sheetName val="download cpsa"/>
      <sheetName val="Notes"/>
      <sheetName val="0CS"/>
      <sheetName val="01CS"/>
      <sheetName val="02CS"/>
      <sheetName val="03CS"/>
      <sheetName val="04CS"/>
      <sheetName val="05CS"/>
      <sheetName val="06CS"/>
      <sheetName val="07CS"/>
      <sheetName val="08CS"/>
      <sheetName val="09CS"/>
      <sheetName val="10CS"/>
      <sheetName val="11CS"/>
      <sheetName val="12CS"/>
      <sheetName val="TOURCS"/>
      <sheetName val="0GSCS"/>
      <sheetName val="TGCS"/>
      <sheetName val="DGCS"/>
      <sheetName val="SDGCS"/>
      <sheetName val="NDGCS"/>
      <sheetName val="SERCS"/>
    </sheetNames>
    <sheetDataSet>
      <sheetData sheetId="0"/>
      <sheetData sheetId="1"/>
      <sheetData sheetId="2"/>
      <sheetData sheetId="3">
        <row r="4">
          <cell r="B4" t="str">
            <v>ZAKV</v>
          </cell>
          <cell r="C4" t="str">
            <v>ZWUM</v>
          </cell>
          <cell r="D4" t="str">
            <v>UVAE</v>
          </cell>
          <cell r="E4" t="str">
            <v>UVAF</v>
          </cell>
          <cell r="F4" t="str">
            <v>CCRL</v>
          </cell>
          <cell r="G4" t="str">
            <v>CCRM</v>
          </cell>
          <cell r="H4" t="str">
            <v>CCRN</v>
          </cell>
          <cell r="I4" t="str">
            <v>CCRO</v>
          </cell>
          <cell r="J4" t="str">
            <v>CCRP</v>
          </cell>
          <cell r="K4" t="str">
            <v>UVDX</v>
          </cell>
          <cell r="L4" t="str">
            <v>UVER</v>
          </cell>
          <cell r="M4" t="str">
            <v>UVFB</v>
          </cell>
          <cell r="N4" t="str">
            <v>UVFC</v>
          </cell>
          <cell r="O4" t="str">
            <v>CCWH</v>
          </cell>
          <cell r="P4" t="str">
            <v>CCRW</v>
          </cell>
          <cell r="Q4" t="str">
            <v>ZAKX</v>
          </cell>
          <cell r="R4" t="str">
            <v>JJDA</v>
          </cell>
          <cell r="S4" t="str">
            <v>UUIE</v>
          </cell>
          <cell r="T4" t="str">
            <v>UTHU</v>
          </cell>
          <cell r="U4" t="str">
            <v>UUPI</v>
          </cell>
          <cell r="V4" t="str">
            <v>ZWUO</v>
          </cell>
          <cell r="W4" t="str">
            <v>MNC3</v>
          </cell>
          <cell r="X4" t="str">
            <v>ZAKZ</v>
          </cell>
          <cell r="Y4" t="str">
            <v>ZALB</v>
          </cell>
          <cell r="Z4" t="str">
            <v>XYDZ</v>
          </cell>
          <cell r="AA4" t="str">
            <v>ZAVJ</v>
          </cell>
          <cell r="AB4" t="str">
            <v>XYEA</v>
          </cell>
          <cell r="AC4" t="str">
            <v>UVGC</v>
          </cell>
          <cell r="AD4" t="str">
            <v>ZAVL</v>
          </cell>
          <cell r="AE4" t="str">
            <v>ATKU</v>
          </cell>
          <cell r="AF4" t="str">
            <v>AWUG</v>
          </cell>
          <cell r="AG4" t="str">
            <v>ZAVN</v>
          </cell>
          <cell r="AH4" t="str">
            <v>ZAVP</v>
          </cell>
          <cell r="AI4" t="str">
            <v>BMBT</v>
          </cell>
          <cell r="AJ4" t="str">
            <v>UVGD</v>
          </cell>
          <cell r="AK4" t="str">
            <v>GBFJ</v>
          </cell>
          <cell r="AL4" t="str">
            <v>CCSS</v>
          </cell>
          <cell r="AM4" t="str">
            <v>GBFM</v>
          </cell>
          <cell r="AN4" t="str">
            <v>ZAVR</v>
          </cell>
          <cell r="AO4" t="str">
            <v>ATOB</v>
          </cell>
          <cell r="AP4" t="str">
            <v>AWUH</v>
          </cell>
          <cell r="AQ4" t="str">
            <v>ZAVT</v>
          </cell>
          <cell r="AR4" t="str">
            <v>UTZI</v>
          </cell>
          <cell r="AS4" t="str">
            <v>UVGE</v>
          </cell>
          <cell r="AT4" t="str">
            <v>UTZS</v>
          </cell>
          <cell r="AU4" t="str">
            <v>UVGF</v>
          </cell>
          <cell r="AV4" t="str">
            <v>ZWUQ</v>
          </cell>
          <cell r="AW4" t="str">
            <v>CCSE</v>
          </cell>
          <cell r="AX4" t="str">
            <v>LTYZ</v>
          </cell>
          <cell r="AY4" t="str">
            <v>LTZB</v>
          </cell>
          <cell r="AZ4" t="str">
            <v>TTAA</v>
          </cell>
          <cell r="BA4" t="str">
            <v>ZWIU</v>
          </cell>
          <cell r="BB4" t="str">
            <v>ZAVV</v>
          </cell>
          <cell r="BC4" t="str">
            <v>ZAVX</v>
          </cell>
          <cell r="BD4" t="str">
            <v>ATMA</v>
          </cell>
          <cell r="BE4" t="str">
            <v>ATME</v>
          </cell>
          <cell r="BF4" t="str">
            <v>UVGG</v>
          </cell>
          <cell r="BG4" t="str">
            <v>ATMF</v>
          </cell>
          <cell r="BH4" t="str">
            <v>ZAVZ</v>
          </cell>
          <cell r="BI4" t="str">
            <v>XYEB</v>
          </cell>
          <cell r="BJ4" t="str">
            <v>XYEC</v>
          </cell>
          <cell r="BK4" t="str">
            <v>UVGH</v>
          </cell>
          <cell r="BL4" t="str">
            <v>ATMJ</v>
          </cell>
          <cell r="BM4" t="str">
            <v>XYEK</v>
          </cell>
          <cell r="BN4" t="str">
            <v>XYED</v>
          </cell>
          <cell r="BO4" t="str">
            <v>XYEE</v>
          </cell>
          <cell r="BP4" t="str">
            <v>UWTI</v>
          </cell>
          <cell r="BQ4" t="str">
            <v>UVGI</v>
          </cell>
          <cell r="BR4" t="str">
            <v>UVGU</v>
          </cell>
          <cell r="BS4" t="str">
            <v>ZAWB</v>
          </cell>
          <cell r="BT4" t="str">
            <v>ZAWD</v>
          </cell>
          <cell r="BU4" t="str">
            <v>UTXN</v>
          </cell>
          <cell r="BV4" t="str">
            <v>UVGV</v>
          </cell>
          <cell r="BW4" t="str">
            <v>UVGW</v>
          </cell>
          <cell r="BX4" t="str">
            <v>ZAWF</v>
          </cell>
          <cell r="BY4" t="str">
            <v>ZAWH</v>
          </cell>
          <cell r="BZ4" t="str">
            <v>ZAWJ</v>
          </cell>
          <cell r="CA4" t="str">
            <v>UTMF</v>
          </cell>
          <cell r="CB4" t="str">
            <v>UTYD</v>
          </cell>
          <cell r="CC4" t="str">
            <v>ZAWL</v>
          </cell>
          <cell r="CD4" t="str">
            <v>TMMH</v>
          </cell>
          <cell r="CE4" t="str">
            <v>TMMJ</v>
          </cell>
          <cell r="CF4" t="str">
            <v>TMMY</v>
          </cell>
          <cell r="CG4" t="str">
            <v>TMNN</v>
          </cell>
          <cell r="CH4" t="str">
            <v>ZAWN</v>
          </cell>
          <cell r="CI4" t="str">
            <v>AWUE</v>
          </cell>
          <cell r="CJ4" t="str">
            <v>CCSC</v>
          </cell>
          <cell r="CK4" t="str">
            <v>AWUI</v>
          </cell>
          <cell r="CL4" t="str">
            <v>ZAWP</v>
          </cell>
          <cell r="CM4" t="str">
            <v>ZAWR</v>
          </cell>
          <cell r="CN4" t="str">
            <v>AWUJ</v>
          </cell>
          <cell r="CO4" t="str">
            <v>ZAWT</v>
          </cell>
          <cell r="CP4" t="str">
            <v>AWUK</v>
          </cell>
          <cell r="CQ4" t="str">
            <v>AWUL</v>
          </cell>
          <cell r="CR4" t="str">
            <v>AWUM</v>
          </cell>
          <cell r="CS4" t="str">
            <v>ZAWV</v>
          </cell>
          <cell r="CT4" t="str">
            <v>CCVS</v>
          </cell>
          <cell r="CU4" t="str">
            <v>ATMR</v>
          </cell>
          <cell r="CV4" t="str">
            <v>ZAWX</v>
          </cell>
          <cell r="CW4" t="str">
            <v>ZAWZ</v>
          </cell>
          <cell r="CX4" t="str">
            <v>ZAXB</v>
          </cell>
          <cell r="CY4" t="str">
            <v>ATMV</v>
          </cell>
          <cell r="CZ4" t="str">
            <v>ATMZ</v>
          </cell>
          <cell r="DA4" t="str">
            <v>ATND</v>
          </cell>
          <cell r="DB4" t="str">
            <v>ATNH</v>
          </cell>
          <cell r="DC4" t="str">
            <v>UVJI</v>
          </cell>
          <cell r="DD4" t="str">
            <v>ZAXD</v>
          </cell>
          <cell r="DE4" t="str">
            <v>TMNA</v>
          </cell>
          <cell r="DF4" t="str">
            <v>XYEF</v>
          </cell>
          <cell r="DG4" t="str">
            <v>UVJJ</v>
          </cell>
          <cell r="DH4" t="str">
            <v>ZAXF</v>
          </cell>
          <cell r="DI4" t="str">
            <v>ATNL</v>
          </cell>
          <cell r="DJ4" t="str">
            <v>XYEG</v>
          </cell>
          <cell r="DK4" t="str">
            <v>AWUF</v>
          </cell>
          <cell r="DL4" t="str">
            <v>UVJK</v>
          </cell>
          <cell r="DM4" t="str">
            <v>UVJX</v>
          </cell>
          <cell r="DN4" t="str">
            <v>ZAXH</v>
          </cell>
          <cell r="DO4" t="str">
            <v>ZAXJ</v>
          </cell>
          <cell r="DP4" t="str">
            <v>ZAXL</v>
          </cell>
          <cell r="DQ4" t="str">
            <v>CCQZ</v>
          </cell>
          <cell r="DR4" t="str">
            <v>ZAXN</v>
          </cell>
          <cell r="DS4" t="str">
            <v>CDZP</v>
          </cell>
          <cell r="DT4" t="str">
            <v>CDZX</v>
          </cell>
          <cell r="DU4" t="str">
            <v>XYEH</v>
          </cell>
          <cell r="DV4" t="str">
            <v>XYEI</v>
          </cell>
          <cell r="DW4" t="str">
            <v>ZAXP</v>
          </cell>
          <cell r="DX4" t="str">
            <v>ZWUS</v>
          </cell>
          <cell r="DY4" t="str">
            <v>ZAXR</v>
          </cell>
          <cell r="DZ4" t="str">
            <v>ZAXT</v>
          </cell>
          <cell r="EA4" t="str">
            <v>ZAXV</v>
          </cell>
          <cell r="EB4" t="str">
            <v>JJDW</v>
          </cell>
          <cell r="EC4" t="str">
            <v>UUJG</v>
          </cell>
          <cell r="ED4" t="str">
            <v>UWMS</v>
          </cell>
          <cell r="EE4" t="str">
            <v>UUNF</v>
          </cell>
          <cell r="EF4" t="str">
            <v>ZAYB</v>
          </cell>
          <cell r="EG4" t="str">
            <v>ZAYD</v>
          </cell>
          <cell r="EH4" t="str">
            <v>ZAYF</v>
          </cell>
          <cell r="EI4" t="str">
            <v>ZAYH</v>
          </cell>
          <cell r="EJ4" t="str">
            <v>CCRE</v>
          </cell>
          <cell r="EK4" t="str">
            <v>XYEJ</v>
          </cell>
          <cell r="EL4" t="str">
            <v>ATNP</v>
          </cell>
          <cell r="EM4" t="str">
            <v>MNC9</v>
          </cell>
          <cell r="EN4" t="str">
            <v>ZAYJ</v>
          </cell>
          <cell r="EO4" t="str">
            <v>ZAYL</v>
          </cell>
          <cell r="EP4" t="str">
            <v>ATNX</v>
          </cell>
          <cell r="EQ4" t="str">
            <v>ZAYN</v>
          </cell>
          <cell r="ER4" t="str">
            <v>ZAYP</v>
          </cell>
          <cell r="ES4" t="str">
            <v>UTYG</v>
          </cell>
          <cell r="ET4" t="str">
            <v>ZAYR</v>
          </cell>
          <cell r="EU4" t="str">
            <v>ZAYT</v>
          </cell>
          <cell r="EV4" t="str">
            <v>ZAYV</v>
          </cell>
          <cell r="EW4" t="str">
            <v>ZAYX</v>
          </cell>
          <cell r="EX4" t="str">
            <v>ZAYZ</v>
          </cell>
          <cell r="EY4" t="str">
            <v>C68W</v>
          </cell>
          <cell r="EZ4" t="str">
            <v>ZAZB</v>
          </cell>
          <cell r="FA4" t="str">
            <v>ZAZD</v>
          </cell>
          <cell r="FB4" t="str">
            <v>ABJQ</v>
          </cell>
          <cell r="FC4" t="str">
            <v>HSN5</v>
          </cell>
          <cell r="FD4" t="str">
            <v>UTIB</v>
          </cell>
          <cell r="FE4" t="str">
            <v>LLJQ</v>
          </cell>
          <cell r="FF4" t="str">
            <v>LLJR</v>
          </cell>
          <cell r="FG4" t="str">
            <v>LLJS</v>
          </cell>
          <cell r="FH4" t="str">
            <v>LLJT</v>
          </cell>
          <cell r="FI4" t="str">
            <v>LLJU</v>
          </cell>
          <cell r="FJ4" t="str">
            <v>LLJV</v>
          </cell>
          <cell r="FK4" t="str">
            <v>UTIF</v>
          </cell>
          <cell r="FL4" t="str">
            <v>ZWUM</v>
          </cell>
          <cell r="FM4" t="str">
            <v>ZAKX</v>
          </cell>
          <cell r="FN4" t="str">
            <v>LLJW</v>
          </cell>
          <cell r="FO4" t="str">
            <v>LLJX</v>
          </cell>
          <cell r="FP4" t="str">
            <v>LLJY</v>
          </cell>
          <cell r="FQ4" t="str">
            <v>LLJZ</v>
          </cell>
          <cell r="FR4" t="str">
            <v>LLKA</v>
          </cell>
          <cell r="FS4" t="str">
            <v>LLKB</v>
          </cell>
          <cell r="FT4" t="str">
            <v>LLKC</v>
          </cell>
          <cell r="FU4" t="str">
            <v>LLKD</v>
          </cell>
          <cell r="FV4" t="str">
            <v>UTIJ</v>
          </cell>
          <cell r="FW4" t="str">
            <v>ZWUM</v>
          </cell>
          <cell r="FX4" t="str">
            <v>ZAKX</v>
          </cell>
          <cell r="FY4" t="str">
            <v>LLKE</v>
          </cell>
          <cell r="FZ4" t="str">
            <v>LLKF</v>
          </cell>
          <cell r="GA4" t="str">
            <v>LLKG</v>
          </cell>
          <cell r="GB4" t="str">
            <v>LLKH</v>
          </cell>
          <cell r="GC4" t="str">
            <v>LLKI</v>
          </cell>
          <cell r="GD4" t="str">
            <v>LLKJ</v>
          </cell>
          <cell r="GE4" t="str">
            <v>ABTF</v>
          </cell>
          <cell r="GF4" t="str">
            <v>CCVV</v>
          </cell>
          <cell r="GG4" t="str">
            <v>ABTB</v>
          </cell>
          <cell r="GH4" t="str">
            <v>UTIN</v>
          </cell>
          <cell r="GI4" t="str">
            <v>LLKK</v>
          </cell>
          <cell r="GJ4" t="str">
            <v>LLKL</v>
          </cell>
          <cell r="GK4" t="str">
            <v>LLKM</v>
          </cell>
          <cell r="GL4" t="str">
            <v>LLKN</v>
          </cell>
          <cell r="GM4" t="str">
            <v>LLKO</v>
          </cell>
          <cell r="GN4" t="str">
            <v>LLKP</v>
          </cell>
          <cell r="GO4" t="str">
            <v>LLKQ</v>
          </cell>
          <cell r="GP4" t="str">
            <v>ZWUS</v>
          </cell>
          <cell r="GQ4" t="str">
            <v>ZAXR</v>
          </cell>
          <cell r="GR4" t="str">
            <v>LLKR</v>
          </cell>
          <cell r="GS4" t="str">
            <v>UTIR</v>
          </cell>
          <cell r="GT4" t="str">
            <v>LLKS</v>
          </cell>
          <cell r="GU4" t="str">
            <v>LLKT</v>
          </cell>
          <cell r="GV4" t="str">
            <v>LLKU</v>
          </cell>
          <cell r="GW4" t="str">
            <v>LLKV</v>
          </cell>
          <cell r="GX4" t="str">
            <v>LLKW</v>
          </cell>
        </row>
        <row r="5">
          <cell r="A5">
            <v>1997</v>
          </cell>
          <cell r="B5">
            <v>608841</v>
          </cell>
          <cell r="C5">
            <v>53488</v>
          </cell>
          <cell r="D5">
            <v>48318</v>
          </cell>
          <cell r="E5">
            <v>9305</v>
          </cell>
          <cell r="F5">
            <v>11005</v>
          </cell>
          <cell r="G5">
            <v>1818</v>
          </cell>
          <cell r="H5">
            <v>7495</v>
          </cell>
          <cell r="I5">
            <v>1615</v>
          </cell>
          <cell r="J5">
            <v>3347</v>
          </cell>
          <cell r="K5">
            <v>6779</v>
          </cell>
          <cell r="L5">
            <v>4822</v>
          </cell>
          <cell r="M5">
            <v>2132</v>
          </cell>
          <cell r="N5">
            <v>5170</v>
          </cell>
          <cell r="O5">
            <v>1210</v>
          </cell>
          <cell r="P5">
            <v>3960</v>
          </cell>
          <cell r="Q5">
            <v>30546</v>
          </cell>
          <cell r="R5">
            <v>9715</v>
          </cell>
          <cell r="S5">
            <v>2751</v>
          </cell>
          <cell r="T5">
            <v>3986</v>
          </cell>
          <cell r="U5">
            <v>2978</v>
          </cell>
          <cell r="V5">
            <v>12471</v>
          </cell>
          <cell r="W5">
            <v>8360</v>
          </cell>
          <cell r="X5">
            <v>29218</v>
          </cell>
          <cell r="Y5">
            <v>24781</v>
          </cell>
          <cell r="Z5">
            <v>148</v>
          </cell>
          <cell r="AA5">
            <v>22793</v>
          </cell>
          <cell r="AB5">
            <v>1234</v>
          </cell>
          <cell r="AC5">
            <v>606</v>
          </cell>
          <cell r="AD5">
            <v>4437</v>
          </cell>
          <cell r="AE5">
            <v>4374</v>
          </cell>
          <cell r="AF5">
            <v>63</v>
          </cell>
          <cell r="AG5">
            <v>161077</v>
          </cell>
          <cell r="AH5">
            <v>23821</v>
          </cell>
          <cell r="AI5">
            <v>23744</v>
          </cell>
          <cell r="AJ5">
            <v>77</v>
          </cell>
          <cell r="AK5">
            <v>115786</v>
          </cell>
          <cell r="AL5">
            <v>111983</v>
          </cell>
          <cell r="AM5">
            <v>3803</v>
          </cell>
          <cell r="AN5">
            <v>1363</v>
          </cell>
          <cell r="AO5">
            <v>684</v>
          </cell>
          <cell r="AP5">
            <v>679</v>
          </cell>
          <cell r="AQ5">
            <v>5016</v>
          </cell>
          <cell r="AR5">
            <v>2485</v>
          </cell>
          <cell r="AS5">
            <v>72</v>
          </cell>
          <cell r="AT5">
            <v>2459</v>
          </cell>
          <cell r="AU5">
            <v>0</v>
          </cell>
          <cell r="AV5">
            <v>15091</v>
          </cell>
          <cell r="AW5">
            <v>7812</v>
          </cell>
          <cell r="AX5">
            <v>6091</v>
          </cell>
          <cell r="AY5">
            <v>519</v>
          </cell>
          <cell r="AZ5">
            <v>669</v>
          </cell>
          <cell r="BA5">
            <v>0</v>
          </cell>
          <cell r="BB5">
            <v>31825</v>
          </cell>
          <cell r="BC5">
            <v>12552</v>
          </cell>
          <cell r="BD5">
            <v>9474</v>
          </cell>
          <cell r="BE5">
            <v>3048</v>
          </cell>
          <cell r="BF5">
            <v>30</v>
          </cell>
          <cell r="BG5">
            <v>3466</v>
          </cell>
          <cell r="BH5">
            <v>5259</v>
          </cell>
          <cell r="BI5">
            <v>4228</v>
          </cell>
          <cell r="BJ5">
            <v>673</v>
          </cell>
          <cell r="BK5">
            <v>358</v>
          </cell>
          <cell r="BL5">
            <v>3125</v>
          </cell>
          <cell r="BM5">
            <v>2638</v>
          </cell>
          <cell r="BN5">
            <v>310</v>
          </cell>
          <cell r="BO5">
            <v>2328</v>
          </cell>
          <cell r="BP5">
            <v>4785</v>
          </cell>
          <cell r="BQ5">
            <v>2872</v>
          </cell>
          <cell r="BR5">
            <v>1913</v>
          </cell>
          <cell r="BS5">
            <v>9961</v>
          </cell>
          <cell r="BT5">
            <v>3836</v>
          </cell>
          <cell r="BU5">
            <v>2013</v>
          </cell>
          <cell r="BV5">
            <v>276</v>
          </cell>
          <cell r="BW5">
            <v>1547</v>
          </cell>
          <cell r="BX5">
            <v>3682</v>
          </cell>
          <cell r="BY5">
            <v>2212</v>
          </cell>
          <cell r="BZ5">
            <v>1207</v>
          </cell>
          <cell r="CA5">
            <v>263</v>
          </cell>
          <cell r="CB5">
            <v>2443</v>
          </cell>
          <cell r="CC5">
            <v>84124</v>
          </cell>
          <cell r="CD5">
            <v>30638</v>
          </cell>
          <cell r="CE5">
            <v>29546</v>
          </cell>
          <cell r="CF5">
            <v>683</v>
          </cell>
          <cell r="CG5">
            <v>409</v>
          </cell>
          <cell r="CH5">
            <v>32581</v>
          </cell>
          <cell r="CI5">
            <v>3299</v>
          </cell>
          <cell r="CJ5">
            <v>15978</v>
          </cell>
          <cell r="CK5">
            <v>10137</v>
          </cell>
          <cell r="CL5">
            <v>3167</v>
          </cell>
          <cell r="CM5">
            <v>20905</v>
          </cell>
          <cell r="CN5">
            <v>3731</v>
          </cell>
          <cell r="CO5">
            <v>5685</v>
          </cell>
          <cell r="CP5">
            <v>8611</v>
          </cell>
          <cell r="CQ5">
            <v>1921</v>
          </cell>
          <cell r="CR5">
            <v>957</v>
          </cell>
          <cell r="CS5">
            <v>14156</v>
          </cell>
          <cell r="CT5">
            <v>1107</v>
          </cell>
          <cell r="CU5">
            <v>1307</v>
          </cell>
          <cell r="CV5">
            <v>11742</v>
          </cell>
          <cell r="CW5">
            <v>58796</v>
          </cell>
          <cell r="CX5">
            <v>12902</v>
          </cell>
          <cell r="CY5">
            <v>4040</v>
          </cell>
          <cell r="CZ5">
            <v>1003</v>
          </cell>
          <cell r="DA5">
            <v>3526</v>
          </cell>
          <cell r="DB5">
            <v>4124</v>
          </cell>
          <cell r="DC5">
            <v>209</v>
          </cell>
          <cell r="DD5">
            <v>3840</v>
          </cell>
          <cell r="DE5">
            <v>2318</v>
          </cell>
          <cell r="DF5">
            <v>305</v>
          </cell>
          <cell r="DG5">
            <v>1217</v>
          </cell>
          <cell r="DH5">
            <v>13972</v>
          </cell>
          <cell r="DI5">
            <v>3703</v>
          </cell>
          <cell r="DJ5">
            <v>3517</v>
          </cell>
          <cell r="DK5">
            <v>3093</v>
          </cell>
          <cell r="DL5">
            <v>2847</v>
          </cell>
          <cell r="DM5">
            <v>812</v>
          </cell>
          <cell r="DN5">
            <v>19378</v>
          </cell>
          <cell r="DO5">
            <v>3845</v>
          </cell>
          <cell r="DP5">
            <v>8527</v>
          </cell>
          <cell r="DQ5">
            <v>7006</v>
          </cell>
          <cell r="DR5">
            <v>8704</v>
          </cell>
          <cell r="DS5">
            <v>1642</v>
          </cell>
          <cell r="DT5">
            <v>3827</v>
          </cell>
          <cell r="DU5">
            <v>1963</v>
          </cell>
          <cell r="DV5">
            <v>1272</v>
          </cell>
          <cell r="DW5">
            <v>0</v>
          </cell>
          <cell r="DX5">
            <v>5680</v>
          </cell>
          <cell r="DY5">
            <v>61048</v>
          </cell>
          <cell r="DZ5">
            <v>49558</v>
          </cell>
          <cell r="EA5">
            <v>45331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4227</v>
          </cell>
          <cell r="EG5">
            <v>11490</v>
          </cell>
          <cell r="EH5">
            <v>68922</v>
          </cell>
          <cell r="EI5">
            <v>10812</v>
          </cell>
          <cell r="EJ5">
            <v>3000</v>
          </cell>
          <cell r="EK5">
            <v>150</v>
          </cell>
          <cell r="EL5">
            <v>7662</v>
          </cell>
          <cell r="EM5">
            <v>2079</v>
          </cell>
          <cell r="EN5">
            <v>4220</v>
          </cell>
          <cell r="EO5">
            <v>3626</v>
          </cell>
          <cell r="EP5">
            <v>594</v>
          </cell>
          <cell r="EQ5">
            <v>5887</v>
          </cell>
          <cell r="ER5">
            <v>14897</v>
          </cell>
          <cell r="ES5">
            <v>9681</v>
          </cell>
          <cell r="ET5">
            <v>1162</v>
          </cell>
          <cell r="EU5">
            <v>1398</v>
          </cell>
          <cell r="EV5">
            <v>1202</v>
          </cell>
          <cell r="EW5">
            <v>1454</v>
          </cell>
          <cell r="EX5">
            <v>22903</v>
          </cell>
          <cell r="EY5">
            <v>12342</v>
          </cell>
          <cell r="EZ5">
            <v>10561</v>
          </cell>
          <cell r="FA5">
            <v>8124</v>
          </cell>
          <cell r="FB5">
            <v>610414</v>
          </cell>
          <cell r="FC5">
            <v>458408</v>
          </cell>
          <cell r="FD5">
            <v>65370</v>
          </cell>
          <cell r="FE5">
            <v>17060</v>
          </cell>
          <cell r="FF5">
            <v>1547</v>
          </cell>
          <cell r="FG5">
            <v>30638</v>
          </cell>
          <cell r="FH5">
            <v>1307</v>
          </cell>
          <cell r="FI5">
            <v>11192</v>
          </cell>
          <cell r="FJ5">
            <v>3626</v>
          </cell>
          <cell r="FK5">
            <v>264637</v>
          </cell>
          <cell r="FL5">
            <v>53488</v>
          </cell>
          <cell r="FM5">
            <v>30546</v>
          </cell>
          <cell r="FN5">
            <v>28549</v>
          </cell>
          <cell r="FO5">
            <v>18260</v>
          </cell>
          <cell r="FP5">
            <v>29524</v>
          </cell>
          <cell r="FQ5">
            <v>3836</v>
          </cell>
          <cell r="FR5">
            <v>49915</v>
          </cell>
          <cell r="FS5">
            <v>1307</v>
          </cell>
          <cell r="FT5">
            <v>37180</v>
          </cell>
          <cell r="FU5">
            <v>12032</v>
          </cell>
          <cell r="FV5">
            <v>144097</v>
          </cell>
          <cell r="FW5">
            <v>53488</v>
          </cell>
          <cell r="FX5">
            <v>30546</v>
          </cell>
          <cell r="FY5">
            <v>18260</v>
          </cell>
          <cell r="FZ5">
            <v>2872</v>
          </cell>
          <cell r="GA5">
            <v>2289</v>
          </cell>
          <cell r="GB5">
            <v>15978</v>
          </cell>
          <cell r="GC5">
            <v>13002</v>
          </cell>
          <cell r="GD5">
            <v>7662</v>
          </cell>
          <cell r="GE5">
            <v>1573</v>
          </cell>
          <cell r="GF5">
            <v>-14495</v>
          </cell>
          <cell r="GG5">
            <v>16068</v>
          </cell>
          <cell r="GH5">
            <v>344204</v>
          </cell>
          <cell r="GI5">
            <v>669</v>
          </cell>
          <cell r="GJ5">
            <v>142817</v>
          </cell>
          <cell r="GK5">
            <v>2301</v>
          </cell>
          <cell r="GL5">
            <v>6125</v>
          </cell>
          <cell r="GM5">
            <v>34209</v>
          </cell>
          <cell r="GN5">
            <v>12849</v>
          </cell>
          <cell r="GO5">
            <v>21616</v>
          </cell>
          <cell r="GP5">
            <v>5680</v>
          </cell>
          <cell r="GQ5">
            <v>61048</v>
          </cell>
          <cell r="GR5">
            <v>56890</v>
          </cell>
          <cell r="GS5">
            <v>55170</v>
          </cell>
          <cell r="GT5">
            <v>28549</v>
          </cell>
          <cell r="GU5">
            <v>9592</v>
          </cell>
          <cell r="GV5">
            <v>3299</v>
          </cell>
          <cell r="GW5">
            <v>12986</v>
          </cell>
          <cell r="GX5">
            <v>744</v>
          </cell>
        </row>
        <row r="6">
          <cell r="A6">
            <v>1998</v>
          </cell>
          <cell r="B6">
            <v>641369</v>
          </cell>
          <cell r="C6">
            <v>55522</v>
          </cell>
          <cell r="D6">
            <v>49807</v>
          </cell>
          <cell r="E6">
            <v>9397</v>
          </cell>
          <cell r="F6">
            <v>10948</v>
          </cell>
          <cell r="G6">
            <v>1915</v>
          </cell>
          <cell r="H6">
            <v>7412</v>
          </cell>
          <cell r="I6">
            <v>1553</v>
          </cell>
          <cell r="J6">
            <v>3637</v>
          </cell>
          <cell r="K6">
            <v>7426</v>
          </cell>
          <cell r="L6">
            <v>5301</v>
          </cell>
          <cell r="M6">
            <v>2218</v>
          </cell>
          <cell r="N6">
            <v>5715</v>
          </cell>
          <cell r="O6">
            <v>1280</v>
          </cell>
          <cell r="P6">
            <v>4435</v>
          </cell>
          <cell r="Q6">
            <v>31299</v>
          </cell>
          <cell r="R6">
            <v>10211</v>
          </cell>
          <cell r="S6">
            <v>2741</v>
          </cell>
          <cell r="T6">
            <v>4207</v>
          </cell>
          <cell r="U6">
            <v>3263</v>
          </cell>
          <cell r="V6">
            <v>13261</v>
          </cell>
          <cell r="W6">
            <v>7827</v>
          </cell>
          <cell r="X6">
            <v>31080</v>
          </cell>
          <cell r="Y6">
            <v>26605</v>
          </cell>
          <cell r="Z6">
            <v>134</v>
          </cell>
          <cell r="AA6">
            <v>24749</v>
          </cell>
          <cell r="AB6">
            <v>1103</v>
          </cell>
          <cell r="AC6">
            <v>619</v>
          </cell>
          <cell r="AD6">
            <v>4475</v>
          </cell>
          <cell r="AE6">
            <v>4383</v>
          </cell>
          <cell r="AF6">
            <v>92</v>
          </cell>
          <cell r="AG6">
            <v>166480</v>
          </cell>
          <cell r="AH6">
            <v>25646</v>
          </cell>
          <cell r="AI6">
            <v>25561</v>
          </cell>
          <cell r="AJ6">
            <v>85</v>
          </cell>
          <cell r="AK6">
            <v>119880</v>
          </cell>
          <cell r="AL6">
            <v>115877</v>
          </cell>
          <cell r="AM6">
            <v>4003</v>
          </cell>
          <cell r="AN6">
            <v>1348</v>
          </cell>
          <cell r="AO6">
            <v>780</v>
          </cell>
          <cell r="AP6">
            <v>568</v>
          </cell>
          <cell r="AQ6">
            <v>5284</v>
          </cell>
          <cell r="AR6">
            <v>2636</v>
          </cell>
          <cell r="AS6">
            <v>70</v>
          </cell>
          <cell r="AT6">
            <v>2578</v>
          </cell>
          <cell r="AU6">
            <v>0</v>
          </cell>
          <cell r="AV6">
            <v>14322</v>
          </cell>
          <cell r="AW6">
            <v>7539</v>
          </cell>
          <cell r="AX6">
            <v>5787</v>
          </cell>
          <cell r="AY6">
            <v>420</v>
          </cell>
          <cell r="AZ6">
            <v>576</v>
          </cell>
          <cell r="BA6">
            <v>0</v>
          </cell>
          <cell r="BB6">
            <v>34302</v>
          </cell>
          <cell r="BC6">
            <v>13461</v>
          </cell>
          <cell r="BD6">
            <v>10244</v>
          </cell>
          <cell r="BE6">
            <v>3182</v>
          </cell>
          <cell r="BF6">
            <v>35</v>
          </cell>
          <cell r="BG6">
            <v>3726</v>
          </cell>
          <cell r="BH6">
            <v>5313</v>
          </cell>
          <cell r="BI6">
            <v>4258</v>
          </cell>
          <cell r="BJ6">
            <v>695</v>
          </cell>
          <cell r="BK6">
            <v>360</v>
          </cell>
          <cell r="BL6">
            <v>3752</v>
          </cell>
          <cell r="BM6">
            <v>3012</v>
          </cell>
          <cell r="BN6">
            <v>333</v>
          </cell>
          <cell r="BO6">
            <v>2679</v>
          </cell>
          <cell r="BP6">
            <v>5038</v>
          </cell>
          <cell r="BQ6">
            <v>3046</v>
          </cell>
          <cell r="BR6">
            <v>1992</v>
          </cell>
          <cell r="BS6">
            <v>10157</v>
          </cell>
          <cell r="BT6">
            <v>3970</v>
          </cell>
          <cell r="BU6">
            <v>2164</v>
          </cell>
          <cell r="BV6">
            <v>281</v>
          </cell>
          <cell r="BW6">
            <v>1525</v>
          </cell>
          <cell r="BX6">
            <v>3726</v>
          </cell>
          <cell r="BY6">
            <v>2123</v>
          </cell>
          <cell r="BZ6">
            <v>1314</v>
          </cell>
          <cell r="CA6">
            <v>289</v>
          </cell>
          <cell r="CB6">
            <v>2461</v>
          </cell>
          <cell r="CC6">
            <v>89046</v>
          </cell>
          <cell r="CD6">
            <v>31982</v>
          </cell>
          <cell r="CE6">
            <v>30758</v>
          </cell>
          <cell r="CF6">
            <v>812</v>
          </cell>
          <cell r="CG6">
            <v>412</v>
          </cell>
          <cell r="CH6">
            <v>34572</v>
          </cell>
          <cell r="CI6">
            <v>3890</v>
          </cell>
          <cell r="CJ6">
            <v>16691</v>
          </cell>
          <cell r="CK6">
            <v>10610</v>
          </cell>
          <cell r="CL6">
            <v>3381</v>
          </cell>
          <cell r="CM6">
            <v>22492</v>
          </cell>
          <cell r="CN6">
            <v>3789</v>
          </cell>
          <cell r="CO6">
            <v>6059</v>
          </cell>
          <cell r="CP6">
            <v>9584</v>
          </cell>
          <cell r="CQ6">
            <v>2064</v>
          </cell>
          <cell r="CR6">
            <v>996</v>
          </cell>
          <cell r="CS6">
            <v>15344</v>
          </cell>
          <cell r="CT6">
            <v>779</v>
          </cell>
          <cell r="CU6">
            <v>2033</v>
          </cell>
          <cell r="CV6">
            <v>12532</v>
          </cell>
          <cell r="CW6">
            <v>62341</v>
          </cell>
          <cell r="CX6">
            <v>14187</v>
          </cell>
          <cell r="CY6">
            <v>4025</v>
          </cell>
          <cell r="CZ6">
            <v>1161</v>
          </cell>
          <cell r="DA6">
            <v>3872</v>
          </cell>
          <cell r="DB6">
            <v>4884</v>
          </cell>
          <cell r="DC6">
            <v>245</v>
          </cell>
          <cell r="DD6">
            <v>4362</v>
          </cell>
          <cell r="DE6">
            <v>2847</v>
          </cell>
          <cell r="DF6">
            <v>264</v>
          </cell>
          <cell r="DG6">
            <v>1251</v>
          </cell>
          <cell r="DH6">
            <v>14378</v>
          </cell>
          <cell r="DI6">
            <v>4412</v>
          </cell>
          <cell r="DJ6">
            <v>3342</v>
          </cell>
          <cell r="DK6">
            <v>3217</v>
          </cell>
          <cell r="DL6">
            <v>2500</v>
          </cell>
          <cell r="DM6">
            <v>907</v>
          </cell>
          <cell r="DN6">
            <v>20150</v>
          </cell>
          <cell r="DO6">
            <v>3912</v>
          </cell>
          <cell r="DP6">
            <v>9135</v>
          </cell>
          <cell r="DQ6">
            <v>7103</v>
          </cell>
          <cell r="DR6">
            <v>9264</v>
          </cell>
          <cell r="DS6">
            <v>1761</v>
          </cell>
          <cell r="DT6">
            <v>3878</v>
          </cell>
          <cell r="DU6">
            <v>2074</v>
          </cell>
          <cell r="DV6">
            <v>1551</v>
          </cell>
          <cell r="DW6">
            <v>0</v>
          </cell>
          <cell r="DX6">
            <v>6133</v>
          </cell>
          <cell r="DY6">
            <v>64160</v>
          </cell>
          <cell r="DZ6">
            <v>52331</v>
          </cell>
          <cell r="EA6">
            <v>47685</v>
          </cell>
          <cell r="EB6">
            <v>0</v>
          </cell>
          <cell r="EC6">
            <v>0</v>
          </cell>
          <cell r="ED6">
            <v>0</v>
          </cell>
          <cell r="EE6">
            <v>0</v>
          </cell>
          <cell r="EF6">
            <v>4646</v>
          </cell>
          <cell r="EG6">
            <v>11829</v>
          </cell>
          <cell r="EH6">
            <v>75505</v>
          </cell>
          <cell r="EI6">
            <v>11858</v>
          </cell>
          <cell r="EJ6">
            <v>3380</v>
          </cell>
          <cell r="EK6">
            <v>184</v>
          </cell>
          <cell r="EL6">
            <v>8294</v>
          </cell>
          <cell r="EM6">
            <v>2193</v>
          </cell>
          <cell r="EN6">
            <v>4527</v>
          </cell>
          <cell r="EO6">
            <v>3835</v>
          </cell>
          <cell r="EP6">
            <v>692</v>
          </cell>
          <cell r="EQ6">
            <v>5746</v>
          </cell>
          <cell r="ER6">
            <v>15436</v>
          </cell>
          <cell r="ES6">
            <v>10789</v>
          </cell>
          <cell r="ET6">
            <v>1028</v>
          </cell>
          <cell r="EU6">
            <v>1246</v>
          </cell>
          <cell r="EV6">
            <v>1085</v>
          </cell>
          <cell r="EW6">
            <v>1288</v>
          </cell>
          <cell r="EX6">
            <v>26980</v>
          </cell>
          <cell r="EY6">
            <v>14240</v>
          </cell>
          <cell r="EZ6">
            <v>12740</v>
          </cell>
          <cell r="FA6">
            <v>8765</v>
          </cell>
          <cell r="FB6">
            <v>644608</v>
          </cell>
          <cell r="FC6">
            <v>487046</v>
          </cell>
          <cell r="FD6">
            <v>69561</v>
          </cell>
          <cell r="FE6">
            <v>18017</v>
          </cell>
          <cell r="FF6">
            <v>1525</v>
          </cell>
          <cell r="FG6">
            <v>31982</v>
          </cell>
          <cell r="FH6">
            <v>2033</v>
          </cell>
          <cell r="FI6">
            <v>12169</v>
          </cell>
          <cell r="FJ6">
            <v>3835</v>
          </cell>
          <cell r="FK6">
            <v>278202</v>
          </cell>
          <cell r="FL6">
            <v>55522</v>
          </cell>
          <cell r="FM6">
            <v>31299</v>
          </cell>
          <cell r="FN6">
            <v>30369</v>
          </cell>
          <cell r="FO6">
            <v>17738</v>
          </cell>
          <cell r="FP6">
            <v>31915</v>
          </cell>
          <cell r="FQ6">
            <v>3970</v>
          </cell>
          <cell r="FR6">
            <v>52563</v>
          </cell>
          <cell r="FS6">
            <v>2033</v>
          </cell>
          <cell r="FT6">
            <v>39788</v>
          </cell>
          <cell r="FU6">
            <v>13005</v>
          </cell>
          <cell r="FV6">
            <v>148255</v>
          </cell>
          <cell r="FW6">
            <v>55522</v>
          </cell>
          <cell r="FX6">
            <v>31299</v>
          </cell>
          <cell r="FY6">
            <v>17738</v>
          </cell>
          <cell r="FZ6">
            <v>3046</v>
          </cell>
          <cell r="GA6">
            <v>2445</v>
          </cell>
          <cell r="GB6">
            <v>16691</v>
          </cell>
          <cell r="GC6">
            <v>13220</v>
          </cell>
          <cell r="GD6">
            <v>8294</v>
          </cell>
          <cell r="GE6">
            <v>3239</v>
          </cell>
          <cell r="GF6">
            <v>-15026</v>
          </cell>
          <cell r="GG6">
            <v>18265</v>
          </cell>
          <cell r="GH6">
            <v>363167</v>
          </cell>
          <cell r="GI6">
            <v>711</v>
          </cell>
          <cell r="GJ6">
            <v>148742</v>
          </cell>
          <cell r="GK6">
            <v>2387</v>
          </cell>
          <cell r="GL6">
            <v>6187</v>
          </cell>
          <cell r="GM6">
            <v>36483</v>
          </cell>
          <cell r="GN6">
            <v>13311</v>
          </cell>
          <cell r="GO6">
            <v>22553</v>
          </cell>
          <cell r="GP6">
            <v>6133</v>
          </cell>
          <cell r="GQ6">
            <v>64160</v>
          </cell>
          <cell r="GR6">
            <v>62500</v>
          </cell>
          <cell r="GS6">
            <v>60386</v>
          </cell>
          <cell r="GT6">
            <v>30369</v>
          </cell>
          <cell r="GU6">
            <v>10852</v>
          </cell>
          <cell r="GV6">
            <v>3890</v>
          </cell>
          <cell r="GW6">
            <v>14399</v>
          </cell>
          <cell r="GX6">
            <v>876</v>
          </cell>
        </row>
        <row r="7">
          <cell r="A7">
            <v>1999</v>
          </cell>
          <cell r="B7">
            <v>671004</v>
          </cell>
          <cell r="C7">
            <v>57167</v>
          </cell>
          <cell r="D7">
            <v>50918</v>
          </cell>
          <cell r="E7">
            <v>9389</v>
          </cell>
          <cell r="F7">
            <v>11198</v>
          </cell>
          <cell r="G7">
            <v>2003</v>
          </cell>
          <cell r="H7">
            <v>7385</v>
          </cell>
          <cell r="I7">
            <v>1748</v>
          </cell>
          <cell r="J7">
            <v>3720</v>
          </cell>
          <cell r="K7">
            <v>7682</v>
          </cell>
          <cell r="L7">
            <v>5372</v>
          </cell>
          <cell r="M7">
            <v>2421</v>
          </cell>
          <cell r="N7">
            <v>6249</v>
          </cell>
          <cell r="O7">
            <v>1321</v>
          </cell>
          <cell r="P7">
            <v>4928</v>
          </cell>
          <cell r="Q7">
            <v>32188</v>
          </cell>
          <cell r="R7">
            <v>10555</v>
          </cell>
          <cell r="S7">
            <v>2911</v>
          </cell>
          <cell r="T7">
            <v>4541</v>
          </cell>
          <cell r="U7">
            <v>3103</v>
          </cell>
          <cell r="V7">
            <v>14078</v>
          </cell>
          <cell r="W7">
            <v>7555</v>
          </cell>
          <cell r="X7">
            <v>32359</v>
          </cell>
          <cell r="Y7">
            <v>27875</v>
          </cell>
          <cell r="Z7">
            <v>162</v>
          </cell>
          <cell r="AA7">
            <v>25684</v>
          </cell>
          <cell r="AB7">
            <v>1282</v>
          </cell>
          <cell r="AC7">
            <v>747</v>
          </cell>
          <cell r="AD7">
            <v>4484</v>
          </cell>
          <cell r="AE7">
            <v>4406</v>
          </cell>
          <cell r="AF7">
            <v>78</v>
          </cell>
          <cell r="AG7">
            <v>172957</v>
          </cell>
          <cell r="AH7">
            <v>25898</v>
          </cell>
          <cell r="AI7">
            <v>25805</v>
          </cell>
          <cell r="AJ7">
            <v>93</v>
          </cell>
          <cell r="AK7">
            <v>126524</v>
          </cell>
          <cell r="AL7">
            <v>122155</v>
          </cell>
          <cell r="AM7">
            <v>4369</v>
          </cell>
          <cell r="AN7">
            <v>1443</v>
          </cell>
          <cell r="AO7">
            <v>798</v>
          </cell>
          <cell r="AP7">
            <v>645</v>
          </cell>
          <cell r="AQ7">
            <v>5150</v>
          </cell>
          <cell r="AR7">
            <v>2614</v>
          </cell>
          <cell r="AS7">
            <v>62</v>
          </cell>
          <cell r="AT7">
            <v>2474</v>
          </cell>
          <cell r="AU7">
            <v>0</v>
          </cell>
          <cell r="AV7">
            <v>13942</v>
          </cell>
          <cell r="AW7">
            <v>7315</v>
          </cell>
          <cell r="AX7">
            <v>5618</v>
          </cell>
          <cell r="AY7">
            <v>406</v>
          </cell>
          <cell r="AZ7">
            <v>603</v>
          </cell>
          <cell r="BA7">
            <v>0</v>
          </cell>
          <cell r="BB7">
            <v>35523</v>
          </cell>
          <cell r="BC7">
            <v>14044</v>
          </cell>
          <cell r="BD7">
            <v>10888</v>
          </cell>
          <cell r="BE7">
            <v>3115</v>
          </cell>
          <cell r="BF7">
            <v>41</v>
          </cell>
          <cell r="BG7">
            <v>3718</v>
          </cell>
          <cell r="BH7">
            <v>5287</v>
          </cell>
          <cell r="BI7">
            <v>4197</v>
          </cell>
          <cell r="BJ7">
            <v>689</v>
          </cell>
          <cell r="BK7">
            <v>401</v>
          </cell>
          <cell r="BL7">
            <v>4025</v>
          </cell>
          <cell r="BM7">
            <v>3089</v>
          </cell>
          <cell r="BN7">
            <v>372</v>
          </cell>
          <cell r="BO7">
            <v>2717</v>
          </cell>
          <cell r="BP7">
            <v>5360</v>
          </cell>
          <cell r="BQ7">
            <v>3253</v>
          </cell>
          <cell r="BR7">
            <v>2107</v>
          </cell>
          <cell r="BS7">
            <v>9844</v>
          </cell>
          <cell r="BT7">
            <v>4149</v>
          </cell>
          <cell r="BU7">
            <v>2050</v>
          </cell>
          <cell r="BV7">
            <v>275</v>
          </cell>
          <cell r="BW7">
            <v>1824</v>
          </cell>
          <cell r="BX7">
            <v>3354</v>
          </cell>
          <cell r="BY7">
            <v>1995</v>
          </cell>
          <cell r="BZ7">
            <v>1141</v>
          </cell>
          <cell r="CA7">
            <v>218</v>
          </cell>
          <cell r="CB7">
            <v>2341</v>
          </cell>
          <cell r="CC7">
            <v>93975</v>
          </cell>
          <cell r="CD7">
            <v>33554</v>
          </cell>
          <cell r="CE7">
            <v>32080</v>
          </cell>
          <cell r="CF7">
            <v>946</v>
          </cell>
          <cell r="CG7">
            <v>528</v>
          </cell>
          <cell r="CH7">
            <v>36956</v>
          </cell>
          <cell r="CI7">
            <v>4064</v>
          </cell>
          <cell r="CJ7">
            <v>18254</v>
          </cell>
          <cell r="CK7">
            <v>11080</v>
          </cell>
          <cell r="CL7">
            <v>3558</v>
          </cell>
          <cell r="CM7">
            <v>23465</v>
          </cell>
          <cell r="CN7">
            <v>3897</v>
          </cell>
          <cell r="CO7">
            <v>6136</v>
          </cell>
          <cell r="CP7">
            <v>10139</v>
          </cell>
          <cell r="CQ7">
            <v>2159</v>
          </cell>
          <cell r="CR7">
            <v>1134</v>
          </cell>
          <cell r="CS7">
            <v>16175</v>
          </cell>
          <cell r="CT7">
            <v>750</v>
          </cell>
          <cell r="CU7">
            <v>2362</v>
          </cell>
          <cell r="CV7">
            <v>13063</v>
          </cell>
          <cell r="CW7">
            <v>67753</v>
          </cell>
          <cell r="CX7">
            <v>15774</v>
          </cell>
          <cell r="CY7">
            <v>4886</v>
          </cell>
          <cell r="CZ7">
            <v>1253</v>
          </cell>
          <cell r="DA7">
            <v>3828</v>
          </cell>
          <cell r="DB7">
            <v>5601</v>
          </cell>
          <cell r="DC7">
            <v>206</v>
          </cell>
          <cell r="DD7">
            <v>5131</v>
          </cell>
          <cell r="DE7">
            <v>3574</v>
          </cell>
          <cell r="DF7">
            <v>258</v>
          </cell>
          <cell r="DG7">
            <v>1299</v>
          </cell>
          <cell r="DH7">
            <v>15450</v>
          </cell>
          <cell r="DI7">
            <v>5209</v>
          </cell>
          <cell r="DJ7">
            <v>3363</v>
          </cell>
          <cell r="DK7">
            <v>3391</v>
          </cell>
          <cell r="DL7">
            <v>2455</v>
          </cell>
          <cell r="DM7">
            <v>1032</v>
          </cell>
          <cell r="DN7">
            <v>21220</v>
          </cell>
          <cell r="DO7">
            <v>4228</v>
          </cell>
          <cell r="DP7">
            <v>10049</v>
          </cell>
          <cell r="DQ7">
            <v>6943</v>
          </cell>
          <cell r="DR7">
            <v>10178</v>
          </cell>
          <cell r="DS7">
            <v>2073</v>
          </cell>
          <cell r="DT7">
            <v>4235</v>
          </cell>
          <cell r="DU7">
            <v>2211</v>
          </cell>
          <cell r="DV7">
            <v>1659</v>
          </cell>
          <cell r="DW7">
            <v>0</v>
          </cell>
          <cell r="DX7">
            <v>6436</v>
          </cell>
          <cell r="DY7">
            <v>67136</v>
          </cell>
          <cell r="DZ7">
            <v>55119</v>
          </cell>
          <cell r="EA7">
            <v>50227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4892</v>
          </cell>
          <cell r="EG7">
            <v>12017</v>
          </cell>
          <cell r="EH7">
            <v>79491</v>
          </cell>
          <cell r="EI7">
            <v>12903</v>
          </cell>
          <cell r="EJ7">
            <v>3710</v>
          </cell>
          <cell r="EK7">
            <v>220</v>
          </cell>
          <cell r="EL7">
            <v>8973</v>
          </cell>
          <cell r="EM7">
            <v>2360</v>
          </cell>
          <cell r="EN7">
            <v>4893</v>
          </cell>
          <cell r="EO7">
            <v>4212</v>
          </cell>
          <cell r="EP7">
            <v>681</v>
          </cell>
          <cell r="EQ7">
            <v>5746</v>
          </cell>
          <cell r="ER7">
            <v>15725</v>
          </cell>
          <cell r="ES7">
            <v>10860</v>
          </cell>
          <cell r="ET7">
            <v>1076</v>
          </cell>
          <cell r="EU7">
            <v>1304</v>
          </cell>
          <cell r="EV7">
            <v>1136</v>
          </cell>
          <cell r="EW7">
            <v>1349</v>
          </cell>
          <cell r="EX7">
            <v>28566</v>
          </cell>
          <cell r="EY7">
            <v>14336</v>
          </cell>
          <cell r="EZ7">
            <v>14230</v>
          </cell>
          <cell r="FA7">
            <v>9298</v>
          </cell>
          <cell r="FB7">
            <v>676602</v>
          </cell>
          <cell r="FC7">
            <v>514889</v>
          </cell>
          <cell r="FD7">
            <v>74323</v>
          </cell>
          <cell r="FE7">
            <v>18572</v>
          </cell>
          <cell r="FF7">
            <v>1824</v>
          </cell>
          <cell r="FG7">
            <v>33554</v>
          </cell>
          <cell r="FH7">
            <v>2362</v>
          </cell>
          <cell r="FI7">
            <v>13799</v>
          </cell>
          <cell r="FJ7">
            <v>4212</v>
          </cell>
          <cell r="FK7">
            <v>291682</v>
          </cell>
          <cell r="FL7">
            <v>57167</v>
          </cell>
          <cell r="FM7">
            <v>32188</v>
          </cell>
          <cell r="FN7">
            <v>31534</v>
          </cell>
          <cell r="FO7">
            <v>17354</v>
          </cell>
          <cell r="FP7">
            <v>32974</v>
          </cell>
          <cell r="FQ7">
            <v>4149</v>
          </cell>
          <cell r="FR7">
            <v>55872</v>
          </cell>
          <cell r="FS7">
            <v>2362</v>
          </cell>
          <cell r="FT7">
            <v>43996</v>
          </cell>
          <cell r="FU7">
            <v>14086</v>
          </cell>
          <cell r="FV7">
            <v>153465</v>
          </cell>
          <cell r="FW7">
            <v>57167</v>
          </cell>
          <cell r="FX7">
            <v>32188</v>
          </cell>
          <cell r="FY7">
            <v>17354</v>
          </cell>
          <cell r="FZ7">
            <v>3253</v>
          </cell>
          <cell r="GA7">
            <v>2325</v>
          </cell>
          <cell r="GB7">
            <v>18254</v>
          </cell>
          <cell r="GC7">
            <v>13951</v>
          </cell>
          <cell r="GD7">
            <v>8973</v>
          </cell>
          <cell r="GE7">
            <v>5598</v>
          </cell>
          <cell r="GF7">
            <v>-15099</v>
          </cell>
          <cell r="GG7">
            <v>20697</v>
          </cell>
          <cell r="GH7">
            <v>379322</v>
          </cell>
          <cell r="GI7">
            <v>825</v>
          </cell>
          <cell r="GJ7">
            <v>155603</v>
          </cell>
          <cell r="GK7">
            <v>2549</v>
          </cell>
          <cell r="GL7">
            <v>5695</v>
          </cell>
          <cell r="GM7">
            <v>38103</v>
          </cell>
          <cell r="GN7">
            <v>13813</v>
          </cell>
          <cell r="GO7">
            <v>23757</v>
          </cell>
          <cell r="GP7">
            <v>6436</v>
          </cell>
          <cell r="GQ7">
            <v>67136</v>
          </cell>
          <cell r="GR7">
            <v>65405</v>
          </cell>
          <cell r="GS7">
            <v>63894</v>
          </cell>
          <cell r="GT7">
            <v>31534</v>
          </cell>
          <cell r="GU7">
            <v>11149</v>
          </cell>
          <cell r="GV7">
            <v>4064</v>
          </cell>
          <cell r="GW7">
            <v>16246</v>
          </cell>
          <cell r="GX7">
            <v>901</v>
          </cell>
        </row>
        <row r="8">
          <cell r="A8">
            <v>2000</v>
          </cell>
          <cell r="B8">
            <v>702075</v>
          </cell>
          <cell r="C8">
            <v>57198</v>
          </cell>
          <cell r="D8">
            <v>50714</v>
          </cell>
          <cell r="E8">
            <v>9460</v>
          </cell>
          <cell r="F8">
            <v>11312</v>
          </cell>
          <cell r="G8">
            <v>2104</v>
          </cell>
          <cell r="H8">
            <v>7323</v>
          </cell>
          <cell r="I8">
            <v>1550</v>
          </cell>
          <cell r="J8">
            <v>3805</v>
          </cell>
          <cell r="K8">
            <v>7586</v>
          </cell>
          <cell r="L8">
            <v>5353</v>
          </cell>
          <cell r="M8">
            <v>2221</v>
          </cell>
          <cell r="N8">
            <v>6484</v>
          </cell>
          <cell r="O8">
            <v>1334</v>
          </cell>
          <cell r="P8">
            <v>5150</v>
          </cell>
          <cell r="Q8">
            <v>32641</v>
          </cell>
          <cell r="R8">
            <v>10924</v>
          </cell>
          <cell r="S8">
            <v>2925</v>
          </cell>
          <cell r="T8">
            <v>4832</v>
          </cell>
          <cell r="U8">
            <v>3167</v>
          </cell>
          <cell r="V8">
            <v>14139</v>
          </cell>
          <cell r="W8">
            <v>7578</v>
          </cell>
          <cell r="X8">
            <v>34467</v>
          </cell>
          <cell r="Y8">
            <v>30028</v>
          </cell>
          <cell r="Z8">
            <v>190</v>
          </cell>
          <cell r="AA8">
            <v>27531</v>
          </cell>
          <cell r="AB8">
            <v>1489</v>
          </cell>
          <cell r="AC8">
            <v>818</v>
          </cell>
          <cell r="AD8">
            <v>4439</v>
          </cell>
          <cell r="AE8">
            <v>4387</v>
          </cell>
          <cell r="AF8">
            <v>52</v>
          </cell>
          <cell r="AG8">
            <v>179127</v>
          </cell>
          <cell r="AH8">
            <v>27358</v>
          </cell>
          <cell r="AI8">
            <v>27264</v>
          </cell>
          <cell r="AJ8">
            <v>94</v>
          </cell>
          <cell r="AK8">
            <v>130324</v>
          </cell>
          <cell r="AL8">
            <v>125815</v>
          </cell>
          <cell r="AM8">
            <v>4509</v>
          </cell>
          <cell r="AN8">
            <v>1535</v>
          </cell>
          <cell r="AO8">
            <v>823</v>
          </cell>
          <cell r="AP8">
            <v>712</v>
          </cell>
          <cell r="AQ8">
            <v>5062</v>
          </cell>
          <cell r="AR8">
            <v>2453</v>
          </cell>
          <cell r="AS8">
            <v>73</v>
          </cell>
          <cell r="AT8">
            <v>2536</v>
          </cell>
          <cell r="AU8">
            <v>0</v>
          </cell>
          <cell r="AV8">
            <v>14848</v>
          </cell>
          <cell r="AW8">
            <v>7506</v>
          </cell>
          <cell r="AX8">
            <v>6184</v>
          </cell>
          <cell r="AY8">
            <v>670</v>
          </cell>
          <cell r="AZ8">
            <v>488</v>
          </cell>
          <cell r="BA8">
            <v>0</v>
          </cell>
          <cell r="BB8">
            <v>37543</v>
          </cell>
          <cell r="BC8">
            <v>14843</v>
          </cell>
          <cell r="BD8">
            <v>11557</v>
          </cell>
          <cell r="BE8">
            <v>3238</v>
          </cell>
          <cell r="BF8">
            <v>48</v>
          </cell>
          <cell r="BG8">
            <v>3835</v>
          </cell>
          <cell r="BH8">
            <v>5642</v>
          </cell>
          <cell r="BI8">
            <v>4513</v>
          </cell>
          <cell r="BJ8">
            <v>716</v>
          </cell>
          <cell r="BK8">
            <v>413</v>
          </cell>
          <cell r="BL8">
            <v>4371</v>
          </cell>
          <cell r="BM8">
            <v>3032</v>
          </cell>
          <cell r="BN8">
            <v>374</v>
          </cell>
          <cell r="BO8">
            <v>2658</v>
          </cell>
          <cell r="BP8">
            <v>5820</v>
          </cell>
          <cell r="BQ8">
            <v>3371</v>
          </cell>
          <cell r="BR8">
            <v>2449</v>
          </cell>
          <cell r="BS8">
            <v>10022</v>
          </cell>
          <cell r="BT8">
            <v>4403</v>
          </cell>
          <cell r="BU8">
            <v>1973</v>
          </cell>
          <cell r="BV8">
            <v>288</v>
          </cell>
          <cell r="BW8">
            <v>2142</v>
          </cell>
          <cell r="BX8">
            <v>3195</v>
          </cell>
          <cell r="BY8">
            <v>1726</v>
          </cell>
          <cell r="BZ8">
            <v>1225</v>
          </cell>
          <cell r="CA8">
            <v>244</v>
          </cell>
          <cell r="CB8">
            <v>2424</v>
          </cell>
          <cell r="CC8">
            <v>99204</v>
          </cell>
          <cell r="CD8">
            <v>34461</v>
          </cell>
          <cell r="CE8">
            <v>32970</v>
          </cell>
          <cell r="CF8">
            <v>911</v>
          </cell>
          <cell r="CG8">
            <v>580</v>
          </cell>
          <cell r="CH8">
            <v>39090</v>
          </cell>
          <cell r="CI8">
            <v>3610</v>
          </cell>
          <cell r="CJ8">
            <v>20071</v>
          </cell>
          <cell r="CK8">
            <v>11628</v>
          </cell>
          <cell r="CL8">
            <v>3781</v>
          </cell>
          <cell r="CM8">
            <v>25653</v>
          </cell>
          <cell r="CN8">
            <v>4238</v>
          </cell>
          <cell r="CO8">
            <v>6844</v>
          </cell>
          <cell r="CP8">
            <v>11103</v>
          </cell>
          <cell r="CQ8">
            <v>2187</v>
          </cell>
          <cell r="CR8">
            <v>1281</v>
          </cell>
          <cell r="CS8">
            <v>17689</v>
          </cell>
          <cell r="CT8">
            <v>698</v>
          </cell>
          <cell r="CU8">
            <v>2913</v>
          </cell>
          <cell r="CV8">
            <v>14078</v>
          </cell>
          <cell r="CW8">
            <v>72414</v>
          </cell>
          <cell r="CX8">
            <v>16098</v>
          </cell>
          <cell r="CY8">
            <v>4799</v>
          </cell>
          <cell r="CZ8">
            <v>1435</v>
          </cell>
          <cell r="DA8">
            <v>3984</v>
          </cell>
          <cell r="DB8">
            <v>5655</v>
          </cell>
          <cell r="DC8">
            <v>225</v>
          </cell>
          <cell r="DD8">
            <v>4964</v>
          </cell>
          <cell r="DE8">
            <v>3365</v>
          </cell>
          <cell r="DF8">
            <v>257</v>
          </cell>
          <cell r="DG8">
            <v>1342</v>
          </cell>
          <cell r="DH8">
            <v>16989</v>
          </cell>
          <cell r="DI8">
            <v>5963</v>
          </cell>
          <cell r="DJ8">
            <v>3562</v>
          </cell>
          <cell r="DK8">
            <v>3668</v>
          </cell>
          <cell r="DL8">
            <v>2738</v>
          </cell>
          <cell r="DM8">
            <v>1058</v>
          </cell>
          <cell r="DN8">
            <v>23135</v>
          </cell>
          <cell r="DO8">
            <v>4828</v>
          </cell>
          <cell r="DP8">
            <v>11283</v>
          </cell>
          <cell r="DQ8">
            <v>7024</v>
          </cell>
          <cell r="DR8">
            <v>11228</v>
          </cell>
          <cell r="DS8">
            <v>2441</v>
          </cell>
          <cell r="DT8">
            <v>4463</v>
          </cell>
          <cell r="DU8">
            <v>2458</v>
          </cell>
          <cell r="DV8">
            <v>1866</v>
          </cell>
          <cell r="DW8">
            <v>0</v>
          </cell>
          <cell r="DX8">
            <v>6677</v>
          </cell>
          <cell r="DY8">
            <v>71032</v>
          </cell>
          <cell r="DZ8">
            <v>58008</v>
          </cell>
          <cell r="EA8">
            <v>52732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5276</v>
          </cell>
          <cell r="EG8">
            <v>13024</v>
          </cell>
          <cell r="EH8">
            <v>84061</v>
          </cell>
          <cell r="EI8">
            <v>13445</v>
          </cell>
          <cell r="EJ8">
            <v>4026</v>
          </cell>
          <cell r="EK8">
            <v>245</v>
          </cell>
          <cell r="EL8">
            <v>9174</v>
          </cell>
          <cell r="EM8">
            <v>2538</v>
          </cell>
          <cell r="EN8">
            <v>5058</v>
          </cell>
          <cell r="EO8">
            <v>4351</v>
          </cell>
          <cell r="EP8">
            <v>707</v>
          </cell>
          <cell r="EQ8">
            <v>6264</v>
          </cell>
          <cell r="ER8">
            <v>15229</v>
          </cell>
          <cell r="ES8">
            <v>11304</v>
          </cell>
          <cell r="ET8">
            <v>864</v>
          </cell>
          <cell r="EU8">
            <v>1051</v>
          </cell>
          <cell r="EV8">
            <v>928</v>
          </cell>
          <cell r="EW8">
            <v>1082</v>
          </cell>
          <cell r="EX8">
            <v>32126</v>
          </cell>
          <cell r="EY8">
            <v>16809</v>
          </cell>
          <cell r="EZ8">
            <v>15317</v>
          </cell>
          <cell r="FA8">
            <v>9401</v>
          </cell>
          <cell r="FB8">
            <v>709394</v>
          </cell>
          <cell r="FC8">
            <v>545435</v>
          </cell>
          <cell r="FD8">
            <v>77389</v>
          </cell>
          <cell r="FE8">
            <v>19682</v>
          </cell>
          <cell r="FF8">
            <v>2142</v>
          </cell>
          <cell r="FG8">
            <v>34461</v>
          </cell>
          <cell r="FH8">
            <v>2913</v>
          </cell>
          <cell r="FI8">
            <v>13840</v>
          </cell>
          <cell r="FJ8">
            <v>4351</v>
          </cell>
          <cell r="FK8">
            <v>302782</v>
          </cell>
          <cell r="FL8">
            <v>57198</v>
          </cell>
          <cell r="FM8">
            <v>32641</v>
          </cell>
          <cell r="FN8">
            <v>33597</v>
          </cell>
          <cell r="FO8">
            <v>18124</v>
          </cell>
          <cell r="FP8">
            <v>34633</v>
          </cell>
          <cell r="FQ8">
            <v>4403</v>
          </cell>
          <cell r="FR8">
            <v>58142</v>
          </cell>
          <cell r="FS8">
            <v>2913</v>
          </cell>
          <cell r="FT8">
            <v>46654</v>
          </cell>
          <cell r="FU8">
            <v>14477</v>
          </cell>
          <cell r="FV8">
            <v>158033</v>
          </cell>
          <cell r="FW8">
            <v>57198</v>
          </cell>
          <cell r="FX8">
            <v>32641</v>
          </cell>
          <cell r="FY8">
            <v>18124</v>
          </cell>
          <cell r="FZ8">
            <v>3371</v>
          </cell>
          <cell r="GA8">
            <v>2261</v>
          </cell>
          <cell r="GB8">
            <v>20071</v>
          </cell>
          <cell r="GC8">
            <v>15193</v>
          </cell>
          <cell r="GD8">
            <v>9174</v>
          </cell>
          <cell r="GE8">
            <v>7319</v>
          </cell>
          <cell r="GF8">
            <v>-15779</v>
          </cell>
          <cell r="GG8">
            <v>23098</v>
          </cell>
          <cell r="GH8">
            <v>399293</v>
          </cell>
          <cell r="GI8">
            <v>870</v>
          </cell>
          <cell r="GJ8">
            <v>161003</v>
          </cell>
          <cell r="GK8">
            <v>2910</v>
          </cell>
          <cell r="GL8">
            <v>5619</v>
          </cell>
          <cell r="GM8">
            <v>41062</v>
          </cell>
          <cell r="GN8">
            <v>14776</v>
          </cell>
          <cell r="GO8">
            <v>25760</v>
          </cell>
          <cell r="GP8">
            <v>6677</v>
          </cell>
          <cell r="GQ8">
            <v>71032</v>
          </cell>
          <cell r="GR8">
            <v>69584</v>
          </cell>
          <cell r="GS8">
            <v>67360</v>
          </cell>
          <cell r="GT8">
            <v>33597</v>
          </cell>
          <cell r="GU8">
            <v>11580</v>
          </cell>
          <cell r="GV8">
            <v>3610</v>
          </cell>
          <cell r="GW8">
            <v>17621</v>
          </cell>
          <cell r="GX8">
            <v>952</v>
          </cell>
        </row>
        <row r="9">
          <cell r="A9">
            <v>2001</v>
          </cell>
          <cell r="B9">
            <v>728182</v>
          </cell>
          <cell r="C9">
            <v>59321</v>
          </cell>
          <cell r="D9">
            <v>52400</v>
          </cell>
          <cell r="E9">
            <v>9676</v>
          </cell>
          <cell r="F9">
            <v>11642</v>
          </cell>
          <cell r="G9">
            <v>2306</v>
          </cell>
          <cell r="H9">
            <v>7153</v>
          </cell>
          <cell r="I9">
            <v>1681</v>
          </cell>
          <cell r="J9">
            <v>3937</v>
          </cell>
          <cell r="K9">
            <v>8127</v>
          </cell>
          <cell r="L9">
            <v>5522</v>
          </cell>
          <cell r="M9">
            <v>2356</v>
          </cell>
          <cell r="N9">
            <v>6921</v>
          </cell>
          <cell r="O9">
            <v>1380</v>
          </cell>
          <cell r="P9">
            <v>5541</v>
          </cell>
          <cell r="Q9">
            <v>32726</v>
          </cell>
          <cell r="R9">
            <v>11111</v>
          </cell>
          <cell r="S9">
            <v>2925</v>
          </cell>
          <cell r="T9">
            <v>5037</v>
          </cell>
          <cell r="U9">
            <v>3149</v>
          </cell>
          <cell r="V9">
            <v>14201</v>
          </cell>
          <cell r="W9">
            <v>7414</v>
          </cell>
          <cell r="X9">
            <v>35873</v>
          </cell>
          <cell r="Y9">
            <v>31089</v>
          </cell>
          <cell r="Z9">
            <v>151</v>
          </cell>
          <cell r="AA9">
            <v>29018</v>
          </cell>
          <cell r="AB9">
            <v>1265</v>
          </cell>
          <cell r="AC9">
            <v>655</v>
          </cell>
          <cell r="AD9">
            <v>4784</v>
          </cell>
          <cell r="AE9">
            <v>4718</v>
          </cell>
          <cell r="AF9">
            <v>66</v>
          </cell>
          <cell r="AG9">
            <v>185554</v>
          </cell>
          <cell r="AH9">
            <v>28054</v>
          </cell>
          <cell r="AI9">
            <v>27961</v>
          </cell>
          <cell r="AJ9">
            <v>93</v>
          </cell>
          <cell r="AK9">
            <v>135936</v>
          </cell>
          <cell r="AL9">
            <v>131270</v>
          </cell>
          <cell r="AM9">
            <v>4666</v>
          </cell>
          <cell r="AN9">
            <v>1768</v>
          </cell>
          <cell r="AO9">
            <v>923</v>
          </cell>
          <cell r="AP9">
            <v>845</v>
          </cell>
          <cell r="AQ9">
            <v>5133</v>
          </cell>
          <cell r="AR9">
            <v>2490</v>
          </cell>
          <cell r="AS9">
            <v>118</v>
          </cell>
          <cell r="AT9">
            <v>2525</v>
          </cell>
          <cell r="AU9">
            <v>0</v>
          </cell>
          <cell r="AV9">
            <v>14663</v>
          </cell>
          <cell r="AW9">
            <v>7282</v>
          </cell>
          <cell r="AX9">
            <v>6146</v>
          </cell>
          <cell r="AY9">
            <v>600</v>
          </cell>
          <cell r="AZ9">
            <v>635</v>
          </cell>
          <cell r="BA9">
            <v>0</v>
          </cell>
          <cell r="BB9">
            <v>40532</v>
          </cell>
          <cell r="BC9">
            <v>15745</v>
          </cell>
          <cell r="BD9">
            <v>12182</v>
          </cell>
          <cell r="BE9">
            <v>3512</v>
          </cell>
          <cell r="BF9">
            <v>51</v>
          </cell>
          <cell r="BG9">
            <v>4127</v>
          </cell>
          <cell r="BH9">
            <v>6595</v>
          </cell>
          <cell r="BI9">
            <v>5415</v>
          </cell>
          <cell r="BJ9">
            <v>769</v>
          </cell>
          <cell r="BK9">
            <v>411</v>
          </cell>
          <cell r="BL9">
            <v>4406</v>
          </cell>
          <cell r="BM9">
            <v>3255</v>
          </cell>
          <cell r="BN9">
            <v>456</v>
          </cell>
          <cell r="BO9">
            <v>2799</v>
          </cell>
          <cell r="BP9">
            <v>6404</v>
          </cell>
          <cell r="BQ9">
            <v>3861</v>
          </cell>
          <cell r="BR9">
            <v>2543</v>
          </cell>
          <cell r="BS9">
            <v>11687</v>
          </cell>
          <cell r="BT9">
            <v>4865</v>
          </cell>
          <cell r="BU9">
            <v>2815</v>
          </cell>
          <cell r="BV9">
            <v>248</v>
          </cell>
          <cell r="BW9">
            <v>1802</v>
          </cell>
          <cell r="BX9">
            <v>4137</v>
          </cell>
          <cell r="BY9">
            <v>2639</v>
          </cell>
          <cell r="BZ9">
            <v>1171</v>
          </cell>
          <cell r="CA9">
            <v>327</v>
          </cell>
          <cell r="CB9">
            <v>2685</v>
          </cell>
          <cell r="CC9">
            <v>103985</v>
          </cell>
          <cell r="CD9">
            <v>38875</v>
          </cell>
          <cell r="CE9">
            <v>37357</v>
          </cell>
          <cell r="CF9">
            <v>922</v>
          </cell>
          <cell r="CG9">
            <v>596</v>
          </cell>
          <cell r="CH9">
            <v>39080</v>
          </cell>
          <cell r="CI9">
            <v>3585</v>
          </cell>
          <cell r="CJ9">
            <v>19633</v>
          </cell>
          <cell r="CK9">
            <v>11956</v>
          </cell>
          <cell r="CL9">
            <v>3906</v>
          </cell>
          <cell r="CM9">
            <v>26030</v>
          </cell>
          <cell r="CN9">
            <v>4096</v>
          </cell>
          <cell r="CO9">
            <v>6846</v>
          </cell>
          <cell r="CP9">
            <v>11404</v>
          </cell>
          <cell r="CQ9">
            <v>2365</v>
          </cell>
          <cell r="CR9">
            <v>1319</v>
          </cell>
          <cell r="CS9">
            <v>18094</v>
          </cell>
          <cell r="CT9">
            <v>852</v>
          </cell>
          <cell r="CU9">
            <v>3105</v>
          </cell>
          <cell r="CV9">
            <v>14137</v>
          </cell>
          <cell r="CW9">
            <v>75714</v>
          </cell>
          <cell r="CX9">
            <v>16626</v>
          </cell>
          <cell r="CY9">
            <v>5279</v>
          </cell>
          <cell r="CZ9">
            <v>1537</v>
          </cell>
          <cell r="DA9">
            <v>4175</v>
          </cell>
          <cell r="DB9">
            <v>5406</v>
          </cell>
          <cell r="DC9">
            <v>229</v>
          </cell>
          <cell r="DD9">
            <v>5557</v>
          </cell>
          <cell r="DE9">
            <v>3853</v>
          </cell>
          <cell r="DF9">
            <v>321</v>
          </cell>
          <cell r="DG9">
            <v>1383</v>
          </cell>
          <cell r="DH9">
            <v>18068</v>
          </cell>
          <cell r="DI9">
            <v>6513</v>
          </cell>
          <cell r="DJ9">
            <v>3793</v>
          </cell>
          <cell r="DK9">
            <v>3722</v>
          </cell>
          <cell r="DL9">
            <v>3092</v>
          </cell>
          <cell r="DM9">
            <v>948</v>
          </cell>
          <cell r="DN9">
            <v>23959</v>
          </cell>
          <cell r="DO9">
            <v>5472</v>
          </cell>
          <cell r="DP9">
            <v>11071</v>
          </cell>
          <cell r="DQ9">
            <v>7416</v>
          </cell>
          <cell r="DR9">
            <v>11504</v>
          </cell>
          <cell r="DS9">
            <v>2645</v>
          </cell>
          <cell r="DT9">
            <v>4724</v>
          </cell>
          <cell r="DU9">
            <v>2413</v>
          </cell>
          <cell r="DV9">
            <v>1722</v>
          </cell>
          <cell r="DW9">
            <v>0</v>
          </cell>
          <cell r="DX9">
            <v>7500</v>
          </cell>
          <cell r="DY9">
            <v>72988</v>
          </cell>
          <cell r="DZ9">
            <v>59861</v>
          </cell>
          <cell r="EA9">
            <v>55229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4632</v>
          </cell>
          <cell r="EG9">
            <v>13127</v>
          </cell>
          <cell r="EH9">
            <v>84208</v>
          </cell>
          <cell r="EI9">
            <v>14245</v>
          </cell>
          <cell r="EJ9">
            <v>4475</v>
          </cell>
          <cell r="EK9">
            <v>239</v>
          </cell>
          <cell r="EL9">
            <v>9531</v>
          </cell>
          <cell r="EM9">
            <v>2733</v>
          </cell>
          <cell r="EN9">
            <v>5597</v>
          </cell>
          <cell r="EO9">
            <v>4655</v>
          </cell>
          <cell r="EP9">
            <v>942</v>
          </cell>
          <cell r="EQ9">
            <v>6551</v>
          </cell>
          <cell r="ER9">
            <v>16623</v>
          </cell>
          <cell r="ES9">
            <v>9602</v>
          </cell>
          <cell r="ET9">
            <v>1555</v>
          </cell>
          <cell r="EU9">
            <v>1890</v>
          </cell>
          <cell r="EV9">
            <v>1626</v>
          </cell>
          <cell r="EW9">
            <v>1950</v>
          </cell>
          <cell r="EX9">
            <v>29509</v>
          </cell>
          <cell r="EY9">
            <v>13982</v>
          </cell>
          <cell r="EZ9">
            <v>15527</v>
          </cell>
          <cell r="FA9">
            <v>8950</v>
          </cell>
          <cell r="FB9">
            <v>737854</v>
          </cell>
          <cell r="FC9">
            <v>566198</v>
          </cell>
          <cell r="FD9">
            <v>85167</v>
          </cell>
          <cell r="FE9">
            <v>21565</v>
          </cell>
          <cell r="FF9">
            <v>1802</v>
          </cell>
          <cell r="FG9">
            <v>38875</v>
          </cell>
          <cell r="FH9">
            <v>3105</v>
          </cell>
          <cell r="FI9">
            <v>15165</v>
          </cell>
          <cell r="FJ9">
            <v>4655</v>
          </cell>
          <cell r="FK9">
            <v>317427</v>
          </cell>
          <cell r="FL9">
            <v>59321</v>
          </cell>
          <cell r="FM9">
            <v>32726</v>
          </cell>
          <cell r="FN9">
            <v>35152</v>
          </cell>
          <cell r="FO9">
            <v>18076</v>
          </cell>
          <cell r="FP9">
            <v>37527</v>
          </cell>
          <cell r="FQ9">
            <v>4865</v>
          </cell>
          <cell r="FR9">
            <v>62093</v>
          </cell>
          <cell r="FS9">
            <v>3105</v>
          </cell>
          <cell r="FT9">
            <v>49195</v>
          </cell>
          <cell r="FU9">
            <v>15367</v>
          </cell>
          <cell r="FV9">
            <v>161884</v>
          </cell>
          <cell r="FW9">
            <v>59321</v>
          </cell>
          <cell r="FX9">
            <v>32726</v>
          </cell>
          <cell r="FY9">
            <v>18076</v>
          </cell>
          <cell r="FZ9">
            <v>3861</v>
          </cell>
          <cell r="GA9">
            <v>3063</v>
          </cell>
          <cell r="GB9">
            <v>19633</v>
          </cell>
          <cell r="GC9">
            <v>15673</v>
          </cell>
          <cell r="GD9">
            <v>9531</v>
          </cell>
          <cell r="GE9">
            <v>9672</v>
          </cell>
          <cell r="GF9">
            <v>-14580</v>
          </cell>
          <cell r="GG9">
            <v>24252</v>
          </cell>
          <cell r="GH9">
            <v>410755</v>
          </cell>
          <cell r="GI9">
            <v>721</v>
          </cell>
          <cell r="GJ9">
            <v>167478</v>
          </cell>
          <cell r="GK9">
            <v>3005</v>
          </cell>
          <cell r="GL9">
            <v>6822</v>
          </cell>
          <cell r="GM9">
            <v>41892</v>
          </cell>
          <cell r="GN9">
            <v>14989</v>
          </cell>
          <cell r="GO9">
            <v>26519</v>
          </cell>
          <cell r="GP9">
            <v>7500</v>
          </cell>
          <cell r="GQ9">
            <v>72988</v>
          </cell>
          <cell r="GR9">
            <v>68841</v>
          </cell>
          <cell r="GS9">
            <v>70376</v>
          </cell>
          <cell r="GT9">
            <v>35152</v>
          </cell>
          <cell r="GU9">
            <v>12101</v>
          </cell>
          <cell r="GV9">
            <v>3585</v>
          </cell>
          <cell r="GW9">
            <v>18357</v>
          </cell>
          <cell r="GX9">
            <v>1181</v>
          </cell>
        </row>
        <row r="10">
          <cell r="A10">
            <v>2002</v>
          </cell>
          <cell r="B10">
            <v>751921</v>
          </cell>
          <cell r="C10">
            <v>60577</v>
          </cell>
          <cell r="D10">
            <v>53726</v>
          </cell>
          <cell r="E10">
            <v>10151</v>
          </cell>
          <cell r="F10">
            <v>11674</v>
          </cell>
          <cell r="G10">
            <v>2485</v>
          </cell>
          <cell r="H10">
            <v>7161</v>
          </cell>
          <cell r="I10">
            <v>1663</v>
          </cell>
          <cell r="J10">
            <v>4264</v>
          </cell>
          <cell r="K10">
            <v>8203</v>
          </cell>
          <cell r="L10">
            <v>5758</v>
          </cell>
          <cell r="M10">
            <v>2367</v>
          </cell>
          <cell r="N10">
            <v>6851</v>
          </cell>
          <cell r="O10">
            <v>1344</v>
          </cell>
          <cell r="P10">
            <v>5507</v>
          </cell>
          <cell r="Q10">
            <v>32534</v>
          </cell>
          <cell r="R10">
            <v>11552</v>
          </cell>
          <cell r="S10">
            <v>2922</v>
          </cell>
          <cell r="T10">
            <v>5366</v>
          </cell>
          <cell r="U10">
            <v>3264</v>
          </cell>
          <cell r="V10">
            <v>14215</v>
          </cell>
          <cell r="W10">
            <v>6767</v>
          </cell>
          <cell r="X10">
            <v>38744</v>
          </cell>
          <cell r="Y10">
            <v>33463</v>
          </cell>
          <cell r="Z10">
            <v>129</v>
          </cell>
          <cell r="AA10">
            <v>31470</v>
          </cell>
          <cell r="AB10">
            <v>1274</v>
          </cell>
          <cell r="AC10">
            <v>590</v>
          </cell>
          <cell r="AD10">
            <v>5281</v>
          </cell>
          <cell r="AE10">
            <v>5211</v>
          </cell>
          <cell r="AF10">
            <v>70</v>
          </cell>
          <cell r="AG10">
            <v>191607</v>
          </cell>
          <cell r="AH10">
            <v>30613</v>
          </cell>
          <cell r="AI10">
            <v>30511</v>
          </cell>
          <cell r="AJ10">
            <v>102</v>
          </cell>
          <cell r="AK10">
            <v>138810</v>
          </cell>
          <cell r="AL10">
            <v>133838</v>
          </cell>
          <cell r="AM10">
            <v>4972</v>
          </cell>
          <cell r="AN10">
            <v>1867</v>
          </cell>
          <cell r="AO10">
            <v>935</v>
          </cell>
          <cell r="AP10">
            <v>932</v>
          </cell>
          <cell r="AQ10">
            <v>5565</v>
          </cell>
          <cell r="AR10">
            <v>2698</v>
          </cell>
          <cell r="AS10">
            <v>179</v>
          </cell>
          <cell r="AT10">
            <v>2688</v>
          </cell>
          <cell r="AU10">
            <v>0</v>
          </cell>
          <cell r="AV10">
            <v>14752</v>
          </cell>
          <cell r="AW10">
            <v>7690</v>
          </cell>
          <cell r="AX10">
            <v>6016</v>
          </cell>
          <cell r="AY10">
            <v>566</v>
          </cell>
          <cell r="AZ10">
            <v>480</v>
          </cell>
          <cell r="BA10">
            <v>0</v>
          </cell>
          <cell r="BB10">
            <v>41577</v>
          </cell>
          <cell r="BC10">
            <v>16521</v>
          </cell>
          <cell r="BD10">
            <v>13027</v>
          </cell>
          <cell r="BE10">
            <v>3480</v>
          </cell>
          <cell r="BF10">
            <v>14</v>
          </cell>
          <cell r="BG10">
            <v>4276</v>
          </cell>
          <cell r="BH10">
            <v>6379</v>
          </cell>
          <cell r="BI10">
            <v>5202</v>
          </cell>
          <cell r="BJ10">
            <v>821</v>
          </cell>
          <cell r="BK10">
            <v>356</v>
          </cell>
          <cell r="BL10">
            <v>4075</v>
          </cell>
          <cell r="BM10">
            <v>3566</v>
          </cell>
          <cell r="BN10">
            <v>409</v>
          </cell>
          <cell r="BO10">
            <v>3157</v>
          </cell>
          <cell r="BP10">
            <v>6760</v>
          </cell>
          <cell r="BQ10">
            <v>4317</v>
          </cell>
          <cell r="BR10">
            <v>2443</v>
          </cell>
          <cell r="BS10">
            <v>12474</v>
          </cell>
          <cell r="BT10">
            <v>5384</v>
          </cell>
          <cell r="BU10">
            <v>3050</v>
          </cell>
          <cell r="BV10">
            <v>243</v>
          </cell>
          <cell r="BW10">
            <v>2091</v>
          </cell>
          <cell r="BX10">
            <v>4313</v>
          </cell>
          <cell r="BY10">
            <v>2628</v>
          </cell>
          <cell r="BZ10">
            <v>1265</v>
          </cell>
          <cell r="CA10">
            <v>420</v>
          </cell>
          <cell r="CB10">
            <v>2777</v>
          </cell>
          <cell r="CC10">
            <v>105657</v>
          </cell>
          <cell r="CD10">
            <v>39147</v>
          </cell>
          <cell r="CE10">
            <v>37637</v>
          </cell>
          <cell r="CF10">
            <v>948</v>
          </cell>
          <cell r="CG10">
            <v>562</v>
          </cell>
          <cell r="CH10">
            <v>40350</v>
          </cell>
          <cell r="CI10">
            <v>3469</v>
          </cell>
          <cell r="CJ10">
            <v>19088</v>
          </cell>
          <cell r="CK10">
            <v>13577</v>
          </cell>
          <cell r="CL10">
            <v>4216</v>
          </cell>
          <cell r="CM10">
            <v>26160</v>
          </cell>
          <cell r="CN10">
            <v>3913</v>
          </cell>
          <cell r="CO10">
            <v>6666</v>
          </cell>
          <cell r="CP10">
            <v>11481</v>
          </cell>
          <cell r="CQ10">
            <v>2753</v>
          </cell>
          <cell r="CR10">
            <v>1347</v>
          </cell>
          <cell r="CS10">
            <v>18113</v>
          </cell>
          <cell r="CT10">
            <v>573</v>
          </cell>
          <cell r="CU10">
            <v>2951</v>
          </cell>
          <cell r="CV10">
            <v>14589</v>
          </cell>
          <cell r="CW10">
            <v>80367</v>
          </cell>
          <cell r="CX10">
            <v>17215</v>
          </cell>
          <cell r="CY10">
            <v>5538</v>
          </cell>
          <cell r="CZ10">
            <v>1692</v>
          </cell>
          <cell r="DA10">
            <v>3671</v>
          </cell>
          <cell r="DB10">
            <v>6125</v>
          </cell>
          <cell r="DC10">
            <v>189</v>
          </cell>
          <cell r="DD10">
            <v>5686</v>
          </cell>
          <cell r="DE10">
            <v>4064</v>
          </cell>
          <cell r="DF10">
            <v>152</v>
          </cell>
          <cell r="DG10">
            <v>1470</v>
          </cell>
          <cell r="DH10">
            <v>19085</v>
          </cell>
          <cell r="DI10">
            <v>6891</v>
          </cell>
          <cell r="DJ10">
            <v>3698</v>
          </cell>
          <cell r="DK10">
            <v>4101</v>
          </cell>
          <cell r="DL10">
            <v>3414</v>
          </cell>
          <cell r="DM10">
            <v>981</v>
          </cell>
          <cell r="DN10">
            <v>26613</v>
          </cell>
          <cell r="DO10">
            <v>6145</v>
          </cell>
          <cell r="DP10">
            <v>12669</v>
          </cell>
          <cell r="DQ10">
            <v>7799</v>
          </cell>
          <cell r="DR10">
            <v>11768</v>
          </cell>
          <cell r="DS10">
            <v>2800</v>
          </cell>
          <cell r="DT10">
            <v>4909</v>
          </cell>
          <cell r="DU10">
            <v>2408</v>
          </cell>
          <cell r="DV10">
            <v>1651</v>
          </cell>
          <cell r="DW10">
            <v>0</v>
          </cell>
          <cell r="DX10">
            <v>7797</v>
          </cell>
          <cell r="DY10">
            <v>76723</v>
          </cell>
          <cell r="DZ10">
            <v>62363</v>
          </cell>
          <cell r="EA10">
            <v>58008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4355</v>
          </cell>
          <cell r="EG10">
            <v>14360</v>
          </cell>
          <cell r="EH10">
            <v>85751</v>
          </cell>
          <cell r="EI10">
            <v>15097</v>
          </cell>
          <cell r="EJ10">
            <v>4650</v>
          </cell>
          <cell r="EK10">
            <v>301</v>
          </cell>
          <cell r="EL10">
            <v>10146</v>
          </cell>
          <cell r="EM10">
            <v>2915</v>
          </cell>
          <cell r="EN10">
            <v>5952</v>
          </cell>
          <cell r="EO10">
            <v>4918</v>
          </cell>
          <cell r="EP10">
            <v>1034</v>
          </cell>
          <cell r="EQ10">
            <v>6389</v>
          </cell>
          <cell r="ER10">
            <v>14474</v>
          </cell>
          <cell r="ES10">
            <v>6450</v>
          </cell>
          <cell r="ET10">
            <v>1778</v>
          </cell>
          <cell r="EU10">
            <v>2161</v>
          </cell>
          <cell r="EV10">
            <v>1856</v>
          </cell>
          <cell r="EW10">
            <v>2229</v>
          </cell>
          <cell r="EX10">
            <v>31669</v>
          </cell>
          <cell r="EY10">
            <v>15110</v>
          </cell>
          <cell r="EZ10">
            <v>16559</v>
          </cell>
          <cell r="FA10">
            <v>9255</v>
          </cell>
          <cell r="FB10">
            <v>762175</v>
          </cell>
          <cell r="FC10">
            <v>592710</v>
          </cell>
          <cell r="FD10">
            <v>86342</v>
          </cell>
          <cell r="FE10">
            <v>22118</v>
          </cell>
          <cell r="FF10">
            <v>2091</v>
          </cell>
          <cell r="FG10">
            <v>39147</v>
          </cell>
          <cell r="FH10">
            <v>2951</v>
          </cell>
          <cell r="FI10">
            <v>15117</v>
          </cell>
          <cell r="FJ10">
            <v>4918</v>
          </cell>
          <cell r="FK10">
            <v>325896</v>
          </cell>
          <cell r="FL10">
            <v>60577</v>
          </cell>
          <cell r="FM10">
            <v>32534</v>
          </cell>
          <cell r="FN10">
            <v>38084</v>
          </cell>
          <cell r="FO10">
            <v>18385</v>
          </cell>
          <cell r="FP10">
            <v>38764</v>
          </cell>
          <cell r="FQ10">
            <v>5384</v>
          </cell>
          <cell r="FR10">
            <v>61704</v>
          </cell>
          <cell r="FS10">
            <v>2951</v>
          </cell>
          <cell r="FT10">
            <v>51114</v>
          </cell>
          <cell r="FU10">
            <v>16399</v>
          </cell>
          <cell r="FV10">
            <v>164823</v>
          </cell>
          <cell r="FW10">
            <v>60577</v>
          </cell>
          <cell r="FX10">
            <v>32534</v>
          </cell>
          <cell r="FY10">
            <v>18385</v>
          </cell>
          <cell r="FZ10">
            <v>4317</v>
          </cell>
          <cell r="GA10">
            <v>3293</v>
          </cell>
          <cell r="GB10">
            <v>19088</v>
          </cell>
          <cell r="GC10">
            <v>16483</v>
          </cell>
          <cell r="GD10">
            <v>10146</v>
          </cell>
          <cell r="GE10">
            <v>10254</v>
          </cell>
          <cell r="GF10">
            <v>-15666</v>
          </cell>
          <cell r="GG10">
            <v>25920</v>
          </cell>
          <cell r="GH10">
            <v>426025</v>
          </cell>
          <cell r="GI10">
            <v>660</v>
          </cell>
          <cell r="GJ10">
            <v>173222</v>
          </cell>
          <cell r="GK10">
            <v>2813</v>
          </cell>
          <cell r="GL10">
            <v>7090</v>
          </cell>
          <cell r="GM10">
            <v>43953</v>
          </cell>
          <cell r="GN10">
            <v>15162</v>
          </cell>
          <cell r="GO10">
            <v>29253</v>
          </cell>
          <cell r="GP10">
            <v>7797</v>
          </cell>
          <cell r="GQ10">
            <v>76723</v>
          </cell>
          <cell r="GR10">
            <v>69352</v>
          </cell>
          <cell r="GS10">
            <v>74731</v>
          </cell>
          <cell r="GT10">
            <v>38084</v>
          </cell>
          <cell r="GU10">
            <v>12329</v>
          </cell>
          <cell r="GV10">
            <v>3469</v>
          </cell>
          <cell r="GW10">
            <v>19514</v>
          </cell>
          <cell r="GX10">
            <v>1335</v>
          </cell>
        </row>
        <row r="11">
          <cell r="A11">
            <v>2003</v>
          </cell>
          <cell r="B11">
            <v>785769</v>
          </cell>
          <cell r="C11">
            <v>64074</v>
          </cell>
          <cell r="D11">
            <v>56743</v>
          </cell>
          <cell r="E11">
            <v>10704</v>
          </cell>
          <cell r="F11">
            <v>13128</v>
          </cell>
          <cell r="G11">
            <v>2445</v>
          </cell>
          <cell r="H11">
            <v>7619</v>
          </cell>
          <cell r="I11">
            <v>1605</v>
          </cell>
          <cell r="J11">
            <v>4449</v>
          </cell>
          <cell r="K11">
            <v>8439</v>
          </cell>
          <cell r="L11">
            <v>5960</v>
          </cell>
          <cell r="M11">
            <v>2394</v>
          </cell>
          <cell r="N11">
            <v>7331</v>
          </cell>
          <cell r="O11">
            <v>1272</v>
          </cell>
          <cell r="P11">
            <v>6059</v>
          </cell>
          <cell r="Q11">
            <v>33437</v>
          </cell>
          <cell r="R11">
            <v>12509</v>
          </cell>
          <cell r="S11">
            <v>3157</v>
          </cell>
          <cell r="T11">
            <v>5684</v>
          </cell>
          <cell r="U11">
            <v>3668</v>
          </cell>
          <cell r="V11">
            <v>15342</v>
          </cell>
          <cell r="W11">
            <v>5586</v>
          </cell>
          <cell r="X11">
            <v>41071</v>
          </cell>
          <cell r="Y11">
            <v>35474</v>
          </cell>
          <cell r="Z11">
            <v>130</v>
          </cell>
          <cell r="AA11">
            <v>33294</v>
          </cell>
          <cell r="AB11">
            <v>1480</v>
          </cell>
          <cell r="AC11">
            <v>570</v>
          </cell>
          <cell r="AD11">
            <v>5597</v>
          </cell>
          <cell r="AE11">
            <v>5502</v>
          </cell>
          <cell r="AF11">
            <v>95</v>
          </cell>
          <cell r="AG11">
            <v>197749</v>
          </cell>
          <cell r="AH11">
            <v>32593</v>
          </cell>
          <cell r="AI11">
            <v>32484</v>
          </cell>
          <cell r="AJ11">
            <v>109</v>
          </cell>
          <cell r="AK11">
            <v>142595</v>
          </cell>
          <cell r="AL11">
            <v>137302</v>
          </cell>
          <cell r="AM11">
            <v>5293</v>
          </cell>
          <cell r="AN11">
            <v>1851</v>
          </cell>
          <cell r="AO11">
            <v>904</v>
          </cell>
          <cell r="AP11">
            <v>947</v>
          </cell>
          <cell r="AQ11">
            <v>5892</v>
          </cell>
          <cell r="AR11">
            <v>2969</v>
          </cell>
          <cell r="AS11">
            <v>178</v>
          </cell>
          <cell r="AT11">
            <v>2745</v>
          </cell>
          <cell r="AU11">
            <v>0</v>
          </cell>
          <cell r="AV11">
            <v>14818</v>
          </cell>
          <cell r="AW11">
            <v>7609</v>
          </cell>
          <cell r="AX11">
            <v>6193</v>
          </cell>
          <cell r="AY11">
            <v>669</v>
          </cell>
          <cell r="AZ11">
            <v>347</v>
          </cell>
          <cell r="BA11">
            <v>0</v>
          </cell>
          <cell r="BB11">
            <v>42075</v>
          </cell>
          <cell r="BC11">
            <v>17154</v>
          </cell>
          <cell r="BD11">
            <v>13749</v>
          </cell>
          <cell r="BE11">
            <v>3354</v>
          </cell>
          <cell r="BF11">
            <v>51</v>
          </cell>
          <cell r="BG11">
            <v>4133</v>
          </cell>
          <cell r="BH11">
            <v>6280</v>
          </cell>
          <cell r="BI11">
            <v>5090</v>
          </cell>
          <cell r="BJ11">
            <v>835</v>
          </cell>
          <cell r="BK11">
            <v>355</v>
          </cell>
          <cell r="BL11">
            <v>4052</v>
          </cell>
          <cell r="BM11">
            <v>3702</v>
          </cell>
          <cell r="BN11">
            <v>589</v>
          </cell>
          <cell r="BO11">
            <v>3113</v>
          </cell>
          <cell r="BP11">
            <v>6754</v>
          </cell>
          <cell r="BQ11">
            <v>4497</v>
          </cell>
          <cell r="BR11">
            <v>2257</v>
          </cell>
          <cell r="BS11">
            <v>12914</v>
          </cell>
          <cell r="BT11">
            <v>5562</v>
          </cell>
          <cell r="BU11">
            <v>2772</v>
          </cell>
          <cell r="BV11">
            <v>213</v>
          </cell>
          <cell r="BW11">
            <v>2577</v>
          </cell>
          <cell r="BX11">
            <v>4320</v>
          </cell>
          <cell r="BY11">
            <v>2815</v>
          </cell>
          <cell r="BZ11">
            <v>1121</v>
          </cell>
          <cell r="CA11">
            <v>384</v>
          </cell>
          <cell r="CB11">
            <v>3032</v>
          </cell>
          <cell r="CC11">
            <v>109561</v>
          </cell>
          <cell r="CD11">
            <v>41012</v>
          </cell>
          <cell r="CE11">
            <v>39423</v>
          </cell>
          <cell r="CF11">
            <v>949</v>
          </cell>
          <cell r="CG11">
            <v>640</v>
          </cell>
          <cell r="CH11">
            <v>42133</v>
          </cell>
          <cell r="CI11">
            <v>3759</v>
          </cell>
          <cell r="CJ11">
            <v>20069</v>
          </cell>
          <cell r="CK11">
            <v>13949</v>
          </cell>
          <cell r="CL11">
            <v>4356</v>
          </cell>
          <cell r="CM11">
            <v>26416</v>
          </cell>
          <cell r="CN11">
            <v>3943</v>
          </cell>
          <cell r="CO11">
            <v>6316</v>
          </cell>
          <cell r="CP11">
            <v>11929</v>
          </cell>
          <cell r="CQ11">
            <v>2909</v>
          </cell>
          <cell r="CR11">
            <v>1319</v>
          </cell>
          <cell r="CS11">
            <v>19219</v>
          </cell>
          <cell r="CT11">
            <v>770</v>
          </cell>
          <cell r="CU11">
            <v>3148</v>
          </cell>
          <cell r="CV11">
            <v>15301</v>
          </cell>
          <cell r="CW11">
            <v>84606</v>
          </cell>
          <cell r="CX11">
            <v>17534</v>
          </cell>
          <cell r="CY11">
            <v>5454</v>
          </cell>
          <cell r="CZ11">
            <v>1757</v>
          </cell>
          <cell r="DA11">
            <v>3657</v>
          </cell>
          <cell r="DB11">
            <v>6481</v>
          </cell>
          <cell r="DC11">
            <v>185</v>
          </cell>
          <cell r="DD11">
            <v>6538</v>
          </cell>
          <cell r="DE11">
            <v>4702</v>
          </cell>
          <cell r="DF11">
            <v>278</v>
          </cell>
          <cell r="DG11">
            <v>1558</v>
          </cell>
          <cell r="DH11">
            <v>19407</v>
          </cell>
          <cell r="DI11">
            <v>7523</v>
          </cell>
          <cell r="DJ11">
            <v>3488</v>
          </cell>
          <cell r="DK11">
            <v>4100</v>
          </cell>
          <cell r="DL11">
            <v>3322</v>
          </cell>
          <cell r="DM11">
            <v>974</v>
          </cell>
          <cell r="DN11">
            <v>28760</v>
          </cell>
          <cell r="DO11">
            <v>6895</v>
          </cell>
          <cell r="DP11">
            <v>13792</v>
          </cell>
          <cell r="DQ11">
            <v>8073</v>
          </cell>
          <cell r="DR11">
            <v>12367</v>
          </cell>
          <cell r="DS11">
            <v>3095</v>
          </cell>
          <cell r="DT11">
            <v>5212</v>
          </cell>
          <cell r="DU11">
            <v>2420</v>
          </cell>
          <cell r="DV11">
            <v>1640</v>
          </cell>
          <cell r="DW11">
            <v>0</v>
          </cell>
          <cell r="DX11">
            <v>8079</v>
          </cell>
          <cell r="DY11">
            <v>81266</v>
          </cell>
          <cell r="DZ11">
            <v>65928</v>
          </cell>
          <cell r="EA11">
            <v>61526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4402</v>
          </cell>
          <cell r="EG11">
            <v>15338</v>
          </cell>
          <cell r="EH11">
            <v>91718</v>
          </cell>
          <cell r="EI11">
            <v>16367</v>
          </cell>
          <cell r="EJ11">
            <v>4680</v>
          </cell>
          <cell r="EK11">
            <v>431</v>
          </cell>
          <cell r="EL11">
            <v>11256</v>
          </cell>
          <cell r="EM11">
            <v>3107</v>
          </cell>
          <cell r="EN11">
            <v>5852</v>
          </cell>
          <cell r="EO11">
            <v>4625</v>
          </cell>
          <cell r="EP11">
            <v>1227</v>
          </cell>
          <cell r="EQ11">
            <v>5918</v>
          </cell>
          <cell r="ER11">
            <v>15896</v>
          </cell>
          <cell r="ES11">
            <v>6890</v>
          </cell>
          <cell r="ET11">
            <v>1997</v>
          </cell>
          <cell r="EU11">
            <v>2427</v>
          </cell>
          <cell r="EV11">
            <v>2079</v>
          </cell>
          <cell r="EW11">
            <v>2503</v>
          </cell>
          <cell r="EX11">
            <v>34864</v>
          </cell>
          <cell r="EY11">
            <v>17106</v>
          </cell>
          <cell r="EZ11">
            <v>17758</v>
          </cell>
          <cell r="FA11">
            <v>9714</v>
          </cell>
          <cell r="FB11">
            <v>797482</v>
          </cell>
          <cell r="FC11">
            <v>620930</v>
          </cell>
          <cell r="FD11">
            <v>89992</v>
          </cell>
          <cell r="FE11">
            <v>22782</v>
          </cell>
          <cell r="FF11">
            <v>2577</v>
          </cell>
          <cell r="FG11">
            <v>41012</v>
          </cell>
          <cell r="FH11">
            <v>3148</v>
          </cell>
          <cell r="FI11">
            <v>15848</v>
          </cell>
          <cell r="FJ11">
            <v>4625</v>
          </cell>
          <cell r="FK11">
            <v>340238</v>
          </cell>
          <cell r="FL11">
            <v>64074</v>
          </cell>
          <cell r="FM11">
            <v>33437</v>
          </cell>
          <cell r="FN11">
            <v>40406</v>
          </cell>
          <cell r="FO11">
            <v>18691</v>
          </cell>
          <cell r="FP11">
            <v>39412</v>
          </cell>
          <cell r="FQ11">
            <v>5562</v>
          </cell>
          <cell r="FR11">
            <v>64840</v>
          </cell>
          <cell r="FS11">
            <v>3148</v>
          </cell>
          <cell r="FT11">
            <v>53129</v>
          </cell>
          <cell r="FU11">
            <v>17539</v>
          </cell>
          <cell r="FV11">
            <v>171703</v>
          </cell>
          <cell r="FW11">
            <v>64074</v>
          </cell>
          <cell r="FX11">
            <v>33437</v>
          </cell>
          <cell r="FY11">
            <v>18691</v>
          </cell>
          <cell r="FZ11">
            <v>4497</v>
          </cell>
          <cell r="GA11">
            <v>2985</v>
          </cell>
          <cell r="GB11">
            <v>20069</v>
          </cell>
          <cell r="GC11">
            <v>16694</v>
          </cell>
          <cell r="GD11">
            <v>11256</v>
          </cell>
          <cell r="GE11">
            <v>11713</v>
          </cell>
          <cell r="GF11">
            <v>-16351</v>
          </cell>
          <cell r="GG11">
            <v>28064</v>
          </cell>
          <cell r="GH11">
            <v>445531</v>
          </cell>
          <cell r="GI11">
            <v>665</v>
          </cell>
          <cell r="GJ11">
            <v>179058</v>
          </cell>
          <cell r="GK11">
            <v>2663</v>
          </cell>
          <cell r="GL11">
            <v>7352</v>
          </cell>
          <cell r="GM11">
            <v>44721</v>
          </cell>
          <cell r="GN11">
            <v>16071</v>
          </cell>
          <cell r="GO11">
            <v>31477</v>
          </cell>
          <cell r="GP11">
            <v>8079</v>
          </cell>
          <cell r="GQ11">
            <v>81266</v>
          </cell>
          <cell r="GR11">
            <v>74179</v>
          </cell>
          <cell r="GS11">
            <v>78543</v>
          </cell>
          <cell r="GT11">
            <v>40406</v>
          </cell>
          <cell r="GU11">
            <v>12133</v>
          </cell>
          <cell r="GV11">
            <v>3759</v>
          </cell>
          <cell r="GW11">
            <v>20587</v>
          </cell>
          <cell r="GX11">
            <v>1658</v>
          </cell>
        </row>
        <row r="12">
          <cell r="A12">
            <v>2004</v>
          </cell>
          <cell r="B12">
            <v>823286</v>
          </cell>
          <cell r="C12">
            <v>66195</v>
          </cell>
          <cell r="D12">
            <v>58583</v>
          </cell>
          <cell r="E12">
            <v>10894</v>
          </cell>
          <cell r="F12">
            <v>13401</v>
          </cell>
          <cell r="G12">
            <v>2620</v>
          </cell>
          <cell r="H12">
            <v>7783</v>
          </cell>
          <cell r="I12">
            <v>1782</v>
          </cell>
          <cell r="J12">
            <v>4810</v>
          </cell>
          <cell r="K12">
            <v>8628</v>
          </cell>
          <cell r="L12">
            <v>6042</v>
          </cell>
          <cell r="M12">
            <v>2623</v>
          </cell>
          <cell r="N12">
            <v>7612</v>
          </cell>
          <cell r="O12">
            <v>1322</v>
          </cell>
          <cell r="P12">
            <v>6290</v>
          </cell>
          <cell r="Q12">
            <v>32670</v>
          </cell>
          <cell r="R12">
            <v>12408</v>
          </cell>
          <cell r="S12">
            <v>3079</v>
          </cell>
          <cell r="T12">
            <v>5877</v>
          </cell>
          <cell r="U12">
            <v>3452</v>
          </cell>
          <cell r="V12">
            <v>15458</v>
          </cell>
          <cell r="W12">
            <v>4804</v>
          </cell>
          <cell r="X12">
            <v>41976</v>
          </cell>
          <cell r="Y12">
            <v>36026</v>
          </cell>
          <cell r="Z12">
            <v>280</v>
          </cell>
          <cell r="AA12">
            <v>33173</v>
          </cell>
          <cell r="AB12">
            <v>2032</v>
          </cell>
          <cell r="AC12">
            <v>541</v>
          </cell>
          <cell r="AD12">
            <v>5950</v>
          </cell>
          <cell r="AE12">
            <v>5856</v>
          </cell>
          <cell r="AF12">
            <v>94</v>
          </cell>
          <cell r="AG12">
            <v>207153</v>
          </cell>
          <cell r="AH12">
            <v>33726</v>
          </cell>
          <cell r="AI12">
            <v>33617</v>
          </cell>
          <cell r="AJ12">
            <v>109</v>
          </cell>
          <cell r="AK12">
            <v>147227</v>
          </cell>
          <cell r="AL12">
            <v>141819</v>
          </cell>
          <cell r="AM12">
            <v>5408</v>
          </cell>
          <cell r="AN12">
            <v>2376</v>
          </cell>
          <cell r="AO12">
            <v>1119</v>
          </cell>
          <cell r="AP12">
            <v>1257</v>
          </cell>
          <cell r="AQ12">
            <v>6097</v>
          </cell>
          <cell r="AR12">
            <v>3003</v>
          </cell>
          <cell r="AS12">
            <v>152</v>
          </cell>
          <cell r="AT12">
            <v>2942</v>
          </cell>
          <cell r="AU12">
            <v>0</v>
          </cell>
          <cell r="AV12">
            <v>17727</v>
          </cell>
          <cell r="AW12">
            <v>9112</v>
          </cell>
          <cell r="AX12">
            <v>7472</v>
          </cell>
          <cell r="AY12">
            <v>803</v>
          </cell>
          <cell r="AZ12">
            <v>340</v>
          </cell>
          <cell r="BA12">
            <v>0</v>
          </cell>
          <cell r="BB12">
            <v>42359</v>
          </cell>
          <cell r="BC12">
            <v>17563</v>
          </cell>
          <cell r="BD12">
            <v>13960</v>
          </cell>
          <cell r="BE12">
            <v>3575</v>
          </cell>
          <cell r="BF12">
            <v>28</v>
          </cell>
          <cell r="BG12">
            <v>4079</v>
          </cell>
          <cell r="BH12">
            <v>6245</v>
          </cell>
          <cell r="BI12">
            <v>4798</v>
          </cell>
          <cell r="BJ12">
            <v>1075</v>
          </cell>
          <cell r="BK12">
            <v>372</v>
          </cell>
          <cell r="BL12">
            <v>3868</v>
          </cell>
          <cell r="BM12">
            <v>3558</v>
          </cell>
          <cell r="BN12">
            <v>314</v>
          </cell>
          <cell r="BO12">
            <v>3244</v>
          </cell>
          <cell r="BP12">
            <v>7046</v>
          </cell>
          <cell r="BQ12">
            <v>4697</v>
          </cell>
          <cell r="BR12">
            <v>2349</v>
          </cell>
          <cell r="BS12">
            <v>12879</v>
          </cell>
          <cell r="BT12">
            <v>5025</v>
          </cell>
          <cell r="BU12">
            <v>2658</v>
          </cell>
          <cell r="BV12">
            <v>228</v>
          </cell>
          <cell r="BW12">
            <v>2139</v>
          </cell>
          <cell r="BX12">
            <v>4711</v>
          </cell>
          <cell r="BY12">
            <v>3049</v>
          </cell>
          <cell r="BZ12">
            <v>1305</v>
          </cell>
          <cell r="CA12">
            <v>357</v>
          </cell>
          <cell r="CB12">
            <v>3143</v>
          </cell>
          <cell r="CC12">
            <v>113719</v>
          </cell>
          <cell r="CD12">
            <v>41141</v>
          </cell>
          <cell r="CE12">
            <v>39369</v>
          </cell>
          <cell r="CF12">
            <v>1005</v>
          </cell>
          <cell r="CG12">
            <v>767</v>
          </cell>
          <cell r="CH12">
            <v>44144</v>
          </cell>
          <cell r="CI12">
            <v>3623</v>
          </cell>
          <cell r="CJ12">
            <v>21345</v>
          </cell>
          <cell r="CK12">
            <v>14682</v>
          </cell>
          <cell r="CL12">
            <v>4494</v>
          </cell>
          <cell r="CM12">
            <v>28434</v>
          </cell>
          <cell r="CN12">
            <v>5083</v>
          </cell>
          <cell r="CO12">
            <v>6203</v>
          </cell>
          <cell r="CP12">
            <v>12666</v>
          </cell>
          <cell r="CQ12">
            <v>2953</v>
          </cell>
          <cell r="CR12">
            <v>1529</v>
          </cell>
          <cell r="CS12">
            <v>21339</v>
          </cell>
          <cell r="CT12">
            <v>724</v>
          </cell>
          <cell r="CU12">
            <v>4036</v>
          </cell>
          <cell r="CV12">
            <v>16579</v>
          </cell>
          <cell r="CW12">
            <v>88359</v>
          </cell>
          <cell r="CX12">
            <v>18805</v>
          </cell>
          <cell r="CY12">
            <v>5695</v>
          </cell>
          <cell r="CZ12">
            <v>2015</v>
          </cell>
          <cell r="DA12">
            <v>4148</v>
          </cell>
          <cell r="DB12">
            <v>6730</v>
          </cell>
          <cell r="DC12">
            <v>217</v>
          </cell>
          <cell r="DD12">
            <v>7456</v>
          </cell>
          <cell r="DE12">
            <v>5555</v>
          </cell>
          <cell r="DF12">
            <v>250</v>
          </cell>
          <cell r="DG12">
            <v>1651</v>
          </cell>
          <cell r="DH12">
            <v>18962</v>
          </cell>
          <cell r="DI12">
            <v>7402</v>
          </cell>
          <cell r="DJ12">
            <v>3307</v>
          </cell>
          <cell r="DK12">
            <v>3916</v>
          </cell>
          <cell r="DL12">
            <v>3349</v>
          </cell>
          <cell r="DM12">
            <v>988</v>
          </cell>
          <cell r="DN12">
            <v>29780</v>
          </cell>
          <cell r="DO12">
            <v>7025</v>
          </cell>
          <cell r="DP12">
            <v>14185</v>
          </cell>
          <cell r="DQ12">
            <v>8570</v>
          </cell>
          <cell r="DR12">
            <v>13356</v>
          </cell>
          <cell r="DS12">
            <v>3199</v>
          </cell>
          <cell r="DT12">
            <v>5312</v>
          </cell>
          <cell r="DU12">
            <v>2757</v>
          </cell>
          <cell r="DV12">
            <v>2088</v>
          </cell>
          <cell r="DW12">
            <v>0</v>
          </cell>
          <cell r="DX12">
            <v>8681</v>
          </cell>
          <cell r="DY12">
            <v>85416</v>
          </cell>
          <cell r="DZ12">
            <v>68556</v>
          </cell>
          <cell r="EA12">
            <v>63915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4641</v>
          </cell>
          <cell r="EG12">
            <v>16860</v>
          </cell>
          <cell r="EH12">
            <v>102540</v>
          </cell>
          <cell r="EI12">
            <v>17840</v>
          </cell>
          <cell r="EJ12">
            <v>5106</v>
          </cell>
          <cell r="EK12">
            <v>596</v>
          </cell>
          <cell r="EL12">
            <v>12138</v>
          </cell>
          <cell r="EM12">
            <v>3302</v>
          </cell>
          <cell r="EN12">
            <v>6387</v>
          </cell>
          <cell r="EO12">
            <v>5256</v>
          </cell>
          <cell r="EP12">
            <v>1131</v>
          </cell>
          <cell r="EQ12">
            <v>6346</v>
          </cell>
          <cell r="ER12">
            <v>17855</v>
          </cell>
          <cell r="ES12">
            <v>8047</v>
          </cell>
          <cell r="ET12">
            <v>2172</v>
          </cell>
          <cell r="EU12">
            <v>2642</v>
          </cell>
          <cell r="EV12">
            <v>2269</v>
          </cell>
          <cell r="EW12">
            <v>2725</v>
          </cell>
          <cell r="EX12">
            <v>40431</v>
          </cell>
          <cell r="EY12">
            <v>20773</v>
          </cell>
          <cell r="EZ12">
            <v>19658</v>
          </cell>
          <cell r="FA12">
            <v>10379</v>
          </cell>
          <cell r="FB12">
            <v>834786</v>
          </cell>
          <cell r="FC12">
            <v>655499</v>
          </cell>
          <cell r="FD12">
            <v>92882</v>
          </cell>
          <cell r="FE12">
            <v>22647</v>
          </cell>
          <cell r="FF12">
            <v>2139</v>
          </cell>
          <cell r="FG12">
            <v>41141</v>
          </cell>
          <cell r="FH12">
            <v>4036</v>
          </cell>
          <cell r="FI12">
            <v>17663</v>
          </cell>
          <cell r="FJ12">
            <v>5256</v>
          </cell>
          <cell r="FK12">
            <v>351679</v>
          </cell>
          <cell r="FL12">
            <v>66195</v>
          </cell>
          <cell r="FM12">
            <v>32670</v>
          </cell>
          <cell r="FN12">
            <v>41341</v>
          </cell>
          <cell r="FO12">
            <v>21849</v>
          </cell>
          <cell r="FP12">
            <v>39610</v>
          </cell>
          <cell r="FQ12">
            <v>5025</v>
          </cell>
          <cell r="FR12">
            <v>66109</v>
          </cell>
          <cell r="FS12">
            <v>4036</v>
          </cell>
          <cell r="FT12">
            <v>55723</v>
          </cell>
          <cell r="FU12">
            <v>19121</v>
          </cell>
          <cell r="FV12">
            <v>179202</v>
          </cell>
          <cell r="FW12">
            <v>66195</v>
          </cell>
          <cell r="FX12">
            <v>32670</v>
          </cell>
          <cell r="FY12">
            <v>21849</v>
          </cell>
          <cell r="FZ12">
            <v>4697</v>
          </cell>
          <cell r="GA12">
            <v>2886</v>
          </cell>
          <cell r="GB12">
            <v>21345</v>
          </cell>
          <cell r="GC12">
            <v>17422</v>
          </cell>
          <cell r="GD12">
            <v>12138</v>
          </cell>
          <cell r="GE12">
            <v>11500</v>
          </cell>
          <cell r="GF12">
            <v>-18259</v>
          </cell>
          <cell r="GG12">
            <v>29759</v>
          </cell>
          <cell r="GH12">
            <v>471607</v>
          </cell>
          <cell r="GI12">
            <v>635</v>
          </cell>
          <cell r="GJ12">
            <v>185304</v>
          </cell>
          <cell r="GK12">
            <v>2749</v>
          </cell>
          <cell r="GL12">
            <v>7854</v>
          </cell>
          <cell r="GM12">
            <v>47610</v>
          </cell>
          <cell r="GN12">
            <v>17303</v>
          </cell>
          <cell r="GO12">
            <v>32636</v>
          </cell>
          <cell r="GP12">
            <v>8681</v>
          </cell>
          <cell r="GQ12">
            <v>85416</v>
          </cell>
          <cell r="GR12">
            <v>83419</v>
          </cell>
          <cell r="GS12">
            <v>79595</v>
          </cell>
          <cell r="GT12">
            <v>41341</v>
          </cell>
          <cell r="GU12">
            <v>12266</v>
          </cell>
          <cell r="GV12">
            <v>3623</v>
          </cell>
          <cell r="GW12">
            <v>20638</v>
          </cell>
          <cell r="GX12">
            <v>1727</v>
          </cell>
        </row>
        <row r="13">
          <cell r="A13">
            <v>2005</v>
          </cell>
          <cell r="B13">
            <v>862248</v>
          </cell>
          <cell r="C13">
            <v>67822</v>
          </cell>
          <cell r="D13">
            <v>59861</v>
          </cell>
          <cell r="E13">
            <v>10937</v>
          </cell>
          <cell r="F13">
            <v>13478</v>
          </cell>
          <cell r="G13">
            <v>2790</v>
          </cell>
          <cell r="H13">
            <v>8114</v>
          </cell>
          <cell r="I13">
            <v>1658</v>
          </cell>
          <cell r="J13">
            <v>5159</v>
          </cell>
          <cell r="K13">
            <v>8920</v>
          </cell>
          <cell r="L13">
            <v>6157</v>
          </cell>
          <cell r="M13">
            <v>2648</v>
          </cell>
          <cell r="N13">
            <v>7961</v>
          </cell>
          <cell r="O13">
            <v>1336</v>
          </cell>
          <cell r="P13">
            <v>6625</v>
          </cell>
          <cell r="Q13">
            <v>33592</v>
          </cell>
          <cell r="R13">
            <v>12553</v>
          </cell>
          <cell r="S13">
            <v>3230</v>
          </cell>
          <cell r="T13">
            <v>6013</v>
          </cell>
          <cell r="U13">
            <v>3310</v>
          </cell>
          <cell r="V13">
            <v>15652</v>
          </cell>
          <cell r="W13">
            <v>5387</v>
          </cell>
          <cell r="X13">
            <v>43268</v>
          </cell>
          <cell r="Y13">
            <v>37165</v>
          </cell>
          <cell r="Z13">
            <v>228</v>
          </cell>
          <cell r="AA13">
            <v>33870</v>
          </cell>
          <cell r="AB13">
            <v>2485</v>
          </cell>
          <cell r="AC13">
            <v>582</v>
          </cell>
          <cell r="AD13">
            <v>6103</v>
          </cell>
          <cell r="AE13">
            <v>6020</v>
          </cell>
          <cell r="AF13">
            <v>83</v>
          </cell>
          <cell r="AG13">
            <v>218365</v>
          </cell>
          <cell r="AH13">
            <v>37226</v>
          </cell>
          <cell r="AI13">
            <v>37118</v>
          </cell>
          <cell r="AJ13">
            <v>108</v>
          </cell>
          <cell r="AK13">
            <v>152670</v>
          </cell>
          <cell r="AL13">
            <v>147003</v>
          </cell>
          <cell r="AM13">
            <v>5667</v>
          </cell>
          <cell r="AN13">
            <v>2672</v>
          </cell>
          <cell r="AO13">
            <v>1039</v>
          </cell>
          <cell r="AP13">
            <v>1633</v>
          </cell>
          <cell r="AQ13">
            <v>6715</v>
          </cell>
          <cell r="AR13">
            <v>3373</v>
          </cell>
          <cell r="AS13">
            <v>132</v>
          </cell>
          <cell r="AT13">
            <v>3210</v>
          </cell>
          <cell r="AU13">
            <v>0</v>
          </cell>
          <cell r="AV13">
            <v>19082</v>
          </cell>
          <cell r="AW13">
            <v>10001</v>
          </cell>
          <cell r="AX13">
            <v>8006</v>
          </cell>
          <cell r="AY13">
            <v>821</v>
          </cell>
          <cell r="AZ13">
            <v>254</v>
          </cell>
          <cell r="BA13">
            <v>0</v>
          </cell>
          <cell r="BB13">
            <v>43497</v>
          </cell>
          <cell r="BC13">
            <v>17998</v>
          </cell>
          <cell r="BD13">
            <v>14286</v>
          </cell>
          <cell r="BE13">
            <v>3652</v>
          </cell>
          <cell r="BF13">
            <v>60</v>
          </cell>
          <cell r="BG13">
            <v>3762</v>
          </cell>
          <cell r="BH13">
            <v>6504</v>
          </cell>
          <cell r="BI13">
            <v>5248</v>
          </cell>
          <cell r="BJ13">
            <v>916</v>
          </cell>
          <cell r="BK13">
            <v>340</v>
          </cell>
          <cell r="BL13">
            <v>3974</v>
          </cell>
          <cell r="BM13">
            <v>3720</v>
          </cell>
          <cell r="BN13">
            <v>431</v>
          </cell>
          <cell r="BO13">
            <v>3289</v>
          </cell>
          <cell r="BP13">
            <v>7539</v>
          </cell>
          <cell r="BQ13">
            <v>4719</v>
          </cell>
          <cell r="BR13">
            <v>2820</v>
          </cell>
          <cell r="BS13">
            <v>13051</v>
          </cell>
          <cell r="BT13">
            <v>4077</v>
          </cell>
          <cell r="BU13">
            <v>1771</v>
          </cell>
          <cell r="BV13">
            <v>230</v>
          </cell>
          <cell r="BW13">
            <v>2076</v>
          </cell>
          <cell r="BX13">
            <v>5402</v>
          </cell>
          <cell r="BY13">
            <v>3531</v>
          </cell>
          <cell r="BZ13">
            <v>1343</v>
          </cell>
          <cell r="CA13">
            <v>528</v>
          </cell>
          <cell r="CB13">
            <v>3572</v>
          </cell>
          <cell r="CC13">
            <v>121018</v>
          </cell>
          <cell r="CD13">
            <v>40913</v>
          </cell>
          <cell r="CE13">
            <v>39185</v>
          </cell>
          <cell r="CF13">
            <v>994</v>
          </cell>
          <cell r="CG13">
            <v>734</v>
          </cell>
          <cell r="CH13">
            <v>49293</v>
          </cell>
          <cell r="CI13">
            <v>3939</v>
          </cell>
          <cell r="CJ13">
            <v>24195</v>
          </cell>
          <cell r="CK13">
            <v>16175</v>
          </cell>
          <cell r="CL13">
            <v>4984</v>
          </cell>
          <cell r="CM13">
            <v>30812</v>
          </cell>
          <cell r="CN13">
            <v>5306</v>
          </cell>
          <cell r="CO13">
            <v>7207</v>
          </cell>
          <cell r="CP13">
            <v>13731</v>
          </cell>
          <cell r="CQ13">
            <v>3068</v>
          </cell>
          <cell r="CR13">
            <v>1500</v>
          </cell>
          <cell r="CS13">
            <v>21856</v>
          </cell>
          <cell r="CT13">
            <v>707</v>
          </cell>
          <cell r="CU13">
            <v>4284</v>
          </cell>
          <cell r="CV13">
            <v>16865</v>
          </cell>
          <cell r="CW13">
            <v>90081</v>
          </cell>
          <cell r="CX13">
            <v>19243</v>
          </cell>
          <cell r="CY13">
            <v>6257</v>
          </cell>
          <cell r="CZ13">
            <v>2244</v>
          </cell>
          <cell r="DA13">
            <v>4018</v>
          </cell>
          <cell r="DB13">
            <v>6505</v>
          </cell>
          <cell r="DC13">
            <v>219</v>
          </cell>
          <cell r="DD13">
            <v>7671</v>
          </cell>
          <cell r="DE13">
            <v>5576</v>
          </cell>
          <cell r="DF13">
            <v>375</v>
          </cell>
          <cell r="DG13">
            <v>1720</v>
          </cell>
          <cell r="DH13">
            <v>18747</v>
          </cell>
          <cell r="DI13">
            <v>7270</v>
          </cell>
          <cell r="DJ13">
            <v>3112</v>
          </cell>
          <cell r="DK13">
            <v>3748</v>
          </cell>
          <cell r="DL13">
            <v>3493</v>
          </cell>
          <cell r="DM13">
            <v>1124</v>
          </cell>
          <cell r="DN13">
            <v>30911</v>
          </cell>
          <cell r="DO13">
            <v>7588</v>
          </cell>
          <cell r="DP13">
            <v>14634</v>
          </cell>
          <cell r="DQ13">
            <v>8689</v>
          </cell>
          <cell r="DR13">
            <v>13509</v>
          </cell>
          <cell r="DS13">
            <v>3316</v>
          </cell>
          <cell r="DT13">
            <v>5236</v>
          </cell>
          <cell r="DU13">
            <v>2832</v>
          </cell>
          <cell r="DV13">
            <v>2125</v>
          </cell>
          <cell r="DW13">
            <v>0</v>
          </cell>
          <cell r="DX13">
            <v>9112</v>
          </cell>
          <cell r="DY13">
            <v>88820</v>
          </cell>
          <cell r="DZ13">
            <v>71731</v>
          </cell>
          <cell r="EA13">
            <v>67080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4651</v>
          </cell>
          <cell r="EG13">
            <v>17089</v>
          </cell>
          <cell r="EH13">
            <v>111766</v>
          </cell>
          <cell r="EI13">
            <v>17828</v>
          </cell>
          <cell r="EJ13">
            <v>5299</v>
          </cell>
          <cell r="EK13">
            <v>487</v>
          </cell>
          <cell r="EL13">
            <v>12042</v>
          </cell>
          <cell r="EM13">
            <v>3483</v>
          </cell>
          <cell r="EN13">
            <v>6426</v>
          </cell>
          <cell r="EO13">
            <v>5292</v>
          </cell>
          <cell r="EP13">
            <v>1134</v>
          </cell>
          <cell r="EQ13">
            <v>7110</v>
          </cell>
          <cell r="ER13">
            <v>21840</v>
          </cell>
          <cell r="ES13">
            <v>10665</v>
          </cell>
          <cell r="ET13">
            <v>2480</v>
          </cell>
          <cell r="EU13">
            <v>3011</v>
          </cell>
          <cell r="EV13">
            <v>2577</v>
          </cell>
          <cell r="EW13">
            <v>3107</v>
          </cell>
          <cell r="EX13">
            <v>43865</v>
          </cell>
          <cell r="EY13">
            <v>21076</v>
          </cell>
          <cell r="EZ13">
            <v>22789</v>
          </cell>
          <cell r="FA13">
            <v>11214</v>
          </cell>
          <cell r="FB13">
            <v>874142</v>
          </cell>
          <cell r="FC13">
            <v>693603</v>
          </cell>
          <cell r="FD13">
            <v>94652</v>
          </cell>
          <cell r="FE13">
            <v>23617</v>
          </cell>
          <cell r="FF13">
            <v>2076</v>
          </cell>
          <cell r="FG13">
            <v>40913</v>
          </cell>
          <cell r="FH13">
            <v>4284</v>
          </cell>
          <cell r="FI13">
            <v>18470</v>
          </cell>
          <cell r="FJ13">
            <v>5292</v>
          </cell>
          <cell r="FK13">
            <v>360258</v>
          </cell>
          <cell r="FL13">
            <v>67822</v>
          </cell>
          <cell r="FM13">
            <v>33592</v>
          </cell>
          <cell r="FN13">
            <v>42603</v>
          </cell>
          <cell r="FO13">
            <v>23494</v>
          </cell>
          <cell r="FP13">
            <v>40277</v>
          </cell>
          <cell r="FQ13">
            <v>4077</v>
          </cell>
          <cell r="FR13">
            <v>69047</v>
          </cell>
          <cell r="FS13">
            <v>4284</v>
          </cell>
          <cell r="FT13">
            <v>56107</v>
          </cell>
          <cell r="FU13">
            <v>18955</v>
          </cell>
          <cell r="FV13">
            <v>185299</v>
          </cell>
          <cell r="FW13">
            <v>67822</v>
          </cell>
          <cell r="FX13">
            <v>33592</v>
          </cell>
          <cell r="FY13">
            <v>23494</v>
          </cell>
          <cell r="FZ13">
            <v>4719</v>
          </cell>
          <cell r="GA13">
            <v>2001</v>
          </cell>
          <cell r="GB13">
            <v>24195</v>
          </cell>
          <cell r="GC13">
            <v>17434</v>
          </cell>
          <cell r="GD13">
            <v>12042</v>
          </cell>
          <cell r="GE13">
            <v>11894</v>
          </cell>
          <cell r="GF13">
            <v>-19856</v>
          </cell>
          <cell r="GG13">
            <v>31750</v>
          </cell>
          <cell r="GH13">
            <v>501990</v>
          </cell>
          <cell r="GI13">
            <v>665</v>
          </cell>
          <cell r="GJ13">
            <v>194871</v>
          </cell>
          <cell r="GK13">
            <v>3220</v>
          </cell>
          <cell r="GL13">
            <v>8974</v>
          </cell>
          <cell r="GM13">
            <v>51971</v>
          </cell>
          <cell r="GN13">
            <v>17572</v>
          </cell>
          <cell r="GO13">
            <v>33974</v>
          </cell>
          <cell r="GP13">
            <v>9112</v>
          </cell>
          <cell r="GQ13">
            <v>88820</v>
          </cell>
          <cell r="GR13">
            <v>92811</v>
          </cell>
          <cell r="GS13">
            <v>80307</v>
          </cell>
          <cell r="GT13">
            <v>42603</v>
          </cell>
          <cell r="GU13">
            <v>11941</v>
          </cell>
          <cell r="GV13">
            <v>3939</v>
          </cell>
          <cell r="GW13">
            <v>20203</v>
          </cell>
          <cell r="GX13">
            <v>1621</v>
          </cell>
        </row>
        <row r="14">
          <cell r="A14">
            <v>2006</v>
          </cell>
          <cell r="B14">
            <v>896026</v>
          </cell>
          <cell r="C14">
            <v>70234</v>
          </cell>
          <cell r="D14">
            <v>61980</v>
          </cell>
          <cell r="E14">
            <v>11362</v>
          </cell>
          <cell r="F14">
            <v>13545</v>
          </cell>
          <cell r="G14">
            <v>3081</v>
          </cell>
          <cell r="H14">
            <v>8404</v>
          </cell>
          <cell r="I14">
            <v>1643</v>
          </cell>
          <cell r="J14">
            <v>5595</v>
          </cell>
          <cell r="K14">
            <v>9356</v>
          </cell>
          <cell r="L14">
            <v>6219</v>
          </cell>
          <cell r="M14">
            <v>2775</v>
          </cell>
          <cell r="N14">
            <v>8254</v>
          </cell>
          <cell r="O14">
            <v>1361</v>
          </cell>
          <cell r="P14">
            <v>6893</v>
          </cell>
          <cell r="Q14">
            <v>35103</v>
          </cell>
          <cell r="R14">
            <v>12713</v>
          </cell>
          <cell r="S14">
            <v>3169</v>
          </cell>
          <cell r="T14">
            <v>5947</v>
          </cell>
          <cell r="U14">
            <v>3597</v>
          </cell>
          <cell r="V14">
            <v>15509</v>
          </cell>
          <cell r="W14">
            <v>6881</v>
          </cell>
          <cell r="X14">
            <v>45108</v>
          </cell>
          <cell r="Y14">
            <v>38389</v>
          </cell>
          <cell r="Z14">
            <v>267</v>
          </cell>
          <cell r="AA14">
            <v>34660</v>
          </cell>
          <cell r="AB14">
            <v>2845</v>
          </cell>
          <cell r="AC14">
            <v>617</v>
          </cell>
          <cell r="AD14">
            <v>6719</v>
          </cell>
          <cell r="AE14">
            <v>6623</v>
          </cell>
          <cell r="AF14">
            <v>96</v>
          </cell>
          <cell r="AG14">
            <v>231730</v>
          </cell>
          <cell r="AH14">
            <v>41374</v>
          </cell>
          <cell r="AI14">
            <v>41260</v>
          </cell>
          <cell r="AJ14">
            <v>114</v>
          </cell>
          <cell r="AK14">
            <v>157092</v>
          </cell>
          <cell r="AL14">
            <v>151408</v>
          </cell>
          <cell r="AM14">
            <v>5684</v>
          </cell>
          <cell r="AN14">
            <v>2758</v>
          </cell>
          <cell r="AO14">
            <v>1016</v>
          </cell>
          <cell r="AP14">
            <v>1742</v>
          </cell>
          <cell r="AQ14">
            <v>7111</v>
          </cell>
          <cell r="AR14">
            <v>3561</v>
          </cell>
          <cell r="AS14">
            <v>177</v>
          </cell>
          <cell r="AT14">
            <v>3373</v>
          </cell>
          <cell r="AU14">
            <v>0</v>
          </cell>
          <cell r="AV14">
            <v>23395</v>
          </cell>
          <cell r="AW14">
            <v>12405</v>
          </cell>
          <cell r="AX14">
            <v>9655</v>
          </cell>
          <cell r="AY14">
            <v>1078</v>
          </cell>
          <cell r="AZ14">
            <v>257</v>
          </cell>
          <cell r="BA14">
            <v>0</v>
          </cell>
          <cell r="BB14">
            <v>45121</v>
          </cell>
          <cell r="BC14">
            <v>18299</v>
          </cell>
          <cell r="BD14">
            <v>14642</v>
          </cell>
          <cell r="BE14">
            <v>3602</v>
          </cell>
          <cell r="BF14">
            <v>55</v>
          </cell>
          <cell r="BG14">
            <v>3927</v>
          </cell>
          <cell r="BH14">
            <v>6633</v>
          </cell>
          <cell r="BI14">
            <v>5256</v>
          </cell>
          <cell r="BJ14">
            <v>1066</v>
          </cell>
          <cell r="BK14">
            <v>311</v>
          </cell>
          <cell r="BL14">
            <v>4273</v>
          </cell>
          <cell r="BM14">
            <v>4124</v>
          </cell>
          <cell r="BN14">
            <v>370</v>
          </cell>
          <cell r="BO14">
            <v>3754</v>
          </cell>
          <cell r="BP14">
            <v>7865</v>
          </cell>
          <cell r="BQ14">
            <v>4979</v>
          </cell>
          <cell r="BR14">
            <v>2886</v>
          </cell>
          <cell r="BS14">
            <v>11360</v>
          </cell>
          <cell r="BT14">
            <v>3782</v>
          </cell>
          <cell r="BU14">
            <v>1300</v>
          </cell>
          <cell r="BV14">
            <v>214</v>
          </cell>
          <cell r="BW14">
            <v>2268</v>
          </cell>
          <cell r="BX14">
            <v>4147</v>
          </cell>
          <cell r="BY14">
            <v>1989</v>
          </cell>
          <cell r="BZ14">
            <v>1507</v>
          </cell>
          <cell r="CA14">
            <v>651</v>
          </cell>
          <cell r="CB14">
            <v>3431</v>
          </cell>
          <cell r="CC14">
            <v>124001</v>
          </cell>
          <cell r="CD14">
            <v>41727</v>
          </cell>
          <cell r="CE14">
            <v>40095</v>
          </cell>
          <cell r="CF14">
            <v>930</v>
          </cell>
          <cell r="CG14">
            <v>702</v>
          </cell>
          <cell r="CH14">
            <v>49147</v>
          </cell>
          <cell r="CI14">
            <v>4227</v>
          </cell>
          <cell r="CJ14">
            <v>24428</v>
          </cell>
          <cell r="CK14">
            <v>15120</v>
          </cell>
          <cell r="CL14">
            <v>5372</v>
          </cell>
          <cell r="CM14">
            <v>33127</v>
          </cell>
          <cell r="CN14">
            <v>5167</v>
          </cell>
          <cell r="CO14">
            <v>8122</v>
          </cell>
          <cell r="CP14">
            <v>14466</v>
          </cell>
          <cell r="CQ14">
            <v>3608</v>
          </cell>
          <cell r="CR14">
            <v>1764</v>
          </cell>
          <cell r="CS14">
            <v>22432</v>
          </cell>
          <cell r="CT14">
            <v>665</v>
          </cell>
          <cell r="CU14">
            <v>4305</v>
          </cell>
          <cell r="CV14">
            <v>17462</v>
          </cell>
          <cell r="CW14">
            <v>93765</v>
          </cell>
          <cell r="CX14">
            <v>19838</v>
          </cell>
          <cell r="CY14">
            <v>6959</v>
          </cell>
          <cell r="CZ14">
            <v>2324</v>
          </cell>
          <cell r="DA14">
            <v>4235</v>
          </cell>
          <cell r="DB14">
            <v>6168</v>
          </cell>
          <cell r="DC14">
            <v>152</v>
          </cell>
          <cell r="DD14">
            <v>7473</v>
          </cell>
          <cell r="DE14">
            <v>5225</v>
          </cell>
          <cell r="DF14">
            <v>463</v>
          </cell>
          <cell r="DG14">
            <v>1785</v>
          </cell>
          <cell r="DH14">
            <v>19851</v>
          </cell>
          <cell r="DI14">
            <v>7027</v>
          </cell>
          <cell r="DJ14">
            <v>3815</v>
          </cell>
          <cell r="DK14">
            <v>3819</v>
          </cell>
          <cell r="DL14">
            <v>3729</v>
          </cell>
          <cell r="DM14">
            <v>1461</v>
          </cell>
          <cell r="DN14">
            <v>32771</v>
          </cell>
          <cell r="DO14">
            <v>7999</v>
          </cell>
          <cell r="DP14">
            <v>15653</v>
          </cell>
          <cell r="DQ14">
            <v>9119</v>
          </cell>
          <cell r="DR14">
            <v>13832</v>
          </cell>
          <cell r="DS14">
            <v>3312</v>
          </cell>
          <cell r="DT14">
            <v>5179</v>
          </cell>
          <cell r="DU14">
            <v>3031</v>
          </cell>
          <cell r="DV14">
            <v>2310</v>
          </cell>
          <cell r="DW14">
            <v>0</v>
          </cell>
          <cell r="DX14">
            <v>9984</v>
          </cell>
          <cell r="DY14">
            <v>91227</v>
          </cell>
          <cell r="DZ14">
            <v>73363</v>
          </cell>
          <cell r="EA14">
            <v>68650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4713</v>
          </cell>
          <cell r="EG14">
            <v>17864</v>
          </cell>
          <cell r="EH14">
            <v>115961</v>
          </cell>
          <cell r="EI14">
            <v>18892</v>
          </cell>
          <cell r="EJ14">
            <v>5551</v>
          </cell>
          <cell r="EK14">
            <v>424</v>
          </cell>
          <cell r="EL14">
            <v>12917</v>
          </cell>
          <cell r="EM14">
            <v>3678</v>
          </cell>
          <cell r="EN14">
            <v>6804</v>
          </cell>
          <cell r="EO14">
            <v>5427</v>
          </cell>
          <cell r="EP14">
            <v>1377</v>
          </cell>
          <cell r="EQ14">
            <v>7821</v>
          </cell>
          <cell r="ER14">
            <v>18603</v>
          </cell>
          <cell r="ES14">
            <v>12984</v>
          </cell>
          <cell r="ET14">
            <v>1240</v>
          </cell>
          <cell r="EU14">
            <v>1504</v>
          </cell>
          <cell r="EV14">
            <v>1321</v>
          </cell>
          <cell r="EW14">
            <v>1554</v>
          </cell>
          <cell r="EX14">
            <v>48573</v>
          </cell>
          <cell r="EY14">
            <v>22585</v>
          </cell>
          <cell r="EZ14">
            <v>25988</v>
          </cell>
          <cell r="FA14">
            <v>11590</v>
          </cell>
          <cell r="FB14">
            <v>907535</v>
          </cell>
          <cell r="FC14">
            <v>725812</v>
          </cell>
          <cell r="FD14">
            <v>96803</v>
          </cell>
          <cell r="FE14">
            <v>23870</v>
          </cell>
          <cell r="FF14">
            <v>2268</v>
          </cell>
          <cell r="FG14">
            <v>41727</v>
          </cell>
          <cell r="FH14">
            <v>4305</v>
          </cell>
          <cell r="FI14">
            <v>19206</v>
          </cell>
          <cell r="FJ14">
            <v>5427</v>
          </cell>
          <cell r="FK14">
            <v>375783</v>
          </cell>
          <cell r="FL14">
            <v>70234</v>
          </cell>
          <cell r="FM14">
            <v>35103</v>
          </cell>
          <cell r="FN14">
            <v>44395</v>
          </cell>
          <cell r="FO14">
            <v>27972</v>
          </cell>
          <cell r="FP14">
            <v>41869</v>
          </cell>
          <cell r="FQ14">
            <v>3782</v>
          </cell>
          <cell r="FR14">
            <v>70382</v>
          </cell>
          <cell r="FS14">
            <v>4305</v>
          </cell>
          <cell r="FT14">
            <v>57596</v>
          </cell>
          <cell r="FU14">
            <v>20145</v>
          </cell>
          <cell r="FV14">
            <v>195215</v>
          </cell>
          <cell r="FW14">
            <v>70234</v>
          </cell>
          <cell r="FX14">
            <v>35103</v>
          </cell>
          <cell r="FY14">
            <v>27972</v>
          </cell>
          <cell r="FZ14">
            <v>4979</v>
          </cell>
          <cell r="GA14">
            <v>1514</v>
          </cell>
          <cell r="GB14">
            <v>24428</v>
          </cell>
          <cell r="GC14">
            <v>18068</v>
          </cell>
          <cell r="GD14">
            <v>12917</v>
          </cell>
          <cell r="GE14">
            <v>11509</v>
          </cell>
          <cell r="GF14">
            <v>-21970</v>
          </cell>
          <cell r="GG14">
            <v>33479</v>
          </cell>
          <cell r="GH14">
            <v>520243</v>
          </cell>
          <cell r="GI14">
            <v>713</v>
          </cell>
          <cell r="GJ14">
            <v>203758</v>
          </cell>
          <cell r="GK14">
            <v>3252</v>
          </cell>
          <cell r="GL14">
            <v>7578</v>
          </cell>
          <cell r="GM14">
            <v>53619</v>
          </cell>
          <cell r="GN14">
            <v>18127</v>
          </cell>
          <cell r="GO14">
            <v>36169</v>
          </cell>
          <cell r="GP14">
            <v>9984</v>
          </cell>
          <cell r="GQ14">
            <v>91227</v>
          </cell>
          <cell r="GR14">
            <v>95816</v>
          </cell>
          <cell r="GS14">
            <v>83765</v>
          </cell>
          <cell r="GT14">
            <v>44395</v>
          </cell>
          <cell r="GU14">
            <v>13020</v>
          </cell>
          <cell r="GV14">
            <v>4227</v>
          </cell>
          <cell r="GW14">
            <v>20322</v>
          </cell>
          <cell r="GX14">
            <v>1801</v>
          </cell>
        </row>
        <row r="15">
          <cell r="A15">
            <v>2007</v>
          </cell>
          <cell r="B15">
            <v>938849</v>
          </cell>
          <cell r="C15">
            <v>73367</v>
          </cell>
          <cell r="D15">
            <v>64939</v>
          </cell>
          <cell r="E15">
            <v>11927</v>
          </cell>
          <cell r="F15">
            <v>13601</v>
          </cell>
          <cell r="G15">
            <v>3215</v>
          </cell>
          <cell r="H15">
            <v>9019</v>
          </cell>
          <cell r="I15">
            <v>1641</v>
          </cell>
          <cell r="J15">
            <v>5811</v>
          </cell>
          <cell r="K15">
            <v>10169</v>
          </cell>
          <cell r="L15">
            <v>6592</v>
          </cell>
          <cell r="M15">
            <v>2964</v>
          </cell>
          <cell r="N15">
            <v>8428</v>
          </cell>
          <cell r="O15">
            <v>1436</v>
          </cell>
          <cell r="P15">
            <v>6992</v>
          </cell>
          <cell r="Q15">
            <v>33917</v>
          </cell>
          <cell r="R15">
            <v>13298</v>
          </cell>
          <cell r="S15">
            <v>3346</v>
          </cell>
          <cell r="T15">
            <v>6416</v>
          </cell>
          <cell r="U15">
            <v>3536</v>
          </cell>
          <cell r="V15">
            <v>15448</v>
          </cell>
          <cell r="W15">
            <v>5171</v>
          </cell>
          <cell r="X15">
            <v>46219</v>
          </cell>
          <cell r="Y15">
            <v>39555</v>
          </cell>
          <cell r="Z15">
            <v>247</v>
          </cell>
          <cell r="AA15">
            <v>35564</v>
          </cell>
          <cell r="AB15">
            <v>3089</v>
          </cell>
          <cell r="AC15">
            <v>655</v>
          </cell>
          <cell r="AD15">
            <v>6664</v>
          </cell>
          <cell r="AE15">
            <v>6580</v>
          </cell>
          <cell r="AF15">
            <v>84</v>
          </cell>
          <cell r="AG15">
            <v>241123</v>
          </cell>
          <cell r="AH15">
            <v>45139</v>
          </cell>
          <cell r="AI15">
            <v>45014</v>
          </cell>
          <cell r="AJ15">
            <v>125</v>
          </cell>
          <cell r="AK15">
            <v>161665</v>
          </cell>
          <cell r="AL15">
            <v>155647</v>
          </cell>
          <cell r="AM15">
            <v>6018</v>
          </cell>
          <cell r="AN15">
            <v>2812</v>
          </cell>
          <cell r="AO15">
            <v>990</v>
          </cell>
          <cell r="AP15">
            <v>1822</v>
          </cell>
          <cell r="AQ15">
            <v>7467</v>
          </cell>
          <cell r="AR15">
            <v>3807</v>
          </cell>
          <cell r="AS15">
            <v>151</v>
          </cell>
          <cell r="AT15">
            <v>3509</v>
          </cell>
          <cell r="AU15">
            <v>0</v>
          </cell>
          <cell r="AV15">
            <v>24040</v>
          </cell>
          <cell r="AW15">
            <v>11806</v>
          </cell>
          <cell r="AX15">
            <v>10885</v>
          </cell>
          <cell r="AY15">
            <v>1084</v>
          </cell>
          <cell r="AZ15">
            <v>265</v>
          </cell>
          <cell r="BA15">
            <v>0</v>
          </cell>
          <cell r="BB15">
            <v>47115</v>
          </cell>
          <cell r="BC15">
            <v>19613</v>
          </cell>
          <cell r="BD15">
            <v>15394</v>
          </cell>
          <cell r="BE15">
            <v>4181</v>
          </cell>
          <cell r="BF15">
            <v>38</v>
          </cell>
          <cell r="BG15">
            <v>4354</v>
          </cell>
          <cell r="BH15">
            <v>6512</v>
          </cell>
          <cell r="BI15">
            <v>5230</v>
          </cell>
          <cell r="BJ15">
            <v>982</v>
          </cell>
          <cell r="BK15">
            <v>300</v>
          </cell>
          <cell r="BL15">
            <v>4432</v>
          </cell>
          <cell r="BM15">
            <v>4636</v>
          </cell>
          <cell r="BN15">
            <v>444</v>
          </cell>
          <cell r="BO15">
            <v>4192</v>
          </cell>
          <cell r="BP15">
            <v>7568</v>
          </cell>
          <cell r="BQ15">
            <v>5066</v>
          </cell>
          <cell r="BR15">
            <v>2502</v>
          </cell>
          <cell r="BS15">
            <v>15758</v>
          </cell>
          <cell r="BT15">
            <v>6341</v>
          </cell>
          <cell r="BU15">
            <v>3778</v>
          </cell>
          <cell r="BV15">
            <v>242</v>
          </cell>
          <cell r="BW15">
            <v>2321</v>
          </cell>
          <cell r="BX15">
            <v>5743</v>
          </cell>
          <cell r="BY15">
            <v>3190</v>
          </cell>
          <cell r="BZ15">
            <v>2084</v>
          </cell>
          <cell r="CA15">
            <v>469</v>
          </cell>
          <cell r="CB15">
            <v>3674</v>
          </cell>
          <cell r="CC15">
            <v>132340</v>
          </cell>
          <cell r="CD15">
            <v>42859</v>
          </cell>
          <cell r="CE15">
            <v>41129</v>
          </cell>
          <cell r="CF15">
            <v>1010</v>
          </cell>
          <cell r="CG15">
            <v>720</v>
          </cell>
          <cell r="CH15">
            <v>53346</v>
          </cell>
          <cell r="CI15">
            <v>4276</v>
          </cell>
          <cell r="CJ15">
            <v>26561</v>
          </cell>
          <cell r="CK15">
            <v>16885</v>
          </cell>
          <cell r="CL15">
            <v>5624</v>
          </cell>
          <cell r="CM15">
            <v>36135</v>
          </cell>
          <cell r="CN15">
            <v>5736</v>
          </cell>
          <cell r="CO15">
            <v>8563</v>
          </cell>
          <cell r="CP15">
            <v>15506</v>
          </cell>
          <cell r="CQ15">
            <v>4133</v>
          </cell>
          <cell r="CR15">
            <v>2197</v>
          </cell>
          <cell r="CS15">
            <v>22725</v>
          </cell>
          <cell r="CT15">
            <v>779</v>
          </cell>
          <cell r="CU15">
            <v>4203</v>
          </cell>
          <cell r="CV15">
            <v>17743</v>
          </cell>
          <cell r="CW15">
            <v>96568</v>
          </cell>
          <cell r="CX15">
            <v>19030</v>
          </cell>
          <cell r="CY15">
            <v>6929</v>
          </cell>
          <cell r="CZ15">
            <v>1610</v>
          </cell>
          <cell r="DA15">
            <v>4451</v>
          </cell>
          <cell r="DB15">
            <v>5886</v>
          </cell>
          <cell r="DC15">
            <v>154</v>
          </cell>
          <cell r="DD15">
            <v>7628</v>
          </cell>
          <cell r="DE15">
            <v>5444</v>
          </cell>
          <cell r="DF15">
            <v>422</v>
          </cell>
          <cell r="DG15">
            <v>1762</v>
          </cell>
          <cell r="DH15">
            <v>22195</v>
          </cell>
          <cell r="DI15">
            <v>8917</v>
          </cell>
          <cell r="DJ15">
            <v>3756</v>
          </cell>
          <cell r="DK15">
            <v>4220</v>
          </cell>
          <cell r="DL15">
            <v>3764</v>
          </cell>
          <cell r="DM15">
            <v>1538</v>
          </cell>
          <cell r="DN15">
            <v>33628</v>
          </cell>
          <cell r="DO15">
            <v>7753</v>
          </cell>
          <cell r="DP15">
            <v>16523</v>
          </cell>
          <cell r="DQ15">
            <v>9352</v>
          </cell>
          <cell r="DR15">
            <v>14087</v>
          </cell>
          <cell r="DS15">
            <v>3432</v>
          </cell>
          <cell r="DT15">
            <v>5241</v>
          </cell>
          <cell r="DU15">
            <v>3055</v>
          </cell>
          <cell r="DV15">
            <v>2359</v>
          </cell>
          <cell r="DW15">
            <v>0</v>
          </cell>
          <cell r="DX15">
            <v>11527</v>
          </cell>
          <cell r="DY15">
            <v>94753</v>
          </cell>
          <cell r="DZ15">
            <v>76589</v>
          </cell>
          <cell r="EA15">
            <v>71863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4726</v>
          </cell>
          <cell r="EG15">
            <v>18164</v>
          </cell>
          <cell r="EH15">
            <v>123437</v>
          </cell>
          <cell r="EI15">
            <v>20208</v>
          </cell>
          <cell r="EJ15">
            <v>5560</v>
          </cell>
          <cell r="EK15">
            <v>460</v>
          </cell>
          <cell r="EL15">
            <v>14188</v>
          </cell>
          <cell r="EM15">
            <v>3901</v>
          </cell>
          <cell r="EN15">
            <v>6815</v>
          </cell>
          <cell r="EO15">
            <v>5466</v>
          </cell>
          <cell r="EP15">
            <v>1349</v>
          </cell>
          <cell r="EQ15">
            <v>7829</v>
          </cell>
          <cell r="ER15">
            <v>21855</v>
          </cell>
          <cell r="ES15">
            <v>11673</v>
          </cell>
          <cell r="ET15">
            <v>2259</v>
          </cell>
          <cell r="EU15">
            <v>2741</v>
          </cell>
          <cell r="EV15">
            <v>2352</v>
          </cell>
          <cell r="EW15">
            <v>2830</v>
          </cell>
          <cell r="EX15">
            <v>50551</v>
          </cell>
          <cell r="EY15">
            <v>23212</v>
          </cell>
          <cell r="EZ15">
            <v>27339</v>
          </cell>
          <cell r="FA15">
            <v>12278</v>
          </cell>
          <cell r="FB15">
            <v>951491</v>
          </cell>
          <cell r="FC15">
            <v>766770</v>
          </cell>
          <cell r="FD15">
            <v>98954</v>
          </cell>
          <cell r="FE15">
            <v>25249</v>
          </cell>
          <cell r="FF15">
            <v>2321</v>
          </cell>
          <cell r="FG15">
            <v>42859</v>
          </cell>
          <cell r="FH15">
            <v>4203</v>
          </cell>
          <cell r="FI15">
            <v>18856</v>
          </cell>
          <cell r="FJ15">
            <v>5466</v>
          </cell>
          <cell r="FK15">
            <v>391065</v>
          </cell>
          <cell r="FL15">
            <v>73367</v>
          </cell>
          <cell r="FM15">
            <v>33917</v>
          </cell>
          <cell r="FN15">
            <v>45480</v>
          </cell>
          <cell r="FO15">
            <v>28837</v>
          </cell>
          <cell r="FP15">
            <v>44275</v>
          </cell>
          <cell r="FQ15">
            <v>6341</v>
          </cell>
          <cell r="FR15">
            <v>73696</v>
          </cell>
          <cell r="FS15">
            <v>4203</v>
          </cell>
          <cell r="FT15">
            <v>59486</v>
          </cell>
          <cell r="FU15">
            <v>21463</v>
          </cell>
          <cell r="FV15">
            <v>204595</v>
          </cell>
          <cell r="FW15">
            <v>73367</v>
          </cell>
          <cell r="FX15">
            <v>33917</v>
          </cell>
          <cell r="FY15">
            <v>28837</v>
          </cell>
          <cell r="FZ15">
            <v>5066</v>
          </cell>
          <cell r="GA15">
            <v>4020</v>
          </cell>
          <cell r="GB15">
            <v>26561</v>
          </cell>
          <cell r="GC15">
            <v>18639</v>
          </cell>
          <cell r="GD15">
            <v>14188</v>
          </cell>
          <cell r="GE15">
            <v>12642</v>
          </cell>
          <cell r="GF15">
            <v>-22990</v>
          </cell>
          <cell r="GG15">
            <v>35632</v>
          </cell>
          <cell r="GH15">
            <v>547784</v>
          </cell>
          <cell r="GI15">
            <v>739</v>
          </cell>
          <cell r="GJ15">
            <v>212286</v>
          </cell>
          <cell r="GK15">
            <v>2840</v>
          </cell>
          <cell r="GL15">
            <v>9417</v>
          </cell>
          <cell r="GM15">
            <v>58644</v>
          </cell>
          <cell r="GN15">
            <v>18522</v>
          </cell>
          <cell r="GO15">
            <v>37082</v>
          </cell>
          <cell r="GP15">
            <v>11527</v>
          </cell>
          <cell r="GQ15">
            <v>94753</v>
          </cell>
          <cell r="GR15">
            <v>101974</v>
          </cell>
          <cell r="GS15">
            <v>87516</v>
          </cell>
          <cell r="GT15">
            <v>45480</v>
          </cell>
          <cell r="GU15">
            <v>13960</v>
          </cell>
          <cell r="GV15">
            <v>4276</v>
          </cell>
          <cell r="GW15">
            <v>21991</v>
          </cell>
          <cell r="GX15">
            <v>1809</v>
          </cell>
        </row>
        <row r="16">
          <cell r="A16">
            <v>2008</v>
          </cell>
          <cell r="B16">
            <v>966833</v>
          </cell>
          <cell r="C16">
            <v>77885</v>
          </cell>
          <cell r="D16">
            <v>69190</v>
          </cell>
          <cell r="E16">
            <v>12903</v>
          </cell>
          <cell r="F16">
            <v>14092</v>
          </cell>
          <cell r="G16">
            <v>3292</v>
          </cell>
          <cell r="H16">
            <v>9726</v>
          </cell>
          <cell r="I16">
            <v>2303</v>
          </cell>
          <cell r="J16">
            <v>6230</v>
          </cell>
          <cell r="K16">
            <v>10600</v>
          </cell>
          <cell r="L16">
            <v>6829</v>
          </cell>
          <cell r="M16">
            <v>3215</v>
          </cell>
          <cell r="N16">
            <v>8695</v>
          </cell>
          <cell r="O16">
            <v>1458</v>
          </cell>
          <cell r="P16">
            <v>7237</v>
          </cell>
          <cell r="Q16">
            <v>35307</v>
          </cell>
          <cell r="R16">
            <v>13547</v>
          </cell>
          <cell r="S16">
            <v>3505</v>
          </cell>
          <cell r="T16">
            <v>6541</v>
          </cell>
          <cell r="U16">
            <v>3501</v>
          </cell>
          <cell r="V16">
            <v>16332</v>
          </cell>
          <cell r="W16">
            <v>5428</v>
          </cell>
          <cell r="X16">
            <v>48017</v>
          </cell>
          <cell r="Y16">
            <v>41072</v>
          </cell>
          <cell r="Z16">
            <v>277</v>
          </cell>
          <cell r="AA16">
            <v>37051</v>
          </cell>
          <cell r="AB16">
            <v>3019</v>
          </cell>
          <cell r="AC16">
            <v>725</v>
          </cell>
          <cell r="AD16">
            <v>6945</v>
          </cell>
          <cell r="AE16">
            <v>6863</v>
          </cell>
          <cell r="AF16">
            <v>82</v>
          </cell>
          <cell r="AG16">
            <v>254765</v>
          </cell>
          <cell r="AH16">
            <v>49557</v>
          </cell>
          <cell r="AI16">
            <v>49431</v>
          </cell>
          <cell r="AJ16">
            <v>126</v>
          </cell>
          <cell r="AK16">
            <v>166660</v>
          </cell>
          <cell r="AL16">
            <v>160423</v>
          </cell>
          <cell r="AM16">
            <v>6237</v>
          </cell>
          <cell r="AN16">
            <v>2305</v>
          </cell>
          <cell r="AO16">
            <v>721</v>
          </cell>
          <cell r="AP16">
            <v>1584</v>
          </cell>
          <cell r="AQ16">
            <v>7543</v>
          </cell>
          <cell r="AR16">
            <v>3893</v>
          </cell>
          <cell r="AS16">
            <v>150</v>
          </cell>
          <cell r="AT16">
            <v>3500</v>
          </cell>
          <cell r="AU16">
            <v>0</v>
          </cell>
          <cell r="AV16">
            <v>28700</v>
          </cell>
          <cell r="AW16">
            <v>14073</v>
          </cell>
          <cell r="AX16">
            <v>12685</v>
          </cell>
          <cell r="AY16">
            <v>1571</v>
          </cell>
          <cell r="AZ16">
            <v>371</v>
          </cell>
          <cell r="BA16">
            <v>0</v>
          </cell>
          <cell r="BB16">
            <v>44904</v>
          </cell>
          <cell r="BC16">
            <v>18480</v>
          </cell>
          <cell r="BD16">
            <v>15209</v>
          </cell>
          <cell r="BE16">
            <v>3224</v>
          </cell>
          <cell r="BF16">
            <v>47</v>
          </cell>
          <cell r="BG16">
            <v>3992</v>
          </cell>
          <cell r="BH16">
            <v>6525</v>
          </cell>
          <cell r="BI16">
            <v>5479</v>
          </cell>
          <cell r="BJ16">
            <v>820</v>
          </cell>
          <cell r="BK16">
            <v>226</v>
          </cell>
          <cell r="BL16">
            <v>4173</v>
          </cell>
          <cell r="BM16">
            <v>4139</v>
          </cell>
          <cell r="BN16">
            <v>577</v>
          </cell>
          <cell r="BO16">
            <v>3562</v>
          </cell>
          <cell r="BP16">
            <v>7595</v>
          </cell>
          <cell r="BQ16">
            <v>4955</v>
          </cell>
          <cell r="BR16">
            <v>2640</v>
          </cell>
          <cell r="BS16">
            <v>15666</v>
          </cell>
          <cell r="BT16">
            <v>5999</v>
          </cell>
          <cell r="BU16">
            <v>3236</v>
          </cell>
          <cell r="BV16">
            <v>251</v>
          </cell>
          <cell r="BW16">
            <v>2512</v>
          </cell>
          <cell r="BX16">
            <v>5495</v>
          </cell>
          <cell r="BY16">
            <v>3194</v>
          </cell>
          <cell r="BZ16">
            <v>1817</v>
          </cell>
          <cell r="CA16">
            <v>484</v>
          </cell>
          <cell r="CB16">
            <v>4172</v>
          </cell>
          <cell r="CC16">
            <v>136070</v>
          </cell>
          <cell r="CD16">
            <v>40539</v>
          </cell>
          <cell r="CE16">
            <v>38655</v>
          </cell>
          <cell r="CF16">
            <v>1053</v>
          </cell>
          <cell r="CG16">
            <v>831</v>
          </cell>
          <cell r="CH16">
            <v>59154</v>
          </cell>
          <cell r="CI16">
            <v>4731</v>
          </cell>
          <cell r="CJ16">
            <v>30732</v>
          </cell>
          <cell r="CK16">
            <v>17835</v>
          </cell>
          <cell r="CL16">
            <v>5856</v>
          </cell>
          <cell r="CM16">
            <v>36377</v>
          </cell>
          <cell r="CN16">
            <v>6484</v>
          </cell>
          <cell r="CO16">
            <v>8556</v>
          </cell>
          <cell r="CP16">
            <v>15116</v>
          </cell>
          <cell r="CQ16">
            <v>4299</v>
          </cell>
          <cell r="CR16">
            <v>1922</v>
          </cell>
          <cell r="CS16">
            <v>22746</v>
          </cell>
          <cell r="CT16">
            <v>577</v>
          </cell>
          <cell r="CU16">
            <v>3981</v>
          </cell>
          <cell r="CV16">
            <v>18188</v>
          </cell>
          <cell r="CW16">
            <v>97963</v>
          </cell>
          <cell r="CX16">
            <v>18392</v>
          </cell>
          <cell r="CY16">
            <v>6191</v>
          </cell>
          <cell r="CZ16">
            <v>2021</v>
          </cell>
          <cell r="DA16">
            <v>4287</v>
          </cell>
          <cell r="DB16">
            <v>5773</v>
          </cell>
          <cell r="DC16">
            <v>120</v>
          </cell>
          <cell r="DD16">
            <v>7515</v>
          </cell>
          <cell r="DE16">
            <v>5538</v>
          </cell>
          <cell r="DF16">
            <v>213</v>
          </cell>
          <cell r="DG16">
            <v>1764</v>
          </cell>
          <cell r="DH16">
            <v>23297</v>
          </cell>
          <cell r="DI16">
            <v>9487</v>
          </cell>
          <cell r="DJ16">
            <v>3706</v>
          </cell>
          <cell r="DK16">
            <v>4474</v>
          </cell>
          <cell r="DL16">
            <v>3887</v>
          </cell>
          <cell r="DM16">
            <v>1743</v>
          </cell>
          <cell r="DN16">
            <v>34806</v>
          </cell>
          <cell r="DO16">
            <v>8104</v>
          </cell>
          <cell r="DP16">
            <v>16737</v>
          </cell>
          <cell r="DQ16">
            <v>9965</v>
          </cell>
          <cell r="DR16">
            <v>13953</v>
          </cell>
          <cell r="DS16">
            <v>3341</v>
          </cell>
          <cell r="DT16">
            <v>5148</v>
          </cell>
          <cell r="DU16">
            <v>3082</v>
          </cell>
          <cell r="DV16">
            <v>2382</v>
          </cell>
          <cell r="DW16">
            <v>0</v>
          </cell>
          <cell r="DX16">
            <v>12322</v>
          </cell>
          <cell r="DY16">
            <v>95885</v>
          </cell>
          <cell r="DZ16">
            <v>77888</v>
          </cell>
          <cell r="EA16">
            <v>73115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4773</v>
          </cell>
          <cell r="EG16">
            <v>17997</v>
          </cell>
          <cell r="EH16">
            <v>125303</v>
          </cell>
          <cell r="EI16">
            <v>19914</v>
          </cell>
          <cell r="EJ16">
            <v>5670</v>
          </cell>
          <cell r="EK16">
            <v>360</v>
          </cell>
          <cell r="EL16">
            <v>13884</v>
          </cell>
          <cell r="EM16">
            <v>4107</v>
          </cell>
          <cell r="EN16">
            <v>7051</v>
          </cell>
          <cell r="EO16">
            <v>5907</v>
          </cell>
          <cell r="EP16">
            <v>1144</v>
          </cell>
          <cell r="EQ16">
            <v>9725</v>
          </cell>
          <cell r="ER16">
            <v>17315</v>
          </cell>
          <cell r="ES16">
            <v>7064</v>
          </cell>
          <cell r="ET16">
            <v>2277</v>
          </cell>
          <cell r="EU16">
            <v>2759</v>
          </cell>
          <cell r="EV16">
            <v>2365</v>
          </cell>
          <cell r="EW16">
            <v>2850</v>
          </cell>
          <cell r="EX16">
            <v>55260</v>
          </cell>
          <cell r="EY16">
            <v>30451</v>
          </cell>
          <cell r="EZ16">
            <v>24809</v>
          </cell>
          <cell r="FA16">
            <v>11931</v>
          </cell>
          <cell r="FB16">
            <v>981077</v>
          </cell>
          <cell r="FC16">
            <v>786626</v>
          </cell>
          <cell r="FD16">
            <v>95678</v>
          </cell>
          <cell r="FE16">
            <v>24489</v>
          </cell>
          <cell r="FF16">
            <v>2512</v>
          </cell>
          <cell r="FG16">
            <v>40539</v>
          </cell>
          <cell r="FH16">
            <v>3981</v>
          </cell>
          <cell r="FI16">
            <v>18250</v>
          </cell>
          <cell r="FJ16">
            <v>5907</v>
          </cell>
          <cell r="FK16">
            <v>402514</v>
          </cell>
          <cell r="FL16">
            <v>77885</v>
          </cell>
          <cell r="FM16">
            <v>35307</v>
          </cell>
          <cell r="FN16">
            <v>47210</v>
          </cell>
          <cell r="FO16">
            <v>33314</v>
          </cell>
          <cell r="FP16">
            <v>41991</v>
          </cell>
          <cell r="FQ16">
            <v>5999</v>
          </cell>
          <cell r="FR16">
            <v>76002</v>
          </cell>
          <cell r="FS16">
            <v>3981</v>
          </cell>
          <cell r="FT16">
            <v>59530</v>
          </cell>
          <cell r="FU16">
            <v>21295</v>
          </cell>
          <cell r="FV16">
            <v>218537</v>
          </cell>
          <cell r="FW16">
            <v>77885</v>
          </cell>
          <cell r="FX16">
            <v>35307</v>
          </cell>
          <cell r="FY16">
            <v>33314</v>
          </cell>
          <cell r="FZ16">
            <v>4955</v>
          </cell>
          <cell r="GA16">
            <v>3487</v>
          </cell>
          <cell r="GB16">
            <v>30732</v>
          </cell>
          <cell r="GC16">
            <v>18973</v>
          </cell>
          <cell r="GD16">
            <v>13884</v>
          </cell>
          <cell r="GE16">
            <v>14244</v>
          </cell>
          <cell r="GF16">
            <v>-23930</v>
          </cell>
          <cell r="GG16">
            <v>38174</v>
          </cell>
          <cell r="GH16">
            <v>564319</v>
          </cell>
          <cell r="GI16">
            <v>807</v>
          </cell>
          <cell r="GJ16">
            <v>221451</v>
          </cell>
          <cell r="GK16">
            <v>2913</v>
          </cell>
          <cell r="GL16">
            <v>9667</v>
          </cell>
          <cell r="GM16">
            <v>60068</v>
          </cell>
          <cell r="GN16">
            <v>18765</v>
          </cell>
          <cell r="GO16">
            <v>38433</v>
          </cell>
          <cell r="GP16">
            <v>12322</v>
          </cell>
          <cell r="GQ16">
            <v>95885</v>
          </cell>
          <cell r="GR16">
            <v>104008</v>
          </cell>
          <cell r="GS16">
            <v>88299</v>
          </cell>
          <cell r="GT16">
            <v>47210</v>
          </cell>
          <cell r="GU16">
            <v>12547</v>
          </cell>
          <cell r="GV16">
            <v>4731</v>
          </cell>
          <cell r="GW16">
            <v>22307</v>
          </cell>
          <cell r="GX16">
            <v>1504</v>
          </cell>
        </row>
        <row r="17">
          <cell r="A17">
            <v>2009</v>
          </cell>
          <cell r="B17">
            <v>945642</v>
          </cell>
          <cell r="C17">
            <v>80070</v>
          </cell>
          <cell r="D17">
            <v>71157</v>
          </cell>
          <cell r="E17">
            <v>13856</v>
          </cell>
          <cell r="F17">
            <v>14989</v>
          </cell>
          <cell r="G17">
            <v>3048</v>
          </cell>
          <cell r="H17">
            <v>9838</v>
          </cell>
          <cell r="I17">
            <v>2118</v>
          </cell>
          <cell r="J17">
            <v>6638</v>
          </cell>
          <cell r="K17">
            <v>10543</v>
          </cell>
          <cell r="L17">
            <v>6748</v>
          </cell>
          <cell r="M17">
            <v>3379</v>
          </cell>
          <cell r="N17">
            <v>8913</v>
          </cell>
          <cell r="O17">
            <v>1599</v>
          </cell>
          <cell r="P17">
            <v>7314</v>
          </cell>
          <cell r="Q17">
            <v>37995</v>
          </cell>
          <cell r="R17">
            <v>14307</v>
          </cell>
          <cell r="S17">
            <v>3526</v>
          </cell>
          <cell r="T17">
            <v>6720</v>
          </cell>
          <cell r="U17">
            <v>4061</v>
          </cell>
          <cell r="V17">
            <v>16905</v>
          </cell>
          <cell r="W17">
            <v>6783</v>
          </cell>
          <cell r="X17">
            <v>48357</v>
          </cell>
          <cell r="Y17">
            <v>40967</v>
          </cell>
          <cell r="Z17">
            <v>372</v>
          </cell>
          <cell r="AA17">
            <v>37358</v>
          </cell>
          <cell r="AB17">
            <v>2660</v>
          </cell>
          <cell r="AC17">
            <v>577</v>
          </cell>
          <cell r="AD17">
            <v>7390</v>
          </cell>
          <cell r="AE17">
            <v>7294</v>
          </cell>
          <cell r="AF17">
            <v>96</v>
          </cell>
          <cell r="AG17">
            <v>258953</v>
          </cell>
          <cell r="AH17">
            <v>52477</v>
          </cell>
          <cell r="AI17">
            <v>52332</v>
          </cell>
          <cell r="AJ17">
            <v>145</v>
          </cell>
          <cell r="AK17">
            <v>167630</v>
          </cell>
          <cell r="AL17">
            <v>160682</v>
          </cell>
          <cell r="AM17">
            <v>6948</v>
          </cell>
          <cell r="AN17">
            <v>2180</v>
          </cell>
          <cell r="AO17">
            <v>711</v>
          </cell>
          <cell r="AP17">
            <v>1469</v>
          </cell>
          <cell r="AQ17">
            <v>7982</v>
          </cell>
          <cell r="AR17">
            <v>4047</v>
          </cell>
          <cell r="AS17">
            <v>154</v>
          </cell>
          <cell r="AT17">
            <v>3781</v>
          </cell>
          <cell r="AU17">
            <v>0</v>
          </cell>
          <cell r="AV17">
            <v>28684</v>
          </cell>
          <cell r="AW17">
            <v>13874</v>
          </cell>
          <cell r="AX17">
            <v>13311</v>
          </cell>
          <cell r="AY17">
            <v>1161</v>
          </cell>
          <cell r="AZ17">
            <v>338</v>
          </cell>
          <cell r="BA17">
            <v>0</v>
          </cell>
          <cell r="BB17">
            <v>43049</v>
          </cell>
          <cell r="BC17">
            <v>17953</v>
          </cell>
          <cell r="BD17">
            <v>14872</v>
          </cell>
          <cell r="BE17">
            <v>3021</v>
          </cell>
          <cell r="BF17">
            <v>60</v>
          </cell>
          <cell r="BG17">
            <v>4707</v>
          </cell>
          <cell r="BH17">
            <v>5896</v>
          </cell>
          <cell r="BI17">
            <v>4853</v>
          </cell>
          <cell r="BJ17">
            <v>827</v>
          </cell>
          <cell r="BK17">
            <v>216</v>
          </cell>
          <cell r="BL17">
            <v>3345</v>
          </cell>
          <cell r="BM17">
            <v>3535</v>
          </cell>
          <cell r="BN17">
            <v>325</v>
          </cell>
          <cell r="BO17">
            <v>3210</v>
          </cell>
          <cell r="BP17">
            <v>7613</v>
          </cell>
          <cell r="BQ17">
            <v>5005</v>
          </cell>
          <cell r="BR17">
            <v>2608</v>
          </cell>
          <cell r="BS17">
            <v>15461</v>
          </cell>
          <cell r="BT17">
            <v>5351</v>
          </cell>
          <cell r="BU17">
            <v>2535</v>
          </cell>
          <cell r="BV17">
            <v>267</v>
          </cell>
          <cell r="BW17">
            <v>2549</v>
          </cell>
          <cell r="BX17">
            <v>5308</v>
          </cell>
          <cell r="BY17">
            <v>2895</v>
          </cell>
          <cell r="BZ17">
            <v>1761</v>
          </cell>
          <cell r="CA17">
            <v>652</v>
          </cell>
          <cell r="CB17">
            <v>4802</v>
          </cell>
          <cell r="CC17">
            <v>127944</v>
          </cell>
          <cell r="CD17">
            <v>39897</v>
          </cell>
          <cell r="CE17">
            <v>37909</v>
          </cell>
          <cell r="CF17">
            <v>1070</v>
          </cell>
          <cell r="CG17">
            <v>918</v>
          </cell>
          <cell r="CH17">
            <v>54139</v>
          </cell>
          <cell r="CI17">
            <v>4798</v>
          </cell>
          <cell r="CJ17">
            <v>27057</v>
          </cell>
          <cell r="CK17">
            <v>16267</v>
          </cell>
          <cell r="CL17">
            <v>6017</v>
          </cell>
          <cell r="CM17">
            <v>33908</v>
          </cell>
          <cell r="CN17">
            <v>6398</v>
          </cell>
          <cell r="CO17">
            <v>6913</v>
          </cell>
          <cell r="CP17">
            <v>14616</v>
          </cell>
          <cell r="CQ17">
            <v>4259</v>
          </cell>
          <cell r="CR17">
            <v>1722</v>
          </cell>
          <cell r="CS17">
            <v>22002</v>
          </cell>
          <cell r="CT17">
            <v>669</v>
          </cell>
          <cell r="CU17">
            <v>3892</v>
          </cell>
          <cell r="CV17">
            <v>17441</v>
          </cell>
          <cell r="CW17">
            <v>95214</v>
          </cell>
          <cell r="CX17">
            <v>17055</v>
          </cell>
          <cell r="CY17">
            <v>5943</v>
          </cell>
          <cell r="CZ17">
            <v>1530</v>
          </cell>
          <cell r="DA17">
            <v>4393</v>
          </cell>
          <cell r="DB17">
            <v>4973</v>
          </cell>
          <cell r="DC17">
            <v>216</v>
          </cell>
          <cell r="DD17">
            <v>7862</v>
          </cell>
          <cell r="DE17">
            <v>5716</v>
          </cell>
          <cell r="DF17">
            <v>383</v>
          </cell>
          <cell r="DG17">
            <v>1763</v>
          </cell>
          <cell r="DH17">
            <v>23063</v>
          </cell>
          <cell r="DI17">
            <v>9289</v>
          </cell>
          <cell r="DJ17">
            <v>3838</v>
          </cell>
          <cell r="DK17">
            <v>4067</v>
          </cell>
          <cell r="DL17">
            <v>4023</v>
          </cell>
          <cell r="DM17">
            <v>1846</v>
          </cell>
          <cell r="DN17">
            <v>33510</v>
          </cell>
          <cell r="DO17">
            <v>7991</v>
          </cell>
          <cell r="DP17">
            <v>16371</v>
          </cell>
          <cell r="DQ17">
            <v>9148</v>
          </cell>
          <cell r="DR17">
            <v>13724</v>
          </cell>
          <cell r="DS17">
            <v>3232</v>
          </cell>
          <cell r="DT17">
            <v>5036</v>
          </cell>
          <cell r="DU17">
            <v>3216</v>
          </cell>
          <cell r="DV17">
            <v>2240</v>
          </cell>
          <cell r="DW17">
            <v>0</v>
          </cell>
          <cell r="DX17">
            <v>13670</v>
          </cell>
          <cell r="DY17">
            <v>90493</v>
          </cell>
          <cell r="DZ17">
            <v>73830</v>
          </cell>
          <cell r="EA17">
            <v>68815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5015</v>
          </cell>
          <cell r="EG17">
            <v>16663</v>
          </cell>
          <cell r="EH17">
            <v>112434</v>
          </cell>
          <cell r="EI17">
            <v>19863</v>
          </cell>
          <cell r="EJ17">
            <v>5776</v>
          </cell>
          <cell r="EK17">
            <v>301</v>
          </cell>
          <cell r="EL17">
            <v>13786</v>
          </cell>
          <cell r="EM17">
            <v>4227</v>
          </cell>
          <cell r="EN17">
            <v>7173</v>
          </cell>
          <cell r="EO17">
            <v>6011</v>
          </cell>
          <cell r="EP17">
            <v>1162</v>
          </cell>
          <cell r="EQ17">
            <v>9820</v>
          </cell>
          <cell r="ER17">
            <v>19206</v>
          </cell>
          <cell r="ES17">
            <v>10270</v>
          </cell>
          <cell r="ET17">
            <v>1983</v>
          </cell>
          <cell r="EU17">
            <v>2402</v>
          </cell>
          <cell r="EV17">
            <v>2068</v>
          </cell>
          <cell r="EW17">
            <v>2483</v>
          </cell>
          <cell r="EX17">
            <v>40325</v>
          </cell>
          <cell r="EY17">
            <v>17207</v>
          </cell>
          <cell r="EZ17">
            <v>23118</v>
          </cell>
          <cell r="FA17">
            <v>11820</v>
          </cell>
          <cell r="FB17">
            <v>957048</v>
          </cell>
          <cell r="FC17">
            <v>778571</v>
          </cell>
          <cell r="FD17">
            <v>93385</v>
          </cell>
          <cell r="FE17">
            <v>23071</v>
          </cell>
          <cell r="FF17">
            <v>2549</v>
          </cell>
          <cell r="FG17">
            <v>39897</v>
          </cell>
          <cell r="FH17">
            <v>3892</v>
          </cell>
          <cell r="FI17">
            <v>17965</v>
          </cell>
          <cell r="FJ17">
            <v>6011</v>
          </cell>
          <cell r="FK17">
            <v>399490</v>
          </cell>
          <cell r="FL17">
            <v>80070</v>
          </cell>
          <cell r="FM17">
            <v>37995</v>
          </cell>
          <cell r="FN17">
            <v>47684</v>
          </cell>
          <cell r="FO17">
            <v>33442</v>
          </cell>
          <cell r="FP17">
            <v>40165</v>
          </cell>
          <cell r="FQ17">
            <v>5351</v>
          </cell>
          <cell r="FR17">
            <v>71752</v>
          </cell>
          <cell r="FS17">
            <v>3892</v>
          </cell>
          <cell r="FT17">
            <v>57879</v>
          </cell>
          <cell r="FU17">
            <v>21260</v>
          </cell>
          <cell r="FV17">
            <v>218739</v>
          </cell>
          <cell r="FW17">
            <v>80070</v>
          </cell>
          <cell r="FX17">
            <v>37995</v>
          </cell>
          <cell r="FY17">
            <v>33442</v>
          </cell>
          <cell r="FZ17">
            <v>5005</v>
          </cell>
          <cell r="GA17">
            <v>2802</v>
          </cell>
          <cell r="GB17">
            <v>27057</v>
          </cell>
          <cell r="GC17">
            <v>18582</v>
          </cell>
          <cell r="GD17">
            <v>13786</v>
          </cell>
          <cell r="GE17">
            <v>11406</v>
          </cell>
          <cell r="GF17">
            <v>-25654</v>
          </cell>
          <cell r="GG17">
            <v>37060</v>
          </cell>
          <cell r="GH17">
            <v>546152</v>
          </cell>
          <cell r="GI17">
            <v>673</v>
          </cell>
          <cell r="GJ17">
            <v>225511</v>
          </cell>
          <cell r="GK17">
            <v>2884</v>
          </cell>
          <cell r="GL17">
            <v>10110</v>
          </cell>
          <cell r="GM17">
            <v>56192</v>
          </cell>
          <cell r="GN17">
            <v>18110</v>
          </cell>
          <cell r="GO17">
            <v>37335</v>
          </cell>
          <cell r="GP17">
            <v>13670</v>
          </cell>
          <cell r="GQ17">
            <v>90493</v>
          </cell>
          <cell r="GR17">
            <v>91174</v>
          </cell>
          <cell r="GS17">
            <v>87366</v>
          </cell>
          <cell r="GT17">
            <v>47684</v>
          </cell>
          <cell r="GU17">
            <v>12089</v>
          </cell>
          <cell r="GV17">
            <v>4798</v>
          </cell>
          <cell r="GW17">
            <v>21332</v>
          </cell>
          <cell r="GX17">
            <v>1463</v>
          </cell>
        </row>
        <row r="18">
          <cell r="A18">
            <v>2010</v>
          </cell>
          <cell r="B18">
            <v>974812</v>
          </cell>
          <cell r="C18">
            <v>81424</v>
          </cell>
          <cell r="D18">
            <v>72488</v>
          </cell>
          <cell r="E18">
            <v>14031</v>
          </cell>
          <cell r="F18">
            <v>14718</v>
          </cell>
          <cell r="G18">
            <v>3325</v>
          </cell>
          <cell r="H18">
            <v>9666</v>
          </cell>
          <cell r="I18">
            <v>2173</v>
          </cell>
          <cell r="J18">
            <v>6589</v>
          </cell>
          <cell r="K18">
            <v>10885</v>
          </cell>
          <cell r="L18">
            <v>7624</v>
          </cell>
          <cell r="M18">
            <v>3477</v>
          </cell>
          <cell r="N18">
            <v>8936</v>
          </cell>
          <cell r="O18">
            <v>1687</v>
          </cell>
          <cell r="P18">
            <v>7249</v>
          </cell>
          <cell r="Q18">
            <v>37317</v>
          </cell>
          <cell r="R18">
            <v>14519</v>
          </cell>
          <cell r="S18">
            <v>3739</v>
          </cell>
          <cell r="T18">
            <v>7047</v>
          </cell>
          <cell r="U18">
            <v>3733</v>
          </cell>
          <cell r="V18">
            <v>17633</v>
          </cell>
          <cell r="W18">
            <v>5165</v>
          </cell>
          <cell r="X18">
            <v>49509</v>
          </cell>
          <cell r="Y18">
            <v>42343</v>
          </cell>
          <cell r="Z18">
            <v>294</v>
          </cell>
          <cell r="AA18">
            <v>37937</v>
          </cell>
          <cell r="AB18">
            <v>3536</v>
          </cell>
          <cell r="AC18">
            <v>576</v>
          </cell>
          <cell r="AD18">
            <v>7166</v>
          </cell>
          <cell r="AE18">
            <v>7074</v>
          </cell>
          <cell r="AF18">
            <v>92</v>
          </cell>
          <cell r="AG18">
            <v>265760</v>
          </cell>
          <cell r="AH18">
            <v>55901</v>
          </cell>
          <cell r="AI18">
            <v>55739</v>
          </cell>
          <cell r="AJ18">
            <v>162</v>
          </cell>
          <cell r="AK18">
            <v>169699</v>
          </cell>
          <cell r="AL18">
            <v>162013</v>
          </cell>
          <cell r="AM18">
            <v>7686</v>
          </cell>
          <cell r="AN18">
            <v>2182</v>
          </cell>
          <cell r="AO18">
            <v>831</v>
          </cell>
          <cell r="AP18">
            <v>1351</v>
          </cell>
          <cell r="AQ18">
            <v>8158</v>
          </cell>
          <cell r="AR18">
            <v>4137</v>
          </cell>
          <cell r="AS18">
            <v>134</v>
          </cell>
          <cell r="AT18">
            <v>3887</v>
          </cell>
          <cell r="AU18">
            <v>0</v>
          </cell>
          <cell r="AV18">
            <v>29820</v>
          </cell>
          <cell r="AW18">
            <v>13403</v>
          </cell>
          <cell r="AX18">
            <v>14463</v>
          </cell>
          <cell r="AY18">
            <v>1577</v>
          </cell>
          <cell r="AZ18">
            <v>377</v>
          </cell>
          <cell r="BA18">
            <v>0</v>
          </cell>
          <cell r="BB18">
            <v>45750</v>
          </cell>
          <cell r="BC18">
            <v>18447</v>
          </cell>
          <cell r="BD18">
            <v>15005</v>
          </cell>
          <cell r="BE18">
            <v>3402</v>
          </cell>
          <cell r="BF18">
            <v>40</v>
          </cell>
          <cell r="BG18">
            <v>5125</v>
          </cell>
          <cell r="BH18">
            <v>6392</v>
          </cell>
          <cell r="BI18">
            <v>5212</v>
          </cell>
          <cell r="BJ18">
            <v>912</v>
          </cell>
          <cell r="BK18">
            <v>268</v>
          </cell>
          <cell r="BL18">
            <v>3783</v>
          </cell>
          <cell r="BM18">
            <v>3582</v>
          </cell>
          <cell r="BN18">
            <v>512</v>
          </cell>
          <cell r="BO18">
            <v>3070</v>
          </cell>
          <cell r="BP18">
            <v>8421</v>
          </cell>
          <cell r="BQ18">
            <v>5205</v>
          </cell>
          <cell r="BR18">
            <v>3216</v>
          </cell>
          <cell r="BS18">
            <v>16648</v>
          </cell>
          <cell r="BT18">
            <v>6358</v>
          </cell>
          <cell r="BU18">
            <v>3628</v>
          </cell>
          <cell r="BV18">
            <v>249</v>
          </cell>
          <cell r="BW18">
            <v>2481</v>
          </cell>
          <cell r="BX18">
            <v>5497</v>
          </cell>
          <cell r="BY18">
            <v>2797</v>
          </cell>
          <cell r="BZ18">
            <v>2099</v>
          </cell>
          <cell r="CA18">
            <v>601</v>
          </cell>
          <cell r="CB18">
            <v>4793</v>
          </cell>
          <cell r="CC18">
            <v>135908</v>
          </cell>
          <cell r="CD18">
            <v>38450</v>
          </cell>
          <cell r="CE18">
            <v>36381</v>
          </cell>
          <cell r="CF18">
            <v>990</v>
          </cell>
          <cell r="CG18">
            <v>1079</v>
          </cell>
          <cell r="CH18">
            <v>60808</v>
          </cell>
          <cell r="CI18">
            <v>4450</v>
          </cell>
          <cell r="CJ18">
            <v>31692</v>
          </cell>
          <cell r="CK18">
            <v>17780</v>
          </cell>
          <cell r="CL18">
            <v>6886</v>
          </cell>
          <cell r="CM18">
            <v>36650</v>
          </cell>
          <cell r="CN18">
            <v>7109</v>
          </cell>
          <cell r="CO18">
            <v>7650</v>
          </cell>
          <cell r="CP18">
            <v>15070</v>
          </cell>
          <cell r="CQ18">
            <v>4598</v>
          </cell>
          <cell r="CR18">
            <v>2223</v>
          </cell>
          <cell r="CS18">
            <v>23463</v>
          </cell>
          <cell r="CT18">
            <v>777</v>
          </cell>
          <cell r="CU18">
            <v>3851</v>
          </cell>
          <cell r="CV18">
            <v>18835</v>
          </cell>
          <cell r="CW18">
            <v>98159</v>
          </cell>
          <cell r="CX18">
            <v>18298</v>
          </cell>
          <cell r="CY18">
            <v>6763</v>
          </cell>
          <cell r="CZ18">
            <v>1632</v>
          </cell>
          <cell r="DA18">
            <v>5000</v>
          </cell>
          <cell r="DB18">
            <v>4705</v>
          </cell>
          <cell r="DC18">
            <v>198</v>
          </cell>
          <cell r="DD18">
            <v>8179</v>
          </cell>
          <cell r="DE18">
            <v>6176</v>
          </cell>
          <cell r="DF18">
            <v>255</v>
          </cell>
          <cell r="DG18">
            <v>1748</v>
          </cell>
          <cell r="DH18">
            <v>24220</v>
          </cell>
          <cell r="DI18">
            <v>9074</v>
          </cell>
          <cell r="DJ18">
            <v>4396</v>
          </cell>
          <cell r="DK18">
            <v>4203</v>
          </cell>
          <cell r="DL18">
            <v>4741</v>
          </cell>
          <cell r="DM18">
            <v>1806</v>
          </cell>
          <cell r="DN18">
            <v>33959</v>
          </cell>
          <cell r="DO18">
            <v>8446</v>
          </cell>
          <cell r="DP18">
            <v>16579</v>
          </cell>
          <cell r="DQ18">
            <v>8934</v>
          </cell>
          <cell r="DR18">
            <v>13503</v>
          </cell>
          <cell r="DS18">
            <v>3362</v>
          </cell>
          <cell r="DT18">
            <v>5103</v>
          </cell>
          <cell r="DU18">
            <v>2871</v>
          </cell>
          <cell r="DV18">
            <v>2167</v>
          </cell>
          <cell r="DW18">
            <v>0</v>
          </cell>
          <cell r="DX18">
            <v>14575</v>
          </cell>
          <cell r="DY18">
            <v>94553</v>
          </cell>
          <cell r="DZ18">
            <v>76863</v>
          </cell>
          <cell r="EA18">
            <v>71876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4987</v>
          </cell>
          <cell r="EG18">
            <v>17690</v>
          </cell>
          <cell r="EH18">
            <v>111746</v>
          </cell>
          <cell r="EI18">
            <v>20783</v>
          </cell>
          <cell r="EJ18">
            <v>6284</v>
          </cell>
          <cell r="EK18">
            <v>340</v>
          </cell>
          <cell r="EL18">
            <v>14159</v>
          </cell>
          <cell r="EM18">
            <v>4370</v>
          </cell>
          <cell r="EN18">
            <v>8899</v>
          </cell>
          <cell r="EO18">
            <v>6391</v>
          </cell>
          <cell r="EP18">
            <v>2508</v>
          </cell>
          <cell r="EQ18">
            <v>10590</v>
          </cell>
          <cell r="ER18">
            <v>18046</v>
          </cell>
          <cell r="ES18">
            <v>9509</v>
          </cell>
          <cell r="ET18">
            <v>1890</v>
          </cell>
          <cell r="EU18">
            <v>2294</v>
          </cell>
          <cell r="EV18">
            <v>1983</v>
          </cell>
          <cell r="EW18">
            <v>2370</v>
          </cell>
          <cell r="EX18">
            <v>36467</v>
          </cell>
          <cell r="EY18">
            <v>14108</v>
          </cell>
          <cell r="EZ18">
            <v>22359</v>
          </cell>
          <cell r="FA18">
            <v>12591</v>
          </cell>
          <cell r="FB18">
            <v>987020</v>
          </cell>
          <cell r="FC18">
            <v>822204</v>
          </cell>
          <cell r="FD18">
            <v>95130</v>
          </cell>
          <cell r="FE18">
            <v>24131</v>
          </cell>
          <cell r="FF18">
            <v>2481</v>
          </cell>
          <cell r="FG18">
            <v>38450</v>
          </cell>
          <cell r="FH18">
            <v>3851</v>
          </cell>
          <cell r="FI18">
            <v>19826</v>
          </cell>
          <cell r="FJ18">
            <v>6391</v>
          </cell>
          <cell r="FK18">
            <v>413243</v>
          </cell>
          <cell r="FL18">
            <v>81424</v>
          </cell>
          <cell r="FM18">
            <v>37317</v>
          </cell>
          <cell r="FN18">
            <v>48841</v>
          </cell>
          <cell r="FO18">
            <v>34788</v>
          </cell>
          <cell r="FP18">
            <v>42226</v>
          </cell>
          <cell r="FQ18">
            <v>6358</v>
          </cell>
          <cell r="FR18">
            <v>74592</v>
          </cell>
          <cell r="FS18">
            <v>3851</v>
          </cell>
          <cell r="FT18">
            <v>60448</v>
          </cell>
          <cell r="FU18">
            <v>23398</v>
          </cell>
          <cell r="FV18">
            <v>227547</v>
          </cell>
          <cell r="FW18">
            <v>81424</v>
          </cell>
          <cell r="FX18">
            <v>37317</v>
          </cell>
          <cell r="FY18">
            <v>34788</v>
          </cell>
          <cell r="FZ18">
            <v>5205</v>
          </cell>
          <cell r="GA18">
            <v>3877</v>
          </cell>
          <cell r="GB18">
            <v>31692</v>
          </cell>
          <cell r="GC18">
            <v>19085</v>
          </cell>
          <cell r="GD18">
            <v>14159</v>
          </cell>
          <cell r="GE18">
            <v>12208</v>
          </cell>
          <cell r="GF18">
            <v>-27054</v>
          </cell>
          <cell r="GG18">
            <v>39262</v>
          </cell>
          <cell r="GH18">
            <v>561569</v>
          </cell>
          <cell r="GI18">
            <v>668</v>
          </cell>
          <cell r="GJ18">
            <v>230972</v>
          </cell>
          <cell r="GK18">
            <v>3524</v>
          </cell>
          <cell r="GL18">
            <v>10290</v>
          </cell>
          <cell r="GM18">
            <v>61316</v>
          </cell>
          <cell r="GN18">
            <v>19612</v>
          </cell>
          <cell r="GO18">
            <v>37711</v>
          </cell>
          <cell r="GP18">
            <v>14575</v>
          </cell>
          <cell r="GQ18">
            <v>94553</v>
          </cell>
          <cell r="GR18">
            <v>88348</v>
          </cell>
          <cell r="GS18">
            <v>90566</v>
          </cell>
          <cell r="GT18">
            <v>48841</v>
          </cell>
          <cell r="GU18">
            <v>12890</v>
          </cell>
          <cell r="GV18">
            <v>4450</v>
          </cell>
          <cell r="GW18">
            <v>21537</v>
          </cell>
          <cell r="GX18">
            <v>2848</v>
          </cell>
        </row>
        <row r="19">
          <cell r="A19">
            <v>2011</v>
          </cell>
          <cell r="B19">
            <v>1012223</v>
          </cell>
          <cell r="C19">
            <v>87431</v>
          </cell>
          <cell r="D19">
            <v>78245</v>
          </cell>
          <cell r="E19">
            <v>14538</v>
          </cell>
          <cell r="F19">
            <v>15744</v>
          </cell>
          <cell r="G19">
            <v>3459</v>
          </cell>
          <cell r="H19">
            <v>9958</v>
          </cell>
          <cell r="I19">
            <v>2520</v>
          </cell>
          <cell r="J19">
            <v>7582</v>
          </cell>
          <cell r="K19">
            <v>12431</v>
          </cell>
          <cell r="L19">
            <v>8286</v>
          </cell>
          <cell r="M19">
            <v>3727</v>
          </cell>
          <cell r="N19">
            <v>9186</v>
          </cell>
          <cell r="O19">
            <v>1796</v>
          </cell>
          <cell r="P19">
            <v>7390</v>
          </cell>
          <cell r="Q19">
            <v>41683</v>
          </cell>
          <cell r="R19">
            <v>15867</v>
          </cell>
          <cell r="S19">
            <v>4405</v>
          </cell>
          <cell r="T19">
            <v>7441</v>
          </cell>
          <cell r="U19">
            <v>4021</v>
          </cell>
          <cell r="V19">
            <v>18599</v>
          </cell>
          <cell r="W19">
            <v>7217</v>
          </cell>
          <cell r="X19">
            <v>51892</v>
          </cell>
          <cell r="Y19">
            <v>44407</v>
          </cell>
          <cell r="Z19">
            <v>262</v>
          </cell>
          <cell r="AA19">
            <v>39626</v>
          </cell>
          <cell r="AB19">
            <v>3931</v>
          </cell>
          <cell r="AC19">
            <v>588</v>
          </cell>
          <cell r="AD19">
            <v>7485</v>
          </cell>
          <cell r="AE19">
            <v>7414</v>
          </cell>
          <cell r="AF19">
            <v>71</v>
          </cell>
          <cell r="AG19">
            <v>270699</v>
          </cell>
          <cell r="AH19">
            <v>59491</v>
          </cell>
          <cell r="AI19">
            <v>59328</v>
          </cell>
          <cell r="AJ19">
            <v>163</v>
          </cell>
          <cell r="AK19">
            <v>171163</v>
          </cell>
          <cell r="AL19">
            <v>163363</v>
          </cell>
          <cell r="AM19">
            <v>7800</v>
          </cell>
          <cell r="AN19">
            <v>2441</v>
          </cell>
          <cell r="AO19">
            <v>903</v>
          </cell>
          <cell r="AP19">
            <v>1538</v>
          </cell>
          <cell r="AQ19">
            <v>8374</v>
          </cell>
          <cell r="AR19">
            <v>4202</v>
          </cell>
          <cell r="AS19">
            <v>104</v>
          </cell>
          <cell r="AT19">
            <v>4068</v>
          </cell>
          <cell r="AU19">
            <v>0</v>
          </cell>
          <cell r="AV19">
            <v>29230</v>
          </cell>
          <cell r="AW19">
            <v>13807</v>
          </cell>
          <cell r="AX19">
            <v>13473</v>
          </cell>
          <cell r="AY19">
            <v>1582</v>
          </cell>
          <cell r="AZ19">
            <v>368</v>
          </cell>
          <cell r="BA19">
            <v>0</v>
          </cell>
          <cell r="BB19">
            <v>46213</v>
          </cell>
          <cell r="BC19">
            <v>18923</v>
          </cell>
          <cell r="BD19">
            <v>15099</v>
          </cell>
          <cell r="BE19">
            <v>3764</v>
          </cell>
          <cell r="BF19">
            <v>60</v>
          </cell>
          <cell r="BG19">
            <v>4026</v>
          </cell>
          <cell r="BH19">
            <v>6915</v>
          </cell>
          <cell r="BI19">
            <v>5351</v>
          </cell>
          <cell r="BJ19">
            <v>1304</v>
          </cell>
          <cell r="BK19">
            <v>260</v>
          </cell>
          <cell r="BL19">
            <v>4398</v>
          </cell>
          <cell r="BM19">
            <v>3905</v>
          </cell>
          <cell r="BN19">
            <v>396</v>
          </cell>
          <cell r="BO19">
            <v>3509</v>
          </cell>
          <cell r="BP19">
            <v>8046</v>
          </cell>
          <cell r="BQ19">
            <v>4918</v>
          </cell>
          <cell r="BR19">
            <v>3128</v>
          </cell>
          <cell r="BS19">
            <v>17542</v>
          </cell>
          <cell r="BT19">
            <v>6544</v>
          </cell>
          <cell r="BU19">
            <v>3788</v>
          </cell>
          <cell r="BV19">
            <v>250</v>
          </cell>
          <cell r="BW19">
            <v>2506</v>
          </cell>
          <cell r="BX19">
            <v>6534</v>
          </cell>
          <cell r="BY19">
            <v>3492</v>
          </cell>
          <cell r="BZ19">
            <v>2269</v>
          </cell>
          <cell r="CA19">
            <v>773</v>
          </cell>
          <cell r="CB19">
            <v>4464</v>
          </cell>
          <cell r="CC19">
            <v>143421</v>
          </cell>
          <cell r="CD19">
            <v>38067</v>
          </cell>
          <cell r="CE19">
            <v>36036</v>
          </cell>
          <cell r="CF19">
            <v>961</v>
          </cell>
          <cell r="CG19">
            <v>1070</v>
          </cell>
          <cell r="CH19">
            <v>64286</v>
          </cell>
          <cell r="CI19">
            <v>4286</v>
          </cell>
          <cell r="CJ19">
            <v>35476</v>
          </cell>
          <cell r="CK19">
            <v>17973</v>
          </cell>
          <cell r="CL19">
            <v>6551</v>
          </cell>
          <cell r="CM19">
            <v>41068</v>
          </cell>
          <cell r="CN19">
            <v>8239</v>
          </cell>
          <cell r="CO19">
            <v>7884</v>
          </cell>
          <cell r="CP19">
            <v>17515</v>
          </cell>
          <cell r="CQ19">
            <v>4825</v>
          </cell>
          <cell r="CR19">
            <v>2605</v>
          </cell>
          <cell r="CS19">
            <v>24600</v>
          </cell>
          <cell r="CT19">
            <v>787</v>
          </cell>
          <cell r="CU19">
            <v>4490</v>
          </cell>
          <cell r="CV19">
            <v>19323</v>
          </cell>
          <cell r="CW19">
            <v>99838</v>
          </cell>
          <cell r="CX19">
            <v>18022</v>
          </cell>
          <cell r="CY19">
            <v>5689</v>
          </cell>
          <cell r="CZ19">
            <v>1627</v>
          </cell>
          <cell r="DA19">
            <v>5846</v>
          </cell>
          <cell r="DB19">
            <v>4697</v>
          </cell>
          <cell r="DC19">
            <v>163</v>
          </cell>
          <cell r="DD19">
            <v>7879</v>
          </cell>
          <cell r="DE19">
            <v>5628</v>
          </cell>
          <cell r="DF19">
            <v>431</v>
          </cell>
          <cell r="DG19">
            <v>1820</v>
          </cell>
          <cell r="DH19">
            <v>24351</v>
          </cell>
          <cell r="DI19">
            <v>8312</v>
          </cell>
          <cell r="DJ19">
            <v>4361</v>
          </cell>
          <cell r="DK19">
            <v>4486</v>
          </cell>
          <cell r="DL19">
            <v>5105</v>
          </cell>
          <cell r="DM19">
            <v>2087</v>
          </cell>
          <cell r="DN19">
            <v>36351</v>
          </cell>
          <cell r="DO19">
            <v>9028</v>
          </cell>
          <cell r="DP19">
            <v>17693</v>
          </cell>
          <cell r="DQ19">
            <v>9630</v>
          </cell>
          <cell r="DR19">
            <v>13235</v>
          </cell>
          <cell r="DS19">
            <v>3123</v>
          </cell>
          <cell r="DT19">
            <v>4985</v>
          </cell>
          <cell r="DU19">
            <v>3215</v>
          </cell>
          <cell r="DV19">
            <v>1912</v>
          </cell>
          <cell r="DW19">
            <v>0</v>
          </cell>
          <cell r="DX19">
            <v>15509</v>
          </cell>
          <cell r="DY19">
            <v>100088</v>
          </cell>
          <cell r="DZ19">
            <v>80694</v>
          </cell>
          <cell r="EA19">
            <v>75659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5035</v>
          </cell>
          <cell r="EG19">
            <v>19394</v>
          </cell>
          <cell r="EH19">
            <v>113307</v>
          </cell>
          <cell r="EI19">
            <v>20177</v>
          </cell>
          <cell r="EJ19">
            <v>6137</v>
          </cell>
          <cell r="EK19">
            <v>541</v>
          </cell>
          <cell r="EL19">
            <v>13499</v>
          </cell>
          <cell r="EM19">
            <v>4491</v>
          </cell>
          <cell r="EN19">
            <v>9366</v>
          </cell>
          <cell r="EO19">
            <v>6701</v>
          </cell>
          <cell r="EP19">
            <v>2665</v>
          </cell>
          <cell r="EQ19">
            <v>10441</v>
          </cell>
          <cell r="ER19">
            <v>19225</v>
          </cell>
          <cell r="ES19">
            <v>7717</v>
          </cell>
          <cell r="ET19">
            <v>2542</v>
          </cell>
          <cell r="EU19">
            <v>3097</v>
          </cell>
          <cell r="EV19">
            <v>2682</v>
          </cell>
          <cell r="EW19">
            <v>3187</v>
          </cell>
          <cell r="EX19">
            <v>36884</v>
          </cell>
          <cell r="EY19">
            <v>14298</v>
          </cell>
          <cell r="EZ19">
            <v>22586</v>
          </cell>
          <cell r="FA19">
            <v>12723</v>
          </cell>
          <cell r="FB19">
            <v>1022611</v>
          </cell>
          <cell r="FC19">
            <v>856256</v>
          </cell>
          <cell r="FD19">
            <v>95595</v>
          </cell>
          <cell r="FE19">
            <v>24610</v>
          </cell>
          <cell r="FF19">
            <v>2506</v>
          </cell>
          <cell r="FG19">
            <v>38067</v>
          </cell>
          <cell r="FH19">
            <v>4490</v>
          </cell>
          <cell r="FI19">
            <v>19221</v>
          </cell>
          <cell r="FJ19">
            <v>6701</v>
          </cell>
          <cell r="FK19">
            <v>429133</v>
          </cell>
          <cell r="FL19">
            <v>87431</v>
          </cell>
          <cell r="FM19">
            <v>41683</v>
          </cell>
          <cell r="FN19">
            <v>51233</v>
          </cell>
          <cell r="FO19">
            <v>34335</v>
          </cell>
          <cell r="FP19">
            <v>42765</v>
          </cell>
          <cell r="FQ19">
            <v>6544</v>
          </cell>
          <cell r="FR19">
            <v>77829</v>
          </cell>
          <cell r="FS19">
            <v>4490</v>
          </cell>
          <cell r="FT19">
            <v>59417</v>
          </cell>
          <cell r="FU19">
            <v>23406</v>
          </cell>
          <cell r="FV19">
            <v>241083</v>
          </cell>
          <cell r="FW19">
            <v>87431</v>
          </cell>
          <cell r="FX19">
            <v>41683</v>
          </cell>
          <cell r="FY19">
            <v>34335</v>
          </cell>
          <cell r="FZ19">
            <v>4918</v>
          </cell>
          <cell r="GA19">
            <v>4038</v>
          </cell>
          <cell r="GB19">
            <v>35476</v>
          </cell>
          <cell r="GC19">
            <v>19703</v>
          </cell>
          <cell r="GD19">
            <v>13499</v>
          </cell>
          <cell r="GE19">
            <v>10388</v>
          </cell>
          <cell r="GF19">
            <v>-29204</v>
          </cell>
          <cell r="GG19">
            <v>39592</v>
          </cell>
          <cell r="GH19">
            <v>583090</v>
          </cell>
          <cell r="GI19">
            <v>659</v>
          </cell>
          <cell r="GJ19">
            <v>236364</v>
          </cell>
          <cell r="GK19">
            <v>3448</v>
          </cell>
          <cell r="GL19">
            <v>10998</v>
          </cell>
          <cell r="GM19">
            <v>65592</v>
          </cell>
          <cell r="GN19">
            <v>20110</v>
          </cell>
          <cell r="GO19">
            <v>40421</v>
          </cell>
          <cell r="GP19">
            <v>15509</v>
          </cell>
          <cell r="GQ19">
            <v>100088</v>
          </cell>
          <cell r="GR19">
            <v>89901</v>
          </cell>
          <cell r="GS19">
            <v>92455</v>
          </cell>
          <cell r="GT19">
            <v>51233</v>
          </cell>
          <cell r="GU19">
            <v>13237</v>
          </cell>
          <cell r="GV19">
            <v>4286</v>
          </cell>
          <cell r="GW19">
            <v>20493</v>
          </cell>
          <cell r="GX19">
            <v>3206</v>
          </cell>
        </row>
        <row r="20">
          <cell r="A20">
            <v>2012</v>
          </cell>
          <cell r="B20">
            <v>1048923</v>
          </cell>
          <cell r="C20">
            <v>89867</v>
          </cell>
          <cell r="D20">
            <v>80052</v>
          </cell>
          <cell r="E20">
            <v>14982</v>
          </cell>
          <cell r="F20">
            <v>16765</v>
          </cell>
          <cell r="G20">
            <v>3358</v>
          </cell>
          <cell r="H20">
            <v>9874</v>
          </cell>
          <cell r="I20">
            <v>2411</v>
          </cell>
          <cell r="J20">
            <v>7758</v>
          </cell>
          <cell r="K20">
            <v>12304</v>
          </cell>
          <cell r="L20">
            <v>8598</v>
          </cell>
          <cell r="M20">
            <v>4002</v>
          </cell>
          <cell r="N20">
            <v>9815</v>
          </cell>
          <cell r="O20">
            <v>1888</v>
          </cell>
          <cell r="P20">
            <v>7927</v>
          </cell>
          <cell r="Q20">
            <v>41417</v>
          </cell>
          <cell r="R20">
            <v>16686</v>
          </cell>
          <cell r="S20">
            <v>4728</v>
          </cell>
          <cell r="T20">
            <v>7865</v>
          </cell>
          <cell r="U20">
            <v>4093</v>
          </cell>
          <cell r="V20">
            <v>18967</v>
          </cell>
          <cell r="W20">
            <v>5764</v>
          </cell>
          <cell r="X20">
            <v>53624</v>
          </cell>
          <cell r="Y20">
            <v>45337</v>
          </cell>
          <cell r="Z20">
            <v>212</v>
          </cell>
          <cell r="AA20">
            <v>40281</v>
          </cell>
          <cell r="AB20">
            <v>4176</v>
          </cell>
          <cell r="AC20">
            <v>668</v>
          </cell>
          <cell r="AD20">
            <v>8287</v>
          </cell>
          <cell r="AE20">
            <v>8198</v>
          </cell>
          <cell r="AF20">
            <v>89</v>
          </cell>
          <cell r="AG20">
            <v>286319</v>
          </cell>
          <cell r="AH20">
            <v>64918</v>
          </cell>
          <cell r="AI20">
            <v>64739</v>
          </cell>
          <cell r="AJ20">
            <v>179</v>
          </cell>
          <cell r="AK20">
            <v>177024</v>
          </cell>
          <cell r="AL20">
            <v>168684</v>
          </cell>
          <cell r="AM20">
            <v>8340</v>
          </cell>
          <cell r="AN20">
            <v>2535</v>
          </cell>
          <cell r="AO20">
            <v>857</v>
          </cell>
          <cell r="AP20">
            <v>1678</v>
          </cell>
          <cell r="AQ20">
            <v>8752</v>
          </cell>
          <cell r="AR20">
            <v>4431</v>
          </cell>
          <cell r="AS20">
            <v>104</v>
          </cell>
          <cell r="AT20">
            <v>4217</v>
          </cell>
          <cell r="AU20">
            <v>0</v>
          </cell>
          <cell r="AV20">
            <v>33090</v>
          </cell>
          <cell r="AW20">
            <v>15215</v>
          </cell>
          <cell r="AX20">
            <v>15893</v>
          </cell>
          <cell r="AY20">
            <v>1640</v>
          </cell>
          <cell r="AZ20">
            <v>342</v>
          </cell>
          <cell r="BA20">
            <v>0</v>
          </cell>
          <cell r="BB20">
            <v>47129</v>
          </cell>
          <cell r="BC20">
            <v>17647</v>
          </cell>
          <cell r="BD20">
            <v>13910</v>
          </cell>
          <cell r="BE20">
            <v>3673</v>
          </cell>
          <cell r="BF20">
            <v>64</v>
          </cell>
          <cell r="BG20">
            <v>3934</v>
          </cell>
          <cell r="BH20">
            <v>7738</v>
          </cell>
          <cell r="BI20">
            <v>6348</v>
          </cell>
          <cell r="BJ20">
            <v>1152</v>
          </cell>
          <cell r="BK20">
            <v>238</v>
          </cell>
          <cell r="BL20">
            <v>4973</v>
          </cell>
          <cell r="BM20">
            <v>4471</v>
          </cell>
          <cell r="BN20">
            <v>398</v>
          </cell>
          <cell r="BO20">
            <v>4073</v>
          </cell>
          <cell r="BP20">
            <v>8366</v>
          </cell>
          <cell r="BQ20">
            <v>5211</v>
          </cell>
          <cell r="BR20">
            <v>3155</v>
          </cell>
          <cell r="BS20">
            <v>19583</v>
          </cell>
          <cell r="BT20">
            <v>7966</v>
          </cell>
          <cell r="BU20">
            <v>5162</v>
          </cell>
          <cell r="BV20">
            <v>288</v>
          </cell>
          <cell r="BW20">
            <v>2516</v>
          </cell>
          <cell r="BX20">
            <v>6752</v>
          </cell>
          <cell r="BY20">
            <v>3704</v>
          </cell>
          <cell r="BZ20">
            <v>2269</v>
          </cell>
          <cell r="CA20">
            <v>779</v>
          </cell>
          <cell r="CB20">
            <v>4865</v>
          </cell>
          <cell r="CC20">
            <v>147664</v>
          </cell>
          <cell r="CD20">
            <v>39526</v>
          </cell>
          <cell r="CE20">
            <v>37480</v>
          </cell>
          <cell r="CF20">
            <v>823</v>
          </cell>
          <cell r="CG20">
            <v>1223</v>
          </cell>
          <cell r="CH20">
            <v>64398</v>
          </cell>
          <cell r="CI20">
            <v>4659</v>
          </cell>
          <cell r="CJ20">
            <v>35038</v>
          </cell>
          <cell r="CK20">
            <v>18575</v>
          </cell>
          <cell r="CL20">
            <v>6126</v>
          </cell>
          <cell r="CM20">
            <v>43740</v>
          </cell>
          <cell r="CN20">
            <v>9054</v>
          </cell>
          <cell r="CO20">
            <v>7909</v>
          </cell>
          <cell r="CP20">
            <v>18471</v>
          </cell>
          <cell r="CQ20">
            <v>5924</v>
          </cell>
          <cell r="CR20">
            <v>2382</v>
          </cell>
          <cell r="CS20">
            <v>25767</v>
          </cell>
          <cell r="CT20">
            <v>912</v>
          </cell>
          <cell r="CU20">
            <v>5366</v>
          </cell>
          <cell r="CV20">
            <v>19489</v>
          </cell>
          <cell r="CW20">
            <v>98841</v>
          </cell>
          <cell r="CX20">
            <v>16527</v>
          </cell>
          <cell r="CY20">
            <v>5721</v>
          </cell>
          <cell r="CZ20">
            <v>941</v>
          </cell>
          <cell r="DA20">
            <v>4744</v>
          </cell>
          <cell r="DB20">
            <v>4992</v>
          </cell>
          <cell r="DC20">
            <v>129</v>
          </cell>
          <cell r="DD20">
            <v>7955</v>
          </cell>
          <cell r="DE20">
            <v>5562</v>
          </cell>
          <cell r="DF20">
            <v>469</v>
          </cell>
          <cell r="DG20">
            <v>1924</v>
          </cell>
          <cell r="DH20">
            <v>23684</v>
          </cell>
          <cell r="DI20">
            <v>7621</v>
          </cell>
          <cell r="DJ20">
            <v>4362</v>
          </cell>
          <cell r="DK20">
            <v>4280</v>
          </cell>
          <cell r="DL20">
            <v>5321</v>
          </cell>
          <cell r="DM20">
            <v>2100</v>
          </cell>
          <cell r="DN20">
            <v>37868</v>
          </cell>
          <cell r="DO20">
            <v>9921</v>
          </cell>
          <cell r="DP20">
            <v>18225</v>
          </cell>
          <cell r="DQ20">
            <v>9722</v>
          </cell>
          <cell r="DR20">
            <v>12807</v>
          </cell>
          <cell r="DS20">
            <v>3088</v>
          </cell>
          <cell r="DT20">
            <v>4727</v>
          </cell>
          <cell r="DU20">
            <v>3031</v>
          </cell>
          <cell r="DV20">
            <v>1961</v>
          </cell>
          <cell r="DW20">
            <v>0</v>
          </cell>
          <cell r="DX20">
            <v>16920</v>
          </cell>
          <cell r="DY20">
            <v>104969</v>
          </cell>
          <cell r="DZ20">
            <v>83627</v>
          </cell>
          <cell r="EA20">
            <v>78702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4925</v>
          </cell>
          <cell r="EG20">
            <v>21342</v>
          </cell>
          <cell r="EH20">
            <v>116823</v>
          </cell>
          <cell r="EI20">
            <v>21269</v>
          </cell>
          <cell r="EJ20">
            <v>6246</v>
          </cell>
          <cell r="EK20">
            <v>682</v>
          </cell>
          <cell r="EL20">
            <v>14341</v>
          </cell>
          <cell r="EM20">
            <v>4636</v>
          </cell>
          <cell r="EN20">
            <v>10153</v>
          </cell>
          <cell r="EO20">
            <v>7498</v>
          </cell>
          <cell r="EP20">
            <v>2655</v>
          </cell>
          <cell r="EQ20">
            <v>11144</v>
          </cell>
          <cell r="ER20">
            <v>20833</v>
          </cell>
          <cell r="ES20">
            <v>8709</v>
          </cell>
          <cell r="ET20">
            <v>2676</v>
          </cell>
          <cell r="EU20">
            <v>3265</v>
          </cell>
          <cell r="EV20">
            <v>2825</v>
          </cell>
          <cell r="EW20">
            <v>3358</v>
          </cell>
          <cell r="EX20">
            <v>34616</v>
          </cell>
          <cell r="EY20">
            <v>13314</v>
          </cell>
          <cell r="EZ20">
            <v>21302</v>
          </cell>
          <cell r="FA20">
            <v>14172</v>
          </cell>
          <cell r="FB20">
            <v>1058134</v>
          </cell>
          <cell r="FC20">
            <v>887582</v>
          </cell>
          <cell r="FD20">
            <v>96672</v>
          </cell>
          <cell r="FE20">
            <v>24329</v>
          </cell>
          <cell r="FF20">
            <v>2516</v>
          </cell>
          <cell r="FG20">
            <v>39526</v>
          </cell>
          <cell r="FH20">
            <v>5366</v>
          </cell>
          <cell r="FI20">
            <v>17437</v>
          </cell>
          <cell r="FJ20">
            <v>7498</v>
          </cell>
          <cell r="FK20">
            <v>440752</v>
          </cell>
          <cell r="FL20">
            <v>89867</v>
          </cell>
          <cell r="FM20">
            <v>41417</v>
          </cell>
          <cell r="FN20">
            <v>52867</v>
          </cell>
          <cell r="FO20">
            <v>38378</v>
          </cell>
          <cell r="FP20">
            <v>43672</v>
          </cell>
          <cell r="FQ20">
            <v>7966</v>
          </cell>
          <cell r="FR20">
            <v>79223</v>
          </cell>
          <cell r="FS20">
            <v>5366</v>
          </cell>
          <cell r="FT20">
            <v>56820</v>
          </cell>
          <cell r="FU20">
            <v>25176</v>
          </cell>
          <cell r="FV20">
            <v>249022</v>
          </cell>
          <cell r="FW20">
            <v>89867</v>
          </cell>
          <cell r="FX20">
            <v>41417</v>
          </cell>
          <cell r="FY20">
            <v>38378</v>
          </cell>
          <cell r="FZ20">
            <v>5211</v>
          </cell>
          <cell r="GA20">
            <v>5450</v>
          </cell>
          <cell r="GB20">
            <v>35038</v>
          </cell>
          <cell r="GC20">
            <v>19320</v>
          </cell>
          <cell r="GD20">
            <v>14341</v>
          </cell>
          <cell r="GE20">
            <v>9211</v>
          </cell>
          <cell r="GF20">
            <v>-30754</v>
          </cell>
          <cell r="GG20">
            <v>39965</v>
          </cell>
          <cell r="GH20">
            <v>608171</v>
          </cell>
          <cell r="GI20">
            <v>757</v>
          </cell>
          <cell r="GJ20">
            <v>247941</v>
          </cell>
          <cell r="GK20">
            <v>3457</v>
          </cell>
          <cell r="GL20">
            <v>11617</v>
          </cell>
          <cell r="GM20">
            <v>68441</v>
          </cell>
          <cell r="GN20">
            <v>20401</v>
          </cell>
          <cell r="GO20">
            <v>42021</v>
          </cell>
          <cell r="GP20">
            <v>16920</v>
          </cell>
          <cell r="GQ20">
            <v>104969</v>
          </cell>
          <cell r="GR20">
            <v>91647</v>
          </cell>
          <cell r="GS20">
            <v>95058</v>
          </cell>
          <cell r="GT20">
            <v>52867</v>
          </cell>
          <cell r="GU20">
            <v>14132</v>
          </cell>
          <cell r="GV20">
            <v>4659</v>
          </cell>
          <cell r="GW20">
            <v>20063</v>
          </cell>
          <cell r="GX20">
            <v>3337</v>
          </cell>
        </row>
        <row r="21">
          <cell r="A21">
            <v>2013</v>
          </cell>
          <cell r="B21">
            <v>1102122</v>
          </cell>
          <cell r="C21">
            <v>93003</v>
          </cell>
          <cell r="D21">
            <v>83327</v>
          </cell>
          <cell r="E21">
            <v>15917</v>
          </cell>
          <cell r="F21">
            <v>16994</v>
          </cell>
          <cell r="G21">
            <v>3703</v>
          </cell>
          <cell r="H21">
            <v>10585</v>
          </cell>
          <cell r="I21">
            <v>2356</v>
          </cell>
          <cell r="J21">
            <v>7899</v>
          </cell>
          <cell r="K21">
            <v>12775</v>
          </cell>
          <cell r="L21">
            <v>8998</v>
          </cell>
          <cell r="M21">
            <v>4100</v>
          </cell>
          <cell r="N21">
            <v>9676</v>
          </cell>
          <cell r="O21">
            <v>1960</v>
          </cell>
          <cell r="P21">
            <v>7716</v>
          </cell>
          <cell r="Q21">
            <v>42660</v>
          </cell>
          <cell r="R21">
            <v>18537</v>
          </cell>
          <cell r="S21">
            <v>5246</v>
          </cell>
          <cell r="T21">
            <v>8573</v>
          </cell>
          <cell r="U21">
            <v>4718</v>
          </cell>
          <cell r="V21">
            <v>18902</v>
          </cell>
          <cell r="W21">
            <v>5221</v>
          </cell>
          <cell r="X21">
            <v>57973</v>
          </cell>
          <cell r="Y21">
            <v>49297</v>
          </cell>
          <cell r="Z21">
            <v>472</v>
          </cell>
          <cell r="AA21">
            <v>43701</v>
          </cell>
          <cell r="AB21">
            <v>4450</v>
          </cell>
          <cell r="AC21">
            <v>674</v>
          </cell>
          <cell r="AD21">
            <v>8676</v>
          </cell>
          <cell r="AE21">
            <v>8608</v>
          </cell>
          <cell r="AF21">
            <v>68</v>
          </cell>
          <cell r="AG21">
            <v>299288</v>
          </cell>
          <cell r="AH21">
            <v>69418</v>
          </cell>
          <cell r="AI21">
            <v>69221</v>
          </cell>
          <cell r="AJ21">
            <v>197</v>
          </cell>
          <cell r="AK21">
            <v>183251</v>
          </cell>
          <cell r="AL21">
            <v>174385</v>
          </cell>
          <cell r="AM21">
            <v>8866</v>
          </cell>
          <cell r="AN21">
            <v>2622</v>
          </cell>
          <cell r="AO21">
            <v>900</v>
          </cell>
          <cell r="AP21">
            <v>1722</v>
          </cell>
          <cell r="AQ21">
            <v>9040</v>
          </cell>
          <cell r="AR21">
            <v>4504</v>
          </cell>
          <cell r="AS21">
            <v>109</v>
          </cell>
          <cell r="AT21">
            <v>4427</v>
          </cell>
          <cell r="AU21">
            <v>0</v>
          </cell>
          <cell r="AV21">
            <v>34957</v>
          </cell>
          <cell r="AW21">
            <v>16182</v>
          </cell>
          <cell r="AX21">
            <v>16714</v>
          </cell>
          <cell r="AY21">
            <v>1689</v>
          </cell>
          <cell r="AZ21">
            <v>372</v>
          </cell>
          <cell r="BA21">
            <v>0</v>
          </cell>
          <cell r="BB21">
            <v>48101</v>
          </cell>
          <cell r="BC21">
            <v>17999</v>
          </cell>
          <cell r="BD21">
            <v>15315</v>
          </cell>
          <cell r="BE21">
            <v>2652</v>
          </cell>
          <cell r="BF21">
            <v>32</v>
          </cell>
          <cell r="BG21">
            <v>4392</v>
          </cell>
          <cell r="BH21">
            <v>7604</v>
          </cell>
          <cell r="BI21">
            <v>6125</v>
          </cell>
          <cell r="BJ21">
            <v>1234</v>
          </cell>
          <cell r="BK21">
            <v>245</v>
          </cell>
          <cell r="BL21">
            <v>5278</v>
          </cell>
          <cell r="BM21">
            <v>4323</v>
          </cell>
          <cell r="BN21">
            <v>320</v>
          </cell>
          <cell r="BO21">
            <v>4003</v>
          </cell>
          <cell r="BP21">
            <v>8505</v>
          </cell>
          <cell r="BQ21">
            <v>5165</v>
          </cell>
          <cell r="BR21">
            <v>3340</v>
          </cell>
          <cell r="BS21">
            <v>23739</v>
          </cell>
          <cell r="BT21">
            <v>10316</v>
          </cell>
          <cell r="BU21">
            <v>7112</v>
          </cell>
          <cell r="BV21">
            <v>303</v>
          </cell>
          <cell r="BW21">
            <v>2901</v>
          </cell>
          <cell r="BX21">
            <v>7371</v>
          </cell>
          <cell r="BY21">
            <v>3555</v>
          </cell>
          <cell r="BZ21">
            <v>2947</v>
          </cell>
          <cell r="CA21">
            <v>869</v>
          </cell>
          <cell r="CB21">
            <v>6052</v>
          </cell>
          <cell r="CC21">
            <v>156437</v>
          </cell>
          <cell r="CD21">
            <v>45553</v>
          </cell>
          <cell r="CE21">
            <v>43549</v>
          </cell>
          <cell r="CF21">
            <v>777</v>
          </cell>
          <cell r="CG21">
            <v>1227</v>
          </cell>
          <cell r="CH21">
            <v>63567</v>
          </cell>
          <cell r="CI21">
            <v>4976</v>
          </cell>
          <cell r="CJ21">
            <v>33955</v>
          </cell>
          <cell r="CK21">
            <v>18176</v>
          </cell>
          <cell r="CL21">
            <v>6460</v>
          </cell>
          <cell r="CM21">
            <v>47317</v>
          </cell>
          <cell r="CN21">
            <v>10025</v>
          </cell>
          <cell r="CO21">
            <v>8173</v>
          </cell>
          <cell r="CP21">
            <v>19851</v>
          </cell>
          <cell r="CQ21">
            <v>6566</v>
          </cell>
          <cell r="CR21">
            <v>2702</v>
          </cell>
          <cell r="CS21">
            <v>25546</v>
          </cell>
          <cell r="CT21">
            <v>751</v>
          </cell>
          <cell r="CU21">
            <v>5469</v>
          </cell>
          <cell r="CV21">
            <v>19326</v>
          </cell>
          <cell r="CW21">
            <v>103876</v>
          </cell>
          <cell r="CX21">
            <v>17386</v>
          </cell>
          <cell r="CY21">
            <v>5555</v>
          </cell>
          <cell r="CZ21">
            <v>609</v>
          </cell>
          <cell r="DA21">
            <v>5732</v>
          </cell>
          <cell r="DB21">
            <v>5340</v>
          </cell>
          <cell r="DC21">
            <v>150</v>
          </cell>
          <cell r="DD21">
            <v>8099</v>
          </cell>
          <cell r="DE21">
            <v>5618</v>
          </cell>
          <cell r="DF21">
            <v>390</v>
          </cell>
          <cell r="DG21">
            <v>2091</v>
          </cell>
          <cell r="DH21">
            <v>24518</v>
          </cell>
          <cell r="DI21">
            <v>8116</v>
          </cell>
          <cell r="DJ21">
            <v>4166</v>
          </cell>
          <cell r="DK21">
            <v>3879</v>
          </cell>
          <cell r="DL21">
            <v>6014</v>
          </cell>
          <cell r="DM21">
            <v>2343</v>
          </cell>
          <cell r="DN21">
            <v>40669</v>
          </cell>
          <cell r="DO21">
            <v>9552</v>
          </cell>
          <cell r="DP21">
            <v>20251</v>
          </cell>
          <cell r="DQ21">
            <v>10866</v>
          </cell>
          <cell r="DR21">
            <v>13204</v>
          </cell>
          <cell r="DS21">
            <v>3075</v>
          </cell>
          <cell r="DT21">
            <v>4737</v>
          </cell>
          <cell r="DU21">
            <v>3145</v>
          </cell>
          <cell r="DV21">
            <v>2247</v>
          </cell>
          <cell r="DW21">
            <v>0</v>
          </cell>
          <cell r="DX21">
            <v>19011</v>
          </cell>
          <cell r="DY21">
            <v>110703</v>
          </cell>
          <cell r="DZ21">
            <v>87279</v>
          </cell>
          <cell r="EA21">
            <v>82192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5087</v>
          </cell>
          <cell r="EG21">
            <v>23424</v>
          </cell>
          <cell r="EH21">
            <v>121785</v>
          </cell>
          <cell r="EI21">
            <v>22194</v>
          </cell>
          <cell r="EJ21">
            <v>6403</v>
          </cell>
          <cell r="EK21">
            <v>914</v>
          </cell>
          <cell r="EL21">
            <v>14877</v>
          </cell>
          <cell r="EM21">
            <v>4761</v>
          </cell>
          <cell r="EN21">
            <v>10800</v>
          </cell>
          <cell r="EO21">
            <v>7403</v>
          </cell>
          <cell r="EP21">
            <v>3397</v>
          </cell>
          <cell r="EQ21">
            <v>13002</v>
          </cell>
          <cell r="ER21">
            <v>21964</v>
          </cell>
          <cell r="ES21">
            <v>10980</v>
          </cell>
          <cell r="ET21">
            <v>2426</v>
          </cell>
          <cell r="EU21">
            <v>2952</v>
          </cell>
          <cell r="EV21">
            <v>2563</v>
          </cell>
          <cell r="EW21">
            <v>3043</v>
          </cell>
          <cell r="EX21">
            <v>34200</v>
          </cell>
          <cell r="EY21">
            <v>11779</v>
          </cell>
          <cell r="EZ21">
            <v>22421</v>
          </cell>
          <cell r="FA21">
            <v>14864</v>
          </cell>
          <cell r="FB21">
            <v>1112232</v>
          </cell>
          <cell r="FC21">
            <v>0</v>
          </cell>
          <cell r="FD21">
            <v>103642</v>
          </cell>
          <cell r="FE21">
            <v>24412</v>
          </cell>
          <cell r="FF21">
            <v>2901</v>
          </cell>
          <cell r="FG21">
            <v>45553</v>
          </cell>
          <cell r="FH21">
            <v>5469</v>
          </cell>
          <cell r="FI21">
            <v>17904</v>
          </cell>
          <cell r="FJ21">
            <v>7403</v>
          </cell>
          <cell r="FK21">
            <v>463222</v>
          </cell>
          <cell r="FL21">
            <v>93003</v>
          </cell>
          <cell r="FM21">
            <v>42660</v>
          </cell>
          <cell r="FN21">
            <v>57231</v>
          </cell>
          <cell r="FO21">
            <v>40361</v>
          </cell>
          <cell r="FP21">
            <v>44484</v>
          </cell>
          <cell r="FQ21">
            <v>10316</v>
          </cell>
          <cell r="FR21">
            <v>84484</v>
          </cell>
          <cell r="FS21">
            <v>5469</v>
          </cell>
          <cell r="FT21">
            <v>58623</v>
          </cell>
          <cell r="FU21">
            <v>26591</v>
          </cell>
          <cell r="FV21">
            <v>257458</v>
          </cell>
          <cell r="FW21">
            <v>93003</v>
          </cell>
          <cell r="FX21">
            <v>42660</v>
          </cell>
          <cell r="FY21">
            <v>40361</v>
          </cell>
          <cell r="FZ21">
            <v>5165</v>
          </cell>
          <cell r="GA21">
            <v>7415</v>
          </cell>
          <cell r="GB21">
            <v>33955</v>
          </cell>
          <cell r="GC21">
            <v>20022</v>
          </cell>
          <cell r="GD21">
            <v>14877</v>
          </cell>
          <cell r="GE21">
            <v>10110</v>
          </cell>
          <cell r="GF21">
            <v>-33500</v>
          </cell>
          <cell r="GG21">
            <v>43610</v>
          </cell>
          <cell r="GH21">
            <v>638900</v>
          </cell>
          <cell r="GI21">
            <v>742</v>
          </cell>
          <cell r="GJ21">
            <v>258927</v>
          </cell>
          <cell r="GK21">
            <v>3617</v>
          </cell>
          <cell r="GL21">
            <v>13423</v>
          </cell>
          <cell r="GM21">
            <v>71953</v>
          </cell>
          <cell r="GN21">
            <v>20077</v>
          </cell>
          <cell r="GO21">
            <v>45253</v>
          </cell>
          <cell r="GP21">
            <v>19011</v>
          </cell>
          <cell r="GQ21">
            <v>110703</v>
          </cell>
          <cell r="GR21">
            <v>95194</v>
          </cell>
          <cell r="GS21">
            <v>102122</v>
          </cell>
          <cell r="GT21">
            <v>57231</v>
          </cell>
          <cell r="GU21">
            <v>14907</v>
          </cell>
          <cell r="GV21">
            <v>4976</v>
          </cell>
          <cell r="GW21">
            <v>20697</v>
          </cell>
          <cell r="GX21">
            <v>4311</v>
          </cell>
        </row>
        <row r="22">
          <cell r="A22">
            <v>2014</v>
          </cell>
          <cell r="B22">
            <v>1148347</v>
          </cell>
          <cell r="C22">
            <v>94365</v>
          </cell>
          <cell r="D22">
            <v>84902</v>
          </cell>
          <cell r="E22">
            <v>16120</v>
          </cell>
          <cell r="F22">
            <v>17424</v>
          </cell>
          <cell r="G22">
            <v>3711</v>
          </cell>
          <cell r="H22">
            <v>10750</v>
          </cell>
          <cell r="I22">
            <v>2231</v>
          </cell>
          <cell r="J22">
            <v>8599</v>
          </cell>
          <cell r="K22">
            <v>12828</v>
          </cell>
          <cell r="L22">
            <v>9307</v>
          </cell>
          <cell r="M22">
            <v>3932</v>
          </cell>
          <cell r="N22">
            <v>9463</v>
          </cell>
          <cell r="O22">
            <v>1994</v>
          </cell>
          <cell r="P22">
            <v>7469</v>
          </cell>
          <cell r="Q22">
            <v>41351</v>
          </cell>
          <cell r="R22">
            <v>17844</v>
          </cell>
          <cell r="S22">
            <v>5015</v>
          </cell>
          <cell r="T22">
            <v>8231</v>
          </cell>
          <cell r="U22">
            <v>4598</v>
          </cell>
          <cell r="V22">
            <v>19054</v>
          </cell>
          <cell r="W22">
            <v>4453</v>
          </cell>
          <cell r="X22">
            <v>58704</v>
          </cell>
          <cell r="Y22">
            <v>49719</v>
          </cell>
          <cell r="Z22">
            <v>252</v>
          </cell>
          <cell r="AA22">
            <v>44187</v>
          </cell>
          <cell r="AB22">
            <v>4582</v>
          </cell>
          <cell r="AC22">
            <v>698</v>
          </cell>
          <cell r="AD22">
            <v>8985</v>
          </cell>
          <cell r="AE22">
            <v>8901</v>
          </cell>
          <cell r="AF22">
            <v>84</v>
          </cell>
          <cell r="AG22">
            <v>307015</v>
          </cell>
          <cell r="AH22">
            <v>73553</v>
          </cell>
          <cell r="AI22">
            <v>73346</v>
          </cell>
          <cell r="AJ22">
            <v>207</v>
          </cell>
          <cell r="AK22">
            <v>190006</v>
          </cell>
          <cell r="AL22">
            <v>180757</v>
          </cell>
          <cell r="AM22">
            <v>9249</v>
          </cell>
          <cell r="AN22">
            <v>2708</v>
          </cell>
          <cell r="AO22">
            <v>928</v>
          </cell>
          <cell r="AP22">
            <v>1780</v>
          </cell>
          <cell r="AQ22">
            <v>9510</v>
          </cell>
          <cell r="AR22">
            <v>4885</v>
          </cell>
          <cell r="AS22">
            <v>167</v>
          </cell>
          <cell r="AT22">
            <v>4458</v>
          </cell>
          <cell r="AU22">
            <v>0</v>
          </cell>
          <cell r="AV22">
            <v>31238</v>
          </cell>
          <cell r="AW22">
            <v>15363</v>
          </cell>
          <cell r="AX22">
            <v>14184</v>
          </cell>
          <cell r="AY22">
            <v>1348</v>
          </cell>
          <cell r="AZ22">
            <v>343</v>
          </cell>
          <cell r="BA22">
            <v>0</v>
          </cell>
          <cell r="BB22">
            <v>50509</v>
          </cell>
          <cell r="BC22">
            <v>19541</v>
          </cell>
          <cell r="BD22">
            <v>16557</v>
          </cell>
          <cell r="BE22">
            <v>2961</v>
          </cell>
          <cell r="BF22">
            <v>23</v>
          </cell>
          <cell r="BG22">
            <v>4544</v>
          </cell>
          <cell r="BH22">
            <v>8261</v>
          </cell>
          <cell r="BI22">
            <v>6307</v>
          </cell>
          <cell r="BJ22">
            <v>1632</v>
          </cell>
          <cell r="BK22">
            <v>322</v>
          </cell>
          <cell r="BL22">
            <v>5063</v>
          </cell>
          <cell r="BM22">
            <v>4080</v>
          </cell>
          <cell r="BN22">
            <v>314</v>
          </cell>
          <cell r="BO22">
            <v>3766</v>
          </cell>
          <cell r="BP22">
            <v>9020</v>
          </cell>
          <cell r="BQ22">
            <v>5476</v>
          </cell>
          <cell r="BR22">
            <v>3544</v>
          </cell>
          <cell r="BS22">
            <v>24420</v>
          </cell>
          <cell r="BT22">
            <v>10680</v>
          </cell>
          <cell r="BU22">
            <v>7312</v>
          </cell>
          <cell r="BV22">
            <v>299</v>
          </cell>
          <cell r="BW22">
            <v>3069</v>
          </cell>
          <cell r="BX22">
            <v>7744</v>
          </cell>
          <cell r="BY22">
            <v>3978</v>
          </cell>
          <cell r="BZ22">
            <v>3021</v>
          </cell>
          <cell r="CA22">
            <v>745</v>
          </cell>
          <cell r="CB22">
            <v>5996</v>
          </cell>
          <cell r="CC22">
            <v>162159</v>
          </cell>
          <cell r="CD22">
            <v>51399</v>
          </cell>
          <cell r="CE22">
            <v>49259</v>
          </cell>
          <cell r="CF22">
            <v>828</v>
          </cell>
          <cell r="CG22">
            <v>1312</v>
          </cell>
          <cell r="CH22">
            <v>62084</v>
          </cell>
          <cell r="CI22">
            <v>4869</v>
          </cell>
          <cell r="CJ22">
            <v>32729</v>
          </cell>
          <cell r="CK22">
            <v>17168</v>
          </cell>
          <cell r="CL22">
            <v>7318</v>
          </cell>
          <cell r="CM22">
            <v>48676</v>
          </cell>
          <cell r="CN22">
            <v>10242</v>
          </cell>
          <cell r="CO22">
            <v>8060</v>
          </cell>
          <cell r="CP22">
            <v>20714</v>
          </cell>
          <cell r="CQ22">
            <v>6795</v>
          </cell>
          <cell r="CR22">
            <v>2865</v>
          </cell>
          <cell r="CS22">
            <v>24549</v>
          </cell>
          <cell r="CT22">
            <v>807</v>
          </cell>
          <cell r="CU22">
            <v>4075</v>
          </cell>
          <cell r="CV22">
            <v>19667</v>
          </cell>
          <cell r="CW22">
            <v>107783</v>
          </cell>
          <cell r="CX22">
            <v>16765</v>
          </cell>
          <cell r="CY22">
            <v>4692</v>
          </cell>
          <cell r="CZ22">
            <v>943</v>
          </cell>
          <cell r="DA22">
            <v>5698</v>
          </cell>
          <cell r="DB22">
            <v>5251</v>
          </cell>
          <cell r="DC22">
            <v>181</v>
          </cell>
          <cell r="DD22">
            <v>8453</v>
          </cell>
          <cell r="DE22">
            <v>5750</v>
          </cell>
          <cell r="DF22">
            <v>418</v>
          </cell>
          <cell r="DG22">
            <v>2285</v>
          </cell>
          <cell r="DH22">
            <v>26443</v>
          </cell>
          <cell r="DI22">
            <v>7992</v>
          </cell>
          <cell r="DJ22">
            <v>4488</v>
          </cell>
          <cell r="DK22">
            <v>4610</v>
          </cell>
          <cell r="DL22">
            <v>7042</v>
          </cell>
          <cell r="DM22">
            <v>2311</v>
          </cell>
          <cell r="DN22">
            <v>43695</v>
          </cell>
          <cell r="DO22">
            <v>10629</v>
          </cell>
          <cell r="DP22">
            <v>20623</v>
          </cell>
          <cell r="DQ22">
            <v>12443</v>
          </cell>
          <cell r="DR22">
            <v>12427</v>
          </cell>
          <cell r="DS22">
            <v>3094</v>
          </cell>
          <cell r="DT22">
            <v>4531</v>
          </cell>
          <cell r="DU22">
            <v>2901</v>
          </cell>
          <cell r="DV22">
            <v>1901</v>
          </cell>
          <cell r="DW22">
            <v>0</v>
          </cell>
          <cell r="DX22">
            <v>21540</v>
          </cell>
          <cell r="DY22">
            <v>116186</v>
          </cell>
          <cell r="DZ22">
            <v>91468</v>
          </cell>
          <cell r="EA22">
            <v>86285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5183</v>
          </cell>
          <cell r="EG22">
            <v>24718</v>
          </cell>
          <cell r="EH22">
            <v>139766</v>
          </cell>
          <cell r="EI22">
            <v>23974</v>
          </cell>
          <cell r="EJ22">
            <v>6763</v>
          </cell>
          <cell r="EK22">
            <v>930</v>
          </cell>
          <cell r="EL22">
            <v>16281</v>
          </cell>
          <cell r="EM22">
            <v>4887</v>
          </cell>
          <cell r="EN22">
            <v>11918</v>
          </cell>
          <cell r="EO22">
            <v>8887</v>
          </cell>
          <cell r="EP22">
            <v>3031</v>
          </cell>
          <cell r="EQ22">
            <v>13830</v>
          </cell>
          <cell r="ER22">
            <v>25370</v>
          </cell>
          <cell r="ES22">
            <v>12454</v>
          </cell>
          <cell r="ET22">
            <v>2853</v>
          </cell>
          <cell r="EU22">
            <v>3473</v>
          </cell>
          <cell r="EV22">
            <v>3013</v>
          </cell>
          <cell r="EW22">
            <v>3577</v>
          </cell>
          <cell r="EX22">
            <v>44738</v>
          </cell>
          <cell r="EY22">
            <v>19556</v>
          </cell>
          <cell r="EZ22">
            <v>25182</v>
          </cell>
          <cell r="FA22">
            <v>15049</v>
          </cell>
          <cell r="FB22">
            <v>1158972</v>
          </cell>
          <cell r="FC22">
            <v>0</v>
          </cell>
          <cell r="FD22">
            <v>111070</v>
          </cell>
          <cell r="FE22">
            <v>26139</v>
          </cell>
          <cell r="FF22">
            <v>3069</v>
          </cell>
          <cell r="FG22">
            <v>51399</v>
          </cell>
          <cell r="FH22">
            <v>4075</v>
          </cell>
          <cell r="FI22">
            <v>17501</v>
          </cell>
          <cell r="FJ22">
            <v>8887</v>
          </cell>
          <cell r="FK22">
            <v>469501</v>
          </cell>
          <cell r="FL22">
            <v>94365</v>
          </cell>
          <cell r="FM22">
            <v>41351</v>
          </cell>
          <cell r="FN22">
            <v>57922</v>
          </cell>
          <cell r="FO22">
            <v>37051</v>
          </cell>
          <cell r="FP22">
            <v>46620</v>
          </cell>
          <cell r="FQ22">
            <v>10680</v>
          </cell>
          <cell r="FR22">
            <v>88997</v>
          </cell>
          <cell r="FS22">
            <v>4075</v>
          </cell>
          <cell r="FT22">
            <v>59311</v>
          </cell>
          <cell r="FU22">
            <v>29129</v>
          </cell>
          <cell r="FV22">
            <v>255849</v>
          </cell>
          <cell r="FW22">
            <v>94365</v>
          </cell>
          <cell r="FX22">
            <v>41351</v>
          </cell>
          <cell r="FY22">
            <v>37051</v>
          </cell>
          <cell r="FZ22">
            <v>5476</v>
          </cell>
          <cell r="GA22">
            <v>7611</v>
          </cell>
          <cell r="GB22">
            <v>32729</v>
          </cell>
          <cell r="GC22">
            <v>20985</v>
          </cell>
          <cell r="GD22">
            <v>16281</v>
          </cell>
          <cell r="GE22">
            <v>10625</v>
          </cell>
          <cell r="GF22">
            <v>-35313</v>
          </cell>
          <cell r="GG22">
            <v>45938</v>
          </cell>
          <cell r="GH22">
            <v>678846</v>
          </cell>
          <cell r="GI22">
            <v>782</v>
          </cell>
          <cell r="GJ22">
            <v>269964</v>
          </cell>
          <cell r="GK22">
            <v>3889</v>
          </cell>
          <cell r="GL22">
            <v>13740</v>
          </cell>
          <cell r="GM22">
            <v>73162</v>
          </cell>
          <cell r="GN22">
            <v>20474</v>
          </cell>
          <cell r="GO22">
            <v>48472</v>
          </cell>
          <cell r="GP22">
            <v>21540</v>
          </cell>
          <cell r="GQ22">
            <v>116186</v>
          </cell>
          <cell r="GR22">
            <v>110637</v>
          </cell>
          <cell r="GS22">
            <v>102582</v>
          </cell>
          <cell r="GT22">
            <v>57922</v>
          </cell>
          <cell r="GU22">
            <v>15005</v>
          </cell>
          <cell r="GV22">
            <v>4869</v>
          </cell>
          <cell r="GW22">
            <v>20825</v>
          </cell>
          <cell r="GX22">
            <v>3961</v>
          </cell>
        </row>
        <row r="23">
          <cell r="A23">
            <v>2015</v>
          </cell>
          <cell r="B23">
            <v>1176477</v>
          </cell>
          <cell r="C23">
            <v>92445</v>
          </cell>
          <cell r="D23">
            <v>83010</v>
          </cell>
          <cell r="E23">
            <v>16531</v>
          </cell>
          <cell r="F23">
            <v>16979</v>
          </cell>
          <cell r="G23">
            <v>3636</v>
          </cell>
          <cell r="H23">
            <v>9858</v>
          </cell>
          <cell r="I23">
            <v>2171</v>
          </cell>
          <cell r="J23">
            <v>8397</v>
          </cell>
          <cell r="K23">
            <v>12343</v>
          </cell>
          <cell r="L23">
            <v>9300</v>
          </cell>
          <cell r="M23">
            <v>3795</v>
          </cell>
          <cell r="N23">
            <v>9435</v>
          </cell>
          <cell r="O23">
            <v>2004</v>
          </cell>
          <cell r="P23">
            <v>7431</v>
          </cell>
          <cell r="Q23">
            <v>39738</v>
          </cell>
          <cell r="R23">
            <v>18232</v>
          </cell>
          <cell r="S23">
            <v>5237</v>
          </cell>
          <cell r="T23">
            <v>8380</v>
          </cell>
          <cell r="U23">
            <v>4615</v>
          </cell>
          <cell r="V23">
            <v>18151</v>
          </cell>
          <cell r="W23">
            <v>3355</v>
          </cell>
          <cell r="X23">
            <v>61767</v>
          </cell>
          <cell r="Y23">
            <v>52097</v>
          </cell>
          <cell r="Z23">
            <v>49</v>
          </cell>
          <cell r="AA23">
            <v>46507</v>
          </cell>
          <cell r="AB23">
            <v>4940</v>
          </cell>
          <cell r="AC23">
            <v>601</v>
          </cell>
          <cell r="AD23">
            <v>9670</v>
          </cell>
          <cell r="AE23">
            <v>9587</v>
          </cell>
          <cell r="AF23">
            <v>83</v>
          </cell>
          <cell r="AG23">
            <v>317131</v>
          </cell>
          <cell r="AH23">
            <v>75986</v>
          </cell>
          <cell r="AI23">
            <v>75765</v>
          </cell>
          <cell r="AJ23">
            <v>221</v>
          </cell>
          <cell r="AK23">
            <v>197376</v>
          </cell>
          <cell r="AL23">
            <v>187637</v>
          </cell>
          <cell r="AM23">
            <v>9739</v>
          </cell>
          <cell r="AN23">
            <v>2846</v>
          </cell>
          <cell r="AO23">
            <v>1113</v>
          </cell>
          <cell r="AP23">
            <v>1733</v>
          </cell>
          <cell r="AQ23">
            <v>9524</v>
          </cell>
          <cell r="AR23">
            <v>4846</v>
          </cell>
          <cell r="AS23">
            <v>191</v>
          </cell>
          <cell r="AT23">
            <v>4487</v>
          </cell>
          <cell r="AU23">
            <v>0</v>
          </cell>
          <cell r="AV23">
            <v>31399</v>
          </cell>
          <cell r="AW23">
            <v>15465</v>
          </cell>
          <cell r="AX23">
            <v>14557</v>
          </cell>
          <cell r="AY23">
            <v>989</v>
          </cell>
          <cell r="AZ23">
            <v>388</v>
          </cell>
          <cell r="BA23">
            <v>0</v>
          </cell>
          <cell r="BB23">
            <v>54332</v>
          </cell>
          <cell r="BC23">
            <v>21960</v>
          </cell>
          <cell r="BD23">
            <v>17840</v>
          </cell>
          <cell r="BE23">
            <v>4097</v>
          </cell>
          <cell r="BF23">
            <v>23</v>
          </cell>
          <cell r="BG23">
            <v>5529</v>
          </cell>
          <cell r="BH23">
            <v>7964</v>
          </cell>
          <cell r="BI23">
            <v>6046</v>
          </cell>
          <cell r="BJ23">
            <v>1587</v>
          </cell>
          <cell r="BK23">
            <v>331</v>
          </cell>
          <cell r="BL23">
            <v>5117</v>
          </cell>
          <cell r="BM23">
            <v>4407</v>
          </cell>
          <cell r="BN23">
            <v>332</v>
          </cell>
          <cell r="BO23">
            <v>4075</v>
          </cell>
          <cell r="BP23">
            <v>9355</v>
          </cell>
          <cell r="BQ23">
            <v>5750</v>
          </cell>
          <cell r="BR23">
            <v>3605</v>
          </cell>
          <cell r="BS23">
            <v>25116</v>
          </cell>
          <cell r="BT23">
            <v>10689</v>
          </cell>
          <cell r="BU23">
            <v>7013</v>
          </cell>
          <cell r="BV23">
            <v>462</v>
          </cell>
          <cell r="BW23">
            <v>3214</v>
          </cell>
          <cell r="BX23">
            <v>8334</v>
          </cell>
          <cell r="BY23">
            <v>3578</v>
          </cell>
          <cell r="BZ23">
            <v>3775</v>
          </cell>
          <cell r="CA23">
            <v>981</v>
          </cell>
          <cell r="CB23">
            <v>6093</v>
          </cell>
          <cell r="CC23">
            <v>163708</v>
          </cell>
          <cell r="CD23">
            <v>53811</v>
          </cell>
          <cell r="CE23">
            <v>51739</v>
          </cell>
          <cell r="CF23">
            <v>827</v>
          </cell>
          <cell r="CG23">
            <v>1245</v>
          </cell>
          <cell r="CH23">
            <v>59416</v>
          </cell>
          <cell r="CI23">
            <v>4945</v>
          </cell>
          <cell r="CJ23">
            <v>28682</v>
          </cell>
          <cell r="CK23">
            <v>17827</v>
          </cell>
          <cell r="CL23">
            <v>7962</v>
          </cell>
          <cell r="CM23">
            <v>50481</v>
          </cell>
          <cell r="CN23">
            <v>10782</v>
          </cell>
          <cell r="CO23">
            <v>8047</v>
          </cell>
          <cell r="CP23">
            <v>21913</v>
          </cell>
          <cell r="CQ23">
            <v>6985</v>
          </cell>
          <cell r="CR23">
            <v>2754</v>
          </cell>
          <cell r="CS23">
            <v>25131</v>
          </cell>
          <cell r="CT23">
            <v>1127</v>
          </cell>
          <cell r="CU23">
            <v>4424</v>
          </cell>
          <cell r="CV23">
            <v>19580</v>
          </cell>
          <cell r="CW23">
            <v>111860</v>
          </cell>
          <cell r="CX23">
            <v>18157</v>
          </cell>
          <cell r="CY23">
            <v>4922</v>
          </cell>
          <cell r="CZ23">
            <v>1342</v>
          </cell>
          <cell r="DA23">
            <v>5527</v>
          </cell>
          <cell r="DB23">
            <v>6147</v>
          </cell>
          <cell r="DC23">
            <v>219</v>
          </cell>
          <cell r="DD23">
            <v>8616</v>
          </cell>
          <cell r="DE23">
            <v>5846</v>
          </cell>
          <cell r="DF23">
            <v>431</v>
          </cell>
          <cell r="DG23">
            <v>2339</v>
          </cell>
          <cell r="DH23">
            <v>27082</v>
          </cell>
          <cell r="DI23">
            <v>8565</v>
          </cell>
          <cell r="DJ23">
            <v>4356</v>
          </cell>
          <cell r="DK23">
            <v>4649</v>
          </cell>
          <cell r="DL23">
            <v>6962</v>
          </cell>
          <cell r="DM23">
            <v>2550</v>
          </cell>
          <cell r="DN23">
            <v>45238</v>
          </cell>
          <cell r="DO23">
            <v>11101</v>
          </cell>
          <cell r="DP23">
            <v>21731</v>
          </cell>
          <cell r="DQ23">
            <v>12406</v>
          </cell>
          <cell r="DR23">
            <v>12767</v>
          </cell>
          <cell r="DS23">
            <v>3324</v>
          </cell>
          <cell r="DT23">
            <v>4630</v>
          </cell>
          <cell r="DU23">
            <v>2957</v>
          </cell>
          <cell r="DV23">
            <v>1856</v>
          </cell>
          <cell r="DW23">
            <v>0</v>
          </cell>
          <cell r="DX23">
            <v>24016</v>
          </cell>
          <cell r="DY23">
            <v>121490</v>
          </cell>
          <cell r="DZ23">
            <v>94713</v>
          </cell>
          <cell r="EA23">
            <v>89552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5161</v>
          </cell>
          <cell r="EG23">
            <v>26777</v>
          </cell>
          <cell r="EH23">
            <v>139743</v>
          </cell>
          <cell r="EI23">
            <v>26302</v>
          </cell>
          <cell r="EJ23">
            <v>7084</v>
          </cell>
          <cell r="EK23">
            <v>909</v>
          </cell>
          <cell r="EL23">
            <v>18309</v>
          </cell>
          <cell r="EM23">
            <v>5046</v>
          </cell>
          <cell r="EN23">
            <v>12881</v>
          </cell>
          <cell r="EO23">
            <v>9714</v>
          </cell>
          <cell r="EP23">
            <v>3167</v>
          </cell>
          <cell r="EQ23">
            <v>15523</v>
          </cell>
          <cell r="ER23">
            <v>19208</v>
          </cell>
          <cell r="ES23">
            <v>7691</v>
          </cell>
          <cell r="ET23">
            <v>2531</v>
          </cell>
          <cell r="EU23">
            <v>3095</v>
          </cell>
          <cell r="EV23">
            <v>2714</v>
          </cell>
          <cell r="EW23">
            <v>3177</v>
          </cell>
          <cell r="EX23">
            <v>45660</v>
          </cell>
          <cell r="EY23">
            <v>22298</v>
          </cell>
          <cell r="EZ23">
            <v>23362</v>
          </cell>
          <cell r="FA23">
            <v>15123</v>
          </cell>
          <cell r="FB23">
            <v>1188031</v>
          </cell>
          <cell r="FC23">
            <v>0</v>
          </cell>
          <cell r="FD23">
            <v>117546</v>
          </cell>
          <cell r="FE23">
            <v>28315</v>
          </cell>
          <cell r="FF23">
            <v>3214</v>
          </cell>
          <cell r="FG23">
            <v>53811</v>
          </cell>
          <cell r="FH23">
            <v>4424</v>
          </cell>
          <cell r="FI23">
            <v>18068</v>
          </cell>
          <cell r="FJ23">
            <v>9714</v>
          </cell>
          <cell r="FK23">
            <v>477161</v>
          </cell>
          <cell r="FL23">
            <v>92445</v>
          </cell>
          <cell r="FM23">
            <v>39738</v>
          </cell>
          <cell r="FN23">
            <v>61083</v>
          </cell>
          <cell r="FO23">
            <v>37358</v>
          </cell>
          <cell r="FP23">
            <v>50373</v>
          </cell>
          <cell r="FQ23">
            <v>10689</v>
          </cell>
          <cell r="FR23">
            <v>87438</v>
          </cell>
          <cell r="FS23">
            <v>4424</v>
          </cell>
          <cell r="FT23">
            <v>61514</v>
          </cell>
          <cell r="FU23">
            <v>32099</v>
          </cell>
          <cell r="FV23">
            <v>250811</v>
          </cell>
          <cell r="FW23">
            <v>92445</v>
          </cell>
          <cell r="FX23">
            <v>39738</v>
          </cell>
          <cell r="FY23">
            <v>37358</v>
          </cell>
          <cell r="FZ23">
            <v>5750</v>
          </cell>
          <cell r="GA23">
            <v>7475</v>
          </cell>
          <cell r="GB23">
            <v>28682</v>
          </cell>
          <cell r="GC23">
            <v>21054</v>
          </cell>
          <cell r="GD23">
            <v>18309</v>
          </cell>
          <cell r="GE23">
            <v>11554</v>
          </cell>
          <cell r="GF23">
            <v>-36695</v>
          </cell>
          <cell r="GG23">
            <v>48249</v>
          </cell>
          <cell r="GH23">
            <v>699316</v>
          </cell>
          <cell r="GI23">
            <v>684</v>
          </cell>
          <cell r="GJ23">
            <v>279773</v>
          </cell>
          <cell r="GK23">
            <v>3959</v>
          </cell>
          <cell r="GL23">
            <v>14427</v>
          </cell>
          <cell r="GM23">
            <v>76270</v>
          </cell>
          <cell r="GN23">
            <v>20707</v>
          </cell>
          <cell r="GO23">
            <v>50346</v>
          </cell>
          <cell r="GP23">
            <v>24016</v>
          </cell>
          <cell r="GQ23">
            <v>121490</v>
          </cell>
          <cell r="GR23">
            <v>107644</v>
          </cell>
          <cell r="GS23">
            <v>108804</v>
          </cell>
          <cell r="GT23">
            <v>61083</v>
          </cell>
          <cell r="GU23">
            <v>16308</v>
          </cell>
          <cell r="GV23">
            <v>4945</v>
          </cell>
          <cell r="GW23">
            <v>22392</v>
          </cell>
          <cell r="GX23">
            <v>4076</v>
          </cell>
        </row>
        <row r="24">
          <cell r="A24">
            <v>2016</v>
          </cell>
          <cell r="B24">
            <v>1233491</v>
          </cell>
          <cell r="C24">
            <v>98106</v>
          </cell>
          <cell r="D24">
            <v>88453</v>
          </cell>
          <cell r="E24">
            <v>17343</v>
          </cell>
          <cell r="F24">
            <v>18230</v>
          </cell>
          <cell r="G24">
            <v>3845</v>
          </cell>
          <cell r="H24">
            <v>10325</v>
          </cell>
          <cell r="I24">
            <v>2123</v>
          </cell>
          <cell r="J24">
            <v>9415</v>
          </cell>
          <cell r="K24">
            <v>13156</v>
          </cell>
          <cell r="L24">
            <v>9885</v>
          </cell>
          <cell r="M24">
            <v>4131</v>
          </cell>
          <cell r="N24">
            <v>9653</v>
          </cell>
          <cell r="O24">
            <v>2064</v>
          </cell>
          <cell r="P24">
            <v>7589</v>
          </cell>
          <cell r="Q24">
            <v>39322</v>
          </cell>
          <cell r="R24">
            <v>18269</v>
          </cell>
          <cell r="S24">
            <v>5263</v>
          </cell>
          <cell r="T24">
            <v>8442</v>
          </cell>
          <cell r="U24">
            <v>4564</v>
          </cell>
          <cell r="V24">
            <v>18015</v>
          </cell>
          <cell r="W24">
            <v>3038</v>
          </cell>
          <cell r="X24">
            <v>64524</v>
          </cell>
          <cell r="Y24">
            <v>54993</v>
          </cell>
          <cell r="Z24">
            <v>111</v>
          </cell>
          <cell r="AA24">
            <v>49492</v>
          </cell>
          <cell r="AB24">
            <v>4764</v>
          </cell>
          <cell r="AC24">
            <v>626</v>
          </cell>
          <cell r="AD24">
            <v>9531</v>
          </cell>
          <cell r="AE24">
            <v>9461</v>
          </cell>
          <cell r="AF24">
            <v>70</v>
          </cell>
          <cell r="AG24">
            <v>331769</v>
          </cell>
          <cell r="AH24">
            <v>79607</v>
          </cell>
          <cell r="AI24">
            <v>79359</v>
          </cell>
          <cell r="AJ24">
            <v>248</v>
          </cell>
          <cell r="AK24">
            <v>207654</v>
          </cell>
          <cell r="AL24">
            <v>197197</v>
          </cell>
          <cell r="AM24">
            <v>10457</v>
          </cell>
          <cell r="AN24">
            <v>3093</v>
          </cell>
          <cell r="AO24">
            <v>1152</v>
          </cell>
          <cell r="AP24">
            <v>1941</v>
          </cell>
          <cell r="AQ24">
            <v>9693</v>
          </cell>
          <cell r="AR24">
            <v>4947</v>
          </cell>
          <cell r="AS24">
            <v>198</v>
          </cell>
          <cell r="AT24">
            <v>4548</v>
          </cell>
          <cell r="AU24">
            <v>0</v>
          </cell>
          <cell r="AV24">
            <v>31722</v>
          </cell>
          <cell r="AW24">
            <v>15917</v>
          </cell>
          <cell r="AX24">
            <v>14553</v>
          </cell>
          <cell r="AY24">
            <v>846</v>
          </cell>
          <cell r="AZ24">
            <v>406</v>
          </cell>
          <cell r="BA24">
            <v>0</v>
          </cell>
          <cell r="BB24">
            <v>56328</v>
          </cell>
          <cell r="BC24">
            <v>21418</v>
          </cell>
          <cell r="BD24">
            <v>17634</v>
          </cell>
          <cell r="BE24">
            <v>3764</v>
          </cell>
          <cell r="BF24">
            <v>20</v>
          </cell>
          <cell r="BG24">
            <v>5963</v>
          </cell>
          <cell r="BH24">
            <v>7934</v>
          </cell>
          <cell r="BI24">
            <v>6087</v>
          </cell>
          <cell r="BJ24">
            <v>1360</v>
          </cell>
          <cell r="BK24">
            <v>487</v>
          </cell>
          <cell r="BL24">
            <v>5707</v>
          </cell>
          <cell r="BM24">
            <v>5005</v>
          </cell>
          <cell r="BN24">
            <v>548</v>
          </cell>
          <cell r="BO24">
            <v>4457</v>
          </cell>
          <cell r="BP24">
            <v>10301</v>
          </cell>
          <cell r="BQ24">
            <v>5851</v>
          </cell>
          <cell r="BR24">
            <v>4450</v>
          </cell>
          <cell r="BS24">
            <v>26520</v>
          </cell>
          <cell r="BT24">
            <v>10638</v>
          </cell>
          <cell r="BU24">
            <v>7315</v>
          </cell>
          <cell r="BV24">
            <v>391</v>
          </cell>
          <cell r="BW24">
            <v>2932</v>
          </cell>
          <cell r="BX24">
            <v>9333</v>
          </cell>
          <cell r="BY24">
            <v>3816</v>
          </cell>
          <cell r="BZ24">
            <v>4543</v>
          </cell>
          <cell r="CA24">
            <v>974</v>
          </cell>
          <cell r="CB24">
            <v>6549</v>
          </cell>
          <cell r="CC24">
            <v>170416</v>
          </cell>
          <cell r="CD24">
            <v>58454</v>
          </cell>
          <cell r="CE24">
            <v>56066</v>
          </cell>
          <cell r="CF24">
            <v>934</v>
          </cell>
          <cell r="CG24">
            <v>1454</v>
          </cell>
          <cell r="CH24">
            <v>59759</v>
          </cell>
          <cell r="CI24">
            <v>5508</v>
          </cell>
          <cell r="CJ24">
            <v>28150</v>
          </cell>
          <cell r="CK24">
            <v>17466</v>
          </cell>
          <cell r="CL24">
            <v>8635</v>
          </cell>
          <cell r="CM24">
            <v>52203</v>
          </cell>
          <cell r="CN24">
            <v>11489</v>
          </cell>
          <cell r="CO24">
            <v>8067</v>
          </cell>
          <cell r="CP24">
            <v>22135</v>
          </cell>
          <cell r="CQ24">
            <v>7348</v>
          </cell>
          <cell r="CR24">
            <v>3164</v>
          </cell>
          <cell r="CS24">
            <v>28824</v>
          </cell>
          <cell r="CT24">
            <v>1100</v>
          </cell>
          <cell r="CU24">
            <v>7482</v>
          </cell>
          <cell r="CV24">
            <v>20242</v>
          </cell>
          <cell r="CW24">
            <v>113714</v>
          </cell>
          <cell r="CX24">
            <v>16361</v>
          </cell>
          <cell r="CY24">
            <v>4123</v>
          </cell>
          <cell r="CZ24">
            <v>501</v>
          </cell>
          <cell r="DA24">
            <v>5318</v>
          </cell>
          <cell r="DB24">
            <v>6197</v>
          </cell>
          <cell r="DC24">
            <v>222</v>
          </cell>
          <cell r="DD24">
            <v>8998</v>
          </cell>
          <cell r="DE24">
            <v>6230</v>
          </cell>
          <cell r="DF24">
            <v>359</v>
          </cell>
          <cell r="DG24">
            <v>2409</v>
          </cell>
          <cell r="DH24">
            <v>29279</v>
          </cell>
          <cell r="DI24">
            <v>8368</v>
          </cell>
          <cell r="DJ24">
            <v>5314</v>
          </cell>
          <cell r="DK24">
            <v>5116</v>
          </cell>
          <cell r="DL24">
            <v>7665</v>
          </cell>
          <cell r="DM24">
            <v>2816</v>
          </cell>
          <cell r="DN24">
            <v>45700</v>
          </cell>
          <cell r="DO24">
            <v>11798</v>
          </cell>
          <cell r="DP24">
            <v>22732</v>
          </cell>
          <cell r="DQ24">
            <v>11170</v>
          </cell>
          <cell r="DR24">
            <v>13376</v>
          </cell>
          <cell r="DS24">
            <v>3271</v>
          </cell>
          <cell r="DT24">
            <v>4587</v>
          </cell>
          <cell r="DU24">
            <v>3338</v>
          </cell>
          <cell r="DV24">
            <v>2180</v>
          </cell>
          <cell r="DW24">
            <v>0</v>
          </cell>
          <cell r="DX24">
            <v>25907</v>
          </cell>
          <cell r="DY24">
            <v>128140</v>
          </cell>
          <cell r="DZ24">
            <v>99380</v>
          </cell>
          <cell r="EA24">
            <v>94023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5357</v>
          </cell>
          <cell r="EG24">
            <v>28760</v>
          </cell>
          <cell r="EH24">
            <v>149921</v>
          </cell>
          <cell r="EI24">
            <v>26881</v>
          </cell>
          <cell r="EJ24">
            <v>7588</v>
          </cell>
          <cell r="EK24">
            <v>1048</v>
          </cell>
          <cell r="EL24">
            <v>18245</v>
          </cell>
          <cell r="EM24">
            <v>5329</v>
          </cell>
          <cell r="EN24">
            <v>14290</v>
          </cell>
          <cell r="EO24">
            <v>11446</v>
          </cell>
          <cell r="EP24">
            <v>2844</v>
          </cell>
          <cell r="EQ24">
            <v>15619</v>
          </cell>
          <cell r="ER24">
            <v>20406</v>
          </cell>
          <cell r="ES24">
            <v>9386</v>
          </cell>
          <cell r="ET24">
            <v>2263</v>
          </cell>
          <cell r="EU24">
            <v>2535</v>
          </cell>
          <cell r="EV24">
            <v>3434</v>
          </cell>
          <cell r="EW24">
            <v>2788</v>
          </cell>
          <cell r="EX24">
            <v>51933</v>
          </cell>
          <cell r="EY24">
            <v>22912</v>
          </cell>
          <cell r="EZ24">
            <v>29021</v>
          </cell>
          <cell r="FA24">
            <v>15463</v>
          </cell>
          <cell r="FB24">
            <v>1249345</v>
          </cell>
          <cell r="FC24">
            <v>0</v>
          </cell>
          <cell r="FD24">
            <v>124878</v>
          </cell>
          <cell r="FE24">
            <v>28033</v>
          </cell>
          <cell r="FF24">
            <v>2932</v>
          </cell>
          <cell r="FG24">
            <v>58454</v>
          </cell>
          <cell r="FH24">
            <v>7482</v>
          </cell>
          <cell r="FI24">
            <v>16531</v>
          </cell>
          <cell r="FJ24">
            <v>11446</v>
          </cell>
          <cell r="FK24">
            <v>496830</v>
          </cell>
          <cell r="FL24">
            <v>98106</v>
          </cell>
          <cell r="FM24">
            <v>39322</v>
          </cell>
          <cell r="FN24">
            <v>63828</v>
          </cell>
          <cell r="FO24">
            <v>37821</v>
          </cell>
          <cell r="FP24">
            <v>51371</v>
          </cell>
          <cell r="FQ24">
            <v>10638</v>
          </cell>
          <cell r="FR24">
            <v>92112</v>
          </cell>
          <cell r="FS24">
            <v>7482</v>
          </cell>
          <cell r="FT24">
            <v>62567</v>
          </cell>
          <cell r="FU24">
            <v>33583</v>
          </cell>
          <cell r="FV24">
            <v>258087</v>
          </cell>
          <cell r="FW24">
            <v>98106</v>
          </cell>
          <cell r="FX24">
            <v>39322</v>
          </cell>
          <cell r="FY24">
            <v>37821</v>
          </cell>
          <cell r="FZ24">
            <v>5851</v>
          </cell>
          <cell r="GA24">
            <v>7706</v>
          </cell>
          <cell r="GB24">
            <v>28150</v>
          </cell>
          <cell r="GC24">
            <v>22886</v>
          </cell>
          <cell r="GD24">
            <v>18245</v>
          </cell>
          <cell r="GE24">
            <v>15854</v>
          </cell>
          <cell r="GF24">
            <v>-38575</v>
          </cell>
          <cell r="GG24">
            <v>54429</v>
          </cell>
          <cell r="GH24">
            <v>736661</v>
          </cell>
          <cell r="GI24">
            <v>696</v>
          </cell>
          <cell r="GJ24">
            <v>293948</v>
          </cell>
          <cell r="GK24">
            <v>4957</v>
          </cell>
          <cell r="GL24">
            <v>15882</v>
          </cell>
          <cell r="GM24">
            <v>78304</v>
          </cell>
          <cell r="GN24">
            <v>21342</v>
          </cell>
          <cell r="GO24">
            <v>51147</v>
          </cell>
          <cell r="GP24">
            <v>25907</v>
          </cell>
          <cell r="GQ24">
            <v>128140</v>
          </cell>
          <cell r="GR24">
            <v>116338</v>
          </cell>
          <cell r="GS24">
            <v>113865</v>
          </cell>
          <cell r="GT24">
            <v>63828</v>
          </cell>
          <cell r="GU24">
            <v>17487</v>
          </cell>
          <cell r="GV24">
            <v>5508</v>
          </cell>
          <cell r="GW24">
            <v>23150</v>
          </cell>
          <cell r="GX24">
            <v>3892</v>
          </cell>
        </row>
        <row r="25">
          <cell r="A25">
            <v>2017</v>
          </cell>
          <cell r="B25">
            <v>1278689</v>
          </cell>
          <cell r="C25">
            <v>103448</v>
          </cell>
          <cell r="D25">
            <v>93454</v>
          </cell>
          <cell r="E25">
            <v>18385</v>
          </cell>
          <cell r="F25">
            <v>19086</v>
          </cell>
          <cell r="G25">
            <v>4302</v>
          </cell>
          <cell r="H25">
            <v>11208</v>
          </cell>
          <cell r="I25">
            <v>2478</v>
          </cell>
          <cell r="J25">
            <v>9957</v>
          </cell>
          <cell r="K25">
            <v>13540</v>
          </cell>
          <cell r="L25">
            <v>10409</v>
          </cell>
          <cell r="M25">
            <v>4089</v>
          </cell>
          <cell r="N25">
            <v>9994</v>
          </cell>
          <cell r="O25">
            <v>2206</v>
          </cell>
          <cell r="P25">
            <v>7788</v>
          </cell>
          <cell r="Q25">
            <v>42314</v>
          </cell>
          <cell r="R25">
            <v>19916</v>
          </cell>
          <cell r="S25">
            <v>5694</v>
          </cell>
          <cell r="T25">
            <v>9069</v>
          </cell>
          <cell r="U25">
            <v>5153</v>
          </cell>
          <cell r="V25">
            <v>18091</v>
          </cell>
          <cell r="W25">
            <v>4307</v>
          </cell>
          <cell r="X25">
            <v>65259</v>
          </cell>
          <cell r="Y25">
            <v>55100</v>
          </cell>
          <cell r="Z25">
            <v>219</v>
          </cell>
          <cell r="AA25">
            <v>49592</v>
          </cell>
          <cell r="AB25">
            <v>4586</v>
          </cell>
          <cell r="AC25">
            <v>703</v>
          </cell>
          <cell r="AD25">
            <v>10159</v>
          </cell>
          <cell r="AE25">
            <v>10095</v>
          </cell>
          <cell r="AF25">
            <v>64</v>
          </cell>
          <cell r="AG25">
            <v>334007</v>
          </cell>
          <cell r="AH25">
            <v>80065</v>
          </cell>
          <cell r="AI25">
            <v>79798</v>
          </cell>
          <cell r="AJ25">
            <v>267</v>
          </cell>
          <cell r="AK25">
            <v>210187</v>
          </cell>
          <cell r="AL25">
            <v>199373</v>
          </cell>
          <cell r="AM25">
            <v>10814</v>
          </cell>
          <cell r="AN25">
            <v>3089</v>
          </cell>
          <cell r="AO25">
            <v>1232</v>
          </cell>
          <cell r="AP25">
            <v>1857</v>
          </cell>
          <cell r="AQ25">
            <v>9691</v>
          </cell>
          <cell r="AR25">
            <v>4850</v>
          </cell>
          <cell r="AS25">
            <v>199</v>
          </cell>
          <cell r="AT25">
            <v>4642</v>
          </cell>
          <cell r="AU25">
            <v>0</v>
          </cell>
          <cell r="AV25">
            <v>30975</v>
          </cell>
          <cell r="AW25">
            <v>16324</v>
          </cell>
          <cell r="AX25">
            <v>13148</v>
          </cell>
          <cell r="AY25">
            <v>1071</v>
          </cell>
          <cell r="AZ25">
            <v>432</v>
          </cell>
          <cell r="BA25">
            <v>0</v>
          </cell>
          <cell r="BB25">
            <v>61229</v>
          </cell>
          <cell r="BC25">
            <v>23332</v>
          </cell>
          <cell r="BD25">
            <v>19701</v>
          </cell>
          <cell r="BE25">
            <v>3597</v>
          </cell>
          <cell r="BF25">
            <v>34</v>
          </cell>
          <cell r="BG25">
            <v>7281</v>
          </cell>
          <cell r="BH25">
            <v>8444</v>
          </cell>
          <cell r="BI25">
            <v>6480</v>
          </cell>
          <cell r="BJ25">
            <v>1475</v>
          </cell>
          <cell r="BK25">
            <v>489</v>
          </cell>
          <cell r="BL25">
            <v>6192</v>
          </cell>
          <cell r="BM25">
            <v>5488</v>
          </cell>
          <cell r="BN25">
            <v>656</v>
          </cell>
          <cell r="BO25">
            <v>4832</v>
          </cell>
          <cell r="BP25">
            <v>10492</v>
          </cell>
          <cell r="BQ25">
            <v>6247</v>
          </cell>
          <cell r="BR25">
            <v>4245</v>
          </cell>
          <cell r="BS25">
            <v>27303</v>
          </cell>
          <cell r="BT25">
            <v>11104</v>
          </cell>
          <cell r="BU25">
            <v>7467</v>
          </cell>
          <cell r="BV25">
            <v>438</v>
          </cell>
          <cell r="BW25">
            <v>3199</v>
          </cell>
          <cell r="BX25">
            <v>9344</v>
          </cell>
          <cell r="BY25">
            <v>3681</v>
          </cell>
          <cell r="BZ25">
            <v>4712</v>
          </cell>
          <cell r="CA25">
            <v>951</v>
          </cell>
          <cell r="CB25">
            <v>6855</v>
          </cell>
          <cell r="CC25">
            <v>176246</v>
          </cell>
          <cell r="CD25">
            <v>56511</v>
          </cell>
          <cell r="CE25">
            <v>53947</v>
          </cell>
          <cell r="CF25">
            <v>1008</v>
          </cell>
          <cell r="CG25">
            <v>1556</v>
          </cell>
          <cell r="CH25">
            <v>65787</v>
          </cell>
          <cell r="CI25">
            <v>5406</v>
          </cell>
          <cell r="CJ25">
            <v>31156</v>
          </cell>
          <cell r="CK25">
            <v>19022</v>
          </cell>
          <cell r="CL25">
            <v>10203</v>
          </cell>
          <cell r="CM25">
            <v>53948</v>
          </cell>
          <cell r="CN25">
            <v>11878</v>
          </cell>
          <cell r="CO25">
            <v>8439</v>
          </cell>
          <cell r="CP25">
            <v>23077</v>
          </cell>
          <cell r="CQ25">
            <v>7151</v>
          </cell>
          <cell r="CR25">
            <v>3403</v>
          </cell>
          <cell r="CS25">
            <v>29160</v>
          </cell>
          <cell r="CT25">
            <v>1196</v>
          </cell>
          <cell r="CU25">
            <v>6606</v>
          </cell>
          <cell r="CV25">
            <v>21358</v>
          </cell>
          <cell r="CW25">
            <v>123102</v>
          </cell>
          <cell r="CX25">
            <v>18032</v>
          </cell>
          <cell r="CY25">
            <v>5312</v>
          </cell>
          <cell r="CZ25">
            <v>1708</v>
          </cell>
          <cell r="DA25">
            <v>5602</v>
          </cell>
          <cell r="DB25">
            <v>5174</v>
          </cell>
          <cell r="DC25">
            <v>236</v>
          </cell>
          <cell r="DD25">
            <v>10476</v>
          </cell>
          <cell r="DE25">
            <v>7445</v>
          </cell>
          <cell r="DF25">
            <v>460</v>
          </cell>
          <cell r="DG25">
            <v>2571</v>
          </cell>
          <cell r="DH25">
            <v>33956</v>
          </cell>
          <cell r="DI25">
            <v>11520</v>
          </cell>
          <cell r="DJ25">
            <v>6378</v>
          </cell>
          <cell r="DK25">
            <v>5329</v>
          </cell>
          <cell r="DL25">
            <v>7425</v>
          </cell>
          <cell r="DM25">
            <v>3304</v>
          </cell>
          <cell r="DN25">
            <v>46489</v>
          </cell>
          <cell r="DO25">
            <v>12188</v>
          </cell>
          <cell r="DP25">
            <v>22904</v>
          </cell>
          <cell r="DQ25">
            <v>11397</v>
          </cell>
          <cell r="DR25">
            <v>14149</v>
          </cell>
          <cell r="DS25">
            <v>3716</v>
          </cell>
          <cell r="DT25">
            <v>4620</v>
          </cell>
          <cell r="DU25">
            <v>3373</v>
          </cell>
          <cell r="DV25">
            <v>2440</v>
          </cell>
          <cell r="DW25">
            <v>0</v>
          </cell>
          <cell r="DX25">
            <v>27162</v>
          </cell>
          <cell r="DY25">
            <v>136330</v>
          </cell>
          <cell r="DZ25">
            <v>105746</v>
          </cell>
          <cell r="EA25">
            <v>100119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5627</v>
          </cell>
          <cell r="EG25">
            <v>30584</v>
          </cell>
          <cell r="EH25">
            <v>153129</v>
          </cell>
          <cell r="EI25">
            <v>29653</v>
          </cell>
          <cell r="EJ25">
            <v>8027</v>
          </cell>
          <cell r="EK25">
            <v>884</v>
          </cell>
          <cell r="EL25">
            <v>20742</v>
          </cell>
          <cell r="EM25">
            <v>5540</v>
          </cell>
          <cell r="EN25">
            <v>13196</v>
          </cell>
          <cell r="EO25">
            <v>9674</v>
          </cell>
          <cell r="EP25">
            <v>3522</v>
          </cell>
          <cell r="EQ25">
            <v>15937</v>
          </cell>
          <cell r="ER25">
            <v>19386</v>
          </cell>
          <cell r="ES25">
            <v>8536</v>
          </cell>
          <cell r="ET25">
            <v>1747</v>
          </cell>
          <cell r="EU25">
            <v>2664</v>
          </cell>
          <cell r="EV25">
            <v>3671</v>
          </cell>
          <cell r="EW25">
            <v>2768</v>
          </cell>
          <cell r="EX25">
            <v>52616</v>
          </cell>
          <cell r="EY25">
            <v>21165</v>
          </cell>
          <cell r="EZ25">
            <v>31451</v>
          </cell>
          <cell r="FA25">
            <v>16801</v>
          </cell>
          <cell r="FB25">
            <v>1294569</v>
          </cell>
          <cell r="FC25">
            <v>0</v>
          </cell>
          <cell r="FD25">
            <v>126951</v>
          </cell>
          <cell r="FE25">
            <v>30434</v>
          </cell>
          <cell r="FF25">
            <v>3199</v>
          </cell>
          <cell r="FG25">
            <v>56511</v>
          </cell>
          <cell r="FH25">
            <v>6606</v>
          </cell>
          <cell r="FI25">
            <v>20527</v>
          </cell>
          <cell r="FJ25">
            <v>9674</v>
          </cell>
          <cell r="FK25">
            <v>519879</v>
          </cell>
          <cell r="FL25">
            <v>103448</v>
          </cell>
          <cell r="FM25">
            <v>42314</v>
          </cell>
          <cell r="FN25">
            <v>64492</v>
          </cell>
          <cell r="FO25">
            <v>37057</v>
          </cell>
          <cell r="FP25">
            <v>56461</v>
          </cell>
          <cell r="FQ25">
            <v>11104</v>
          </cell>
          <cell r="FR25">
            <v>93073</v>
          </cell>
          <cell r="FS25">
            <v>6606</v>
          </cell>
          <cell r="FT25">
            <v>70502</v>
          </cell>
          <cell r="FU25">
            <v>34822</v>
          </cell>
          <cell r="FV25">
            <v>272056</v>
          </cell>
          <cell r="FW25">
            <v>103448</v>
          </cell>
          <cell r="FX25">
            <v>42314</v>
          </cell>
          <cell r="FY25">
            <v>37057</v>
          </cell>
          <cell r="FZ25">
            <v>6247</v>
          </cell>
          <cell r="GA25">
            <v>7905</v>
          </cell>
          <cell r="GB25">
            <v>31156</v>
          </cell>
          <cell r="GC25">
            <v>23187</v>
          </cell>
          <cell r="GD25">
            <v>20742</v>
          </cell>
          <cell r="GE25">
            <v>15880</v>
          </cell>
          <cell r="GF25">
            <v>-43664</v>
          </cell>
          <cell r="GG25">
            <v>59544</v>
          </cell>
          <cell r="GH25">
            <v>758810</v>
          </cell>
          <cell r="GI25">
            <v>767</v>
          </cell>
          <cell r="GJ25">
            <v>296950</v>
          </cell>
          <cell r="GK25">
            <v>4768</v>
          </cell>
          <cell r="GL25">
            <v>16199</v>
          </cell>
          <cell r="GM25">
            <v>83173</v>
          </cell>
          <cell r="GN25">
            <v>22554</v>
          </cell>
          <cell r="GO25">
            <v>52600</v>
          </cell>
          <cell r="GP25">
            <v>27162</v>
          </cell>
          <cell r="GQ25">
            <v>136330</v>
          </cell>
          <cell r="GR25">
            <v>118307</v>
          </cell>
          <cell r="GS25">
            <v>120872</v>
          </cell>
          <cell r="GT25">
            <v>64492</v>
          </cell>
          <cell r="GU25">
            <v>19780</v>
          </cell>
          <cell r="GV25">
            <v>5406</v>
          </cell>
          <cell r="GW25">
            <v>26788</v>
          </cell>
          <cell r="GX25">
            <v>4406</v>
          </cell>
        </row>
        <row r="26">
          <cell r="A26">
            <v>2018</v>
          </cell>
          <cell r="B26">
            <v>1323702</v>
          </cell>
          <cell r="C26">
            <v>107488</v>
          </cell>
          <cell r="D26">
            <v>97010</v>
          </cell>
          <cell r="E26">
            <v>19402</v>
          </cell>
          <cell r="F26">
            <v>19049</v>
          </cell>
          <cell r="G26">
            <v>4351</v>
          </cell>
          <cell r="H26">
            <v>11445</v>
          </cell>
          <cell r="I26">
            <v>2745</v>
          </cell>
          <cell r="J26">
            <v>10391</v>
          </cell>
          <cell r="K26">
            <v>13974</v>
          </cell>
          <cell r="L26">
            <v>11301</v>
          </cell>
          <cell r="M26">
            <v>4352</v>
          </cell>
          <cell r="N26">
            <v>10478</v>
          </cell>
          <cell r="O26">
            <v>2331</v>
          </cell>
          <cell r="P26">
            <v>8147</v>
          </cell>
          <cell r="Q26">
            <v>44009</v>
          </cell>
          <cell r="R26">
            <v>21386</v>
          </cell>
          <cell r="S26">
            <v>6225</v>
          </cell>
          <cell r="T26">
            <v>9422</v>
          </cell>
          <cell r="U26">
            <v>5739</v>
          </cell>
          <cell r="V26">
            <v>18546</v>
          </cell>
          <cell r="W26">
            <v>4077</v>
          </cell>
          <cell r="X26">
            <v>66850</v>
          </cell>
          <cell r="Y26">
            <v>56214</v>
          </cell>
          <cell r="Z26">
            <v>57</v>
          </cell>
          <cell r="AA26">
            <v>50233</v>
          </cell>
          <cell r="AB26">
            <v>5203</v>
          </cell>
          <cell r="AC26">
            <v>721</v>
          </cell>
          <cell r="AD26">
            <v>10636</v>
          </cell>
          <cell r="AE26">
            <v>10592</v>
          </cell>
          <cell r="AF26">
            <v>44</v>
          </cell>
          <cell r="AG26">
            <v>344123</v>
          </cell>
          <cell r="AH26">
            <v>81435</v>
          </cell>
          <cell r="AI26">
            <v>81146</v>
          </cell>
          <cell r="AJ26">
            <v>289</v>
          </cell>
          <cell r="AK26">
            <v>215995</v>
          </cell>
          <cell r="AL26">
            <v>204651</v>
          </cell>
          <cell r="AM26">
            <v>11344</v>
          </cell>
          <cell r="AN26">
            <v>3109</v>
          </cell>
          <cell r="AO26">
            <v>1291</v>
          </cell>
          <cell r="AP26">
            <v>1818</v>
          </cell>
          <cell r="AQ26">
            <v>10074</v>
          </cell>
          <cell r="AR26">
            <v>5044</v>
          </cell>
          <cell r="AS26">
            <v>219</v>
          </cell>
          <cell r="AT26">
            <v>4811</v>
          </cell>
          <cell r="AU26">
            <v>0</v>
          </cell>
          <cell r="AV26">
            <v>33510</v>
          </cell>
          <cell r="AW26">
            <v>17789</v>
          </cell>
          <cell r="AX26">
            <v>13814</v>
          </cell>
          <cell r="AY26">
            <v>1363</v>
          </cell>
          <cell r="AZ26">
            <v>544</v>
          </cell>
          <cell r="BA26">
            <v>0</v>
          </cell>
          <cell r="BB26">
            <v>64297</v>
          </cell>
          <cell r="BC26">
            <v>23297</v>
          </cell>
          <cell r="BD26">
            <v>19058</v>
          </cell>
          <cell r="BE26">
            <v>4201</v>
          </cell>
          <cell r="BF26">
            <v>38</v>
          </cell>
          <cell r="BG26">
            <v>6613</v>
          </cell>
          <cell r="BH26">
            <v>10511</v>
          </cell>
          <cell r="BI26">
            <v>8565</v>
          </cell>
          <cell r="BJ26">
            <v>1364</v>
          </cell>
          <cell r="BK26">
            <v>582</v>
          </cell>
          <cell r="BL26">
            <v>6516</v>
          </cell>
          <cell r="BM26">
            <v>6433</v>
          </cell>
          <cell r="BN26">
            <v>761</v>
          </cell>
          <cell r="BO26">
            <v>5672</v>
          </cell>
          <cell r="BP26">
            <v>10927</v>
          </cell>
          <cell r="BQ26">
            <v>6312</v>
          </cell>
          <cell r="BR26">
            <v>4615</v>
          </cell>
          <cell r="BS26">
            <v>27924</v>
          </cell>
          <cell r="BT26">
            <v>11835</v>
          </cell>
          <cell r="BU26">
            <v>7792</v>
          </cell>
          <cell r="BV26">
            <v>463</v>
          </cell>
          <cell r="BW26">
            <v>3580</v>
          </cell>
          <cell r="BX26">
            <v>9036</v>
          </cell>
          <cell r="BY26">
            <v>3682</v>
          </cell>
          <cell r="BZ26">
            <v>4385</v>
          </cell>
          <cell r="CA26">
            <v>969</v>
          </cell>
          <cell r="CB26">
            <v>7053</v>
          </cell>
          <cell r="CC26">
            <v>187579</v>
          </cell>
          <cell r="CD26">
            <v>56989</v>
          </cell>
          <cell r="CE26">
            <v>54434</v>
          </cell>
          <cell r="CF26">
            <v>1032</v>
          </cell>
          <cell r="CG26">
            <v>1523</v>
          </cell>
          <cell r="CH26">
            <v>71020</v>
          </cell>
          <cell r="CI26">
            <v>5164</v>
          </cell>
          <cell r="CJ26">
            <v>34727</v>
          </cell>
          <cell r="CK26">
            <v>19854</v>
          </cell>
          <cell r="CL26">
            <v>11275</v>
          </cell>
          <cell r="CM26">
            <v>59570</v>
          </cell>
          <cell r="CN26">
            <v>12488</v>
          </cell>
          <cell r="CO26">
            <v>8886</v>
          </cell>
          <cell r="CP26">
            <v>26384</v>
          </cell>
          <cell r="CQ26">
            <v>8127</v>
          </cell>
          <cell r="CR26">
            <v>3685</v>
          </cell>
          <cell r="CS26">
            <v>28433</v>
          </cell>
          <cell r="CT26">
            <v>1066</v>
          </cell>
          <cell r="CU26">
            <v>6620</v>
          </cell>
          <cell r="CV26">
            <v>20747</v>
          </cell>
          <cell r="CW26">
            <v>125820</v>
          </cell>
          <cell r="CX26">
            <v>19488</v>
          </cell>
          <cell r="CY26">
            <v>6010</v>
          </cell>
          <cell r="CZ26">
            <v>2217</v>
          </cell>
          <cell r="DA26">
            <v>4700</v>
          </cell>
          <cell r="DB26">
            <v>6334</v>
          </cell>
          <cell r="DC26">
            <v>227</v>
          </cell>
          <cell r="DD26">
            <v>9860</v>
          </cell>
          <cell r="DE26">
            <v>6782</v>
          </cell>
          <cell r="DF26">
            <v>364</v>
          </cell>
          <cell r="DG26">
            <v>2714</v>
          </cell>
          <cell r="DH26">
            <v>34150</v>
          </cell>
          <cell r="DI26">
            <v>11747</v>
          </cell>
          <cell r="DJ26">
            <v>5530</v>
          </cell>
          <cell r="DK26">
            <v>5728</v>
          </cell>
          <cell r="DL26">
            <v>7606</v>
          </cell>
          <cell r="DM26">
            <v>3539</v>
          </cell>
          <cell r="DN26">
            <v>47865</v>
          </cell>
          <cell r="DO26">
            <v>11896</v>
          </cell>
          <cell r="DP26">
            <v>24289</v>
          </cell>
          <cell r="DQ26">
            <v>11680</v>
          </cell>
          <cell r="DR26">
            <v>14457</v>
          </cell>
          <cell r="DS26">
            <v>3757</v>
          </cell>
          <cell r="DT26">
            <v>4536</v>
          </cell>
          <cell r="DU26">
            <v>3307</v>
          </cell>
          <cell r="DV26">
            <v>2857</v>
          </cell>
          <cell r="DW26">
            <v>0</v>
          </cell>
          <cell r="DX26">
            <v>28521</v>
          </cell>
          <cell r="DY26">
            <v>140179</v>
          </cell>
          <cell r="DZ26">
            <v>109357</v>
          </cell>
          <cell r="EA26">
            <v>103792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5565</v>
          </cell>
          <cell r="EG26">
            <v>30822</v>
          </cell>
          <cell r="EH26">
            <v>158479</v>
          </cell>
          <cell r="EI26">
            <v>31330</v>
          </cell>
          <cell r="EJ26">
            <v>8363</v>
          </cell>
          <cell r="EK26">
            <v>1018</v>
          </cell>
          <cell r="EL26">
            <v>21949</v>
          </cell>
          <cell r="EM26">
            <v>5703</v>
          </cell>
          <cell r="EN26">
            <v>13565</v>
          </cell>
          <cell r="EO26">
            <v>10081</v>
          </cell>
          <cell r="EP26">
            <v>3484</v>
          </cell>
          <cell r="EQ26">
            <v>16024</v>
          </cell>
          <cell r="ER26">
            <v>17580</v>
          </cell>
          <cell r="ES26">
            <v>6262</v>
          </cell>
          <cell r="ET26">
            <v>1837</v>
          </cell>
          <cell r="EU26">
            <v>2950</v>
          </cell>
          <cell r="EV26">
            <v>3888</v>
          </cell>
          <cell r="EW26">
            <v>2643</v>
          </cell>
          <cell r="EX26">
            <v>56850</v>
          </cell>
          <cell r="EY26">
            <v>26109</v>
          </cell>
          <cell r="EZ26">
            <v>30741</v>
          </cell>
          <cell r="FA26">
            <v>17427</v>
          </cell>
          <cell r="FB26">
            <v>1343731</v>
          </cell>
          <cell r="FC26">
            <v>0</v>
          </cell>
          <cell r="FD26">
            <v>129928</v>
          </cell>
          <cell r="FE26">
            <v>32585</v>
          </cell>
          <cell r="FF26">
            <v>3580</v>
          </cell>
          <cell r="FG26">
            <v>56989</v>
          </cell>
          <cell r="FH26">
            <v>6620</v>
          </cell>
          <cell r="FI26">
            <v>20073</v>
          </cell>
          <cell r="FJ26">
            <v>10081</v>
          </cell>
          <cell r="FK26">
            <v>539831</v>
          </cell>
          <cell r="FL26">
            <v>107488</v>
          </cell>
          <cell r="FM26">
            <v>44009</v>
          </cell>
          <cell r="FN26">
            <v>66085</v>
          </cell>
          <cell r="FO26">
            <v>39845</v>
          </cell>
          <cell r="FP26">
            <v>59062</v>
          </cell>
          <cell r="FQ26">
            <v>11835</v>
          </cell>
          <cell r="FR26">
            <v>96880</v>
          </cell>
          <cell r="FS26">
            <v>6620</v>
          </cell>
          <cell r="FT26">
            <v>71475</v>
          </cell>
          <cell r="FU26">
            <v>36532</v>
          </cell>
          <cell r="FV26">
            <v>286619</v>
          </cell>
          <cell r="FW26">
            <v>107488</v>
          </cell>
          <cell r="FX26">
            <v>44009</v>
          </cell>
          <cell r="FY26">
            <v>39845</v>
          </cell>
          <cell r="FZ26">
            <v>6312</v>
          </cell>
          <cell r="GA26">
            <v>8255</v>
          </cell>
          <cell r="GB26">
            <v>34727</v>
          </cell>
          <cell r="GC26">
            <v>24034</v>
          </cell>
          <cell r="GD26">
            <v>21949</v>
          </cell>
          <cell r="GE26">
            <v>20029</v>
          </cell>
          <cell r="GF26">
            <v>-43079</v>
          </cell>
          <cell r="GG26">
            <v>63108</v>
          </cell>
          <cell r="GH26">
            <v>783871</v>
          </cell>
          <cell r="GI26">
            <v>765</v>
          </cell>
          <cell r="GJ26">
            <v>304278</v>
          </cell>
          <cell r="GK26">
            <v>5235</v>
          </cell>
          <cell r="GL26">
            <v>16089</v>
          </cell>
          <cell r="GM26">
            <v>90699</v>
          </cell>
          <cell r="GN26">
            <v>21813</v>
          </cell>
          <cell r="GO26">
            <v>54345</v>
          </cell>
          <cell r="GP26">
            <v>28521</v>
          </cell>
          <cell r="GQ26">
            <v>140179</v>
          </cell>
          <cell r="GR26">
            <v>121947</v>
          </cell>
          <cell r="GS26">
            <v>123284</v>
          </cell>
          <cell r="GT26">
            <v>66085</v>
          </cell>
          <cell r="GU26">
            <v>20165</v>
          </cell>
          <cell r="GV26">
            <v>5164</v>
          </cell>
          <cell r="GW26">
            <v>27368</v>
          </cell>
          <cell r="GX26">
            <v>4502</v>
          </cell>
        </row>
        <row r="27">
          <cell r="A27">
            <v>2019</v>
          </cell>
          <cell r="B27">
            <v>1357018</v>
          </cell>
          <cell r="C27">
            <v>109531</v>
          </cell>
          <cell r="D27">
            <v>98484</v>
          </cell>
          <cell r="E27">
            <v>19704</v>
          </cell>
          <cell r="F27">
            <v>19216</v>
          </cell>
          <cell r="G27">
            <v>4620</v>
          </cell>
          <cell r="H27">
            <v>11594</v>
          </cell>
          <cell r="I27">
            <v>2759</v>
          </cell>
          <cell r="J27">
            <v>10115</v>
          </cell>
          <cell r="K27">
            <v>14833</v>
          </cell>
          <cell r="L27">
            <v>11358</v>
          </cell>
          <cell r="M27">
            <v>4285</v>
          </cell>
          <cell r="N27">
            <v>11047</v>
          </cell>
          <cell r="O27">
            <v>2406</v>
          </cell>
          <cell r="P27">
            <v>8641</v>
          </cell>
          <cell r="Q27">
            <v>43120</v>
          </cell>
          <cell r="R27">
            <v>21383</v>
          </cell>
          <cell r="S27">
            <v>6230</v>
          </cell>
          <cell r="T27">
            <v>9445</v>
          </cell>
          <cell r="U27">
            <v>5708</v>
          </cell>
          <cell r="V27">
            <v>18106</v>
          </cell>
          <cell r="W27">
            <v>3631</v>
          </cell>
          <cell r="X27">
            <v>69788</v>
          </cell>
          <cell r="Y27">
            <v>59310</v>
          </cell>
          <cell r="Z27">
            <v>373</v>
          </cell>
          <cell r="AA27">
            <v>51493</v>
          </cell>
          <cell r="AB27">
            <v>6644</v>
          </cell>
          <cell r="AC27">
            <v>800</v>
          </cell>
          <cell r="AD27">
            <v>10478</v>
          </cell>
          <cell r="AE27">
            <v>10406</v>
          </cell>
          <cell r="AF27">
            <v>72</v>
          </cell>
          <cell r="AG27">
            <v>349492</v>
          </cell>
          <cell r="AH27">
            <v>82888</v>
          </cell>
          <cell r="AI27">
            <v>82590</v>
          </cell>
          <cell r="AJ27">
            <v>298</v>
          </cell>
          <cell r="AK27">
            <v>220716</v>
          </cell>
          <cell r="AL27">
            <v>209158</v>
          </cell>
          <cell r="AM27">
            <v>11558</v>
          </cell>
          <cell r="AN27">
            <v>3158</v>
          </cell>
          <cell r="AO27">
            <v>1356</v>
          </cell>
          <cell r="AP27">
            <v>1802</v>
          </cell>
          <cell r="AQ27">
            <v>10275</v>
          </cell>
          <cell r="AR27">
            <v>5139</v>
          </cell>
          <cell r="AS27">
            <v>211</v>
          </cell>
          <cell r="AT27">
            <v>4925</v>
          </cell>
          <cell r="AU27">
            <v>0</v>
          </cell>
          <cell r="AV27">
            <v>32455</v>
          </cell>
          <cell r="AW27">
            <v>18081</v>
          </cell>
          <cell r="AX27">
            <v>12635</v>
          </cell>
          <cell r="AY27">
            <v>1263</v>
          </cell>
          <cell r="AZ27">
            <v>476</v>
          </cell>
          <cell r="BA27">
            <v>0</v>
          </cell>
          <cell r="BB27">
            <v>66219</v>
          </cell>
          <cell r="BC27">
            <v>24018</v>
          </cell>
          <cell r="BD27">
            <v>19569</v>
          </cell>
          <cell r="BE27">
            <v>4419</v>
          </cell>
          <cell r="BF27">
            <v>30</v>
          </cell>
          <cell r="BG27">
            <v>6784</v>
          </cell>
          <cell r="BH27">
            <v>10314</v>
          </cell>
          <cell r="BI27">
            <v>7794</v>
          </cell>
          <cell r="BJ27">
            <v>1987</v>
          </cell>
          <cell r="BK27">
            <v>533</v>
          </cell>
          <cell r="BL27">
            <v>6918</v>
          </cell>
          <cell r="BM27">
            <v>6509</v>
          </cell>
          <cell r="BN27">
            <v>869</v>
          </cell>
          <cell r="BO27">
            <v>5640</v>
          </cell>
          <cell r="BP27">
            <v>11676</v>
          </cell>
          <cell r="BQ27">
            <v>6650</v>
          </cell>
          <cell r="BR27">
            <v>5026</v>
          </cell>
          <cell r="BS27">
            <v>28698</v>
          </cell>
          <cell r="BT27">
            <v>12632</v>
          </cell>
          <cell r="BU27">
            <v>8611</v>
          </cell>
          <cell r="BV27">
            <v>473</v>
          </cell>
          <cell r="BW27">
            <v>3548</v>
          </cell>
          <cell r="BX27">
            <v>8595</v>
          </cell>
          <cell r="BY27">
            <v>3623</v>
          </cell>
          <cell r="BZ27">
            <v>3964</v>
          </cell>
          <cell r="CA27">
            <v>1008</v>
          </cell>
          <cell r="CB27">
            <v>7471</v>
          </cell>
          <cell r="CC27">
            <v>192822</v>
          </cell>
          <cell r="CD27">
            <v>60859</v>
          </cell>
          <cell r="CE27">
            <v>58271</v>
          </cell>
          <cell r="CF27">
            <v>1073</v>
          </cell>
          <cell r="CG27">
            <v>1515</v>
          </cell>
          <cell r="CH27">
            <v>70732</v>
          </cell>
          <cell r="CI27">
            <v>5179</v>
          </cell>
          <cell r="CJ27">
            <v>34015</v>
          </cell>
          <cell r="CK27">
            <v>18796</v>
          </cell>
          <cell r="CL27">
            <v>12742</v>
          </cell>
          <cell r="CM27">
            <v>61231</v>
          </cell>
          <cell r="CN27">
            <v>13536</v>
          </cell>
          <cell r="CO27">
            <v>8989</v>
          </cell>
          <cell r="CP27">
            <v>26272</v>
          </cell>
          <cell r="CQ27">
            <v>8215</v>
          </cell>
          <cell r="CR27">
            <v>4219</v>
          </cell>
          <cell r="CS27">
            <v>28242</v>
          </cell>
          <cell r="CT27">
            <v>1033</v>
          </cell>
          <cell r="CU27">
            <v>6433</v>
          </cell>
          <cell r="CV27">
            <v>20776</v>
          </cell>
          <cell r="CW27">
            <v>133815</v>
          </cell>
          <cell r="CX27">
            <v>18371</v>
          </cell>
          <cell r="CY27">
            <v>6314</v>
          </cell>
          <cell r="CZ27">
            <v>1456</v>
          </cell>
          <cell r="DA27">
            <v>4645</v>
          </cell>
          <cell r="DB27">
            <v>5752</v>
          </cell>
          <cell r="DC27">
            <v>204</v>
          </cell>
          <cell r="DD27">
            <v>10641</v>
          </cell>
          <cell r="DE27">
            <v>7306</v>
          </cell>
          <cell r="DF27">
            <v>531</v>
          </cell>
          <cell r="DG27">
            <v>2804</v>
          </cell>
          <cell r="DH27">
            <v>38590</v>
          </cell>
          <cell r="DI27">
            <v>11995</v>
          </cell>
          <cell r="DJ27">
            <v>9161</v>
          </cell>
          <cell r="DK27">
            <v>5652</v>
          </cell>
          <cell r="DL27">
            <v>8025</v>
          </cell>
          <cell r="DM27">
            <v>3757</v>
          </cell>
          <cell r="DN27">
            <v>50944</v>
          </cell>
          <cell r="DO27">
            <v>12623</v>
          </cell>
          <cell r="DP27">
            <v>26105</v>
          </cell>
          <cell r="DQ27">
            <v>12216</v>
          </cell>
          <cell r="DR27">
            <v>15269</v>
          </cell>
          <cell r="DS27">
            <v>4190</v>
          </cell>
          <cell r="DT27">
            <v>4641</v>
          </cell>
          <cell r="DU27">
            <v>3301</v>
          </cell>
          <cell r="DV27">
            <v>3137</v>
          </cell>
          <cell r="DW27">
            <v>0</v>
          </cell>
          <cell r="DX27">
            <v>29247</v>
          </cell>
          <cell r="DY27">
            <v>144019</v>
          </cell>
          <cell r="DZ27">
            <v>112055</v>
          </cell>
          <cell r="EA27">
            <v>106295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5760</v>
          </cell>
          <cell r="EG27">
            <v>31964</v>
          </cell>
          <cell r="EH27">
            <v>162025</v>
          </cell>
          <cell r="EI27">
            <v>32827</v>
          </cell>
          <cell r="EJ27">
            <v>8622</v>
          </cell>
          <cell r="EK27">
            <v>1530</v>
          </cell>
          <cell r="EL27">
            <v>22675</v>
          </cell>
          <cell r="EM27">
            <v>5993</v>
          </cell>
          <cell r="EN27">
            <v>13642</v>
          </cell>
          <cell r="EO27">
            <v>9972</v>
          </cell>
          <cell r="EP27">
            <v>3670</v>
          </cell>
          <cell r="EQ27">
            <v>15345</v>
          </cell>
          <cell r="ER27">
            <v>19474</v>
          </cell>
          <cell r="ES27">
            <v>8791</v>
          </cell>
          <cell r="ET27">
            <v>2019</v>
          </cell>
          <cell r="EU27">
            <v>3114</v>
          </cell>
          <cell r="EV27">
            <v>3135</v>
          </cell>
          <cell r="EW27">
            <v>2415</v>
          </cell>
          <cell r="EX27">
            <v>56789</v>
          </cell>
          <cell r="EY27">
            <v>24064</v>
          </cell>
          <cell r="EZ27">
            <v>32725</v>
          </cell>
          <cell r="FA27">
            <v>17955</v>
          </cell>
          <cell r="FB27">
            <v>1378649</v>
          </cell>
          <cell r="FC27">
            <v>0</v>
          </cell>
          <cell r="FD27">
            <v>133715</v>
          </cell>
          <cell r="FE27">
            <v>32651</v>
          </cell>
          <cell r="FF27">
            <v>3548</v>
          </cell>
          <cell r="FG27">
            <v>60859</v>
          </cell>
          <cell r="FH27">
            <v>6433</v>
          </cell>
          <cell r="FI27">
            <v>20252</v>
          </cell>
          <cell r="FJ27">
            <v>9972</v>
          </cell>
          <cell r="FK27">
            <v>554218</v>
          </cell>
          <cell r="FL27">
            <v>109531</v>
          </cell>
          <cell r="FM27">
            <v>43120</v>
          </cell>
          <cell r="FN27">
            <v>68916</v>
          </cell>
          <cell r="FO27">
            <v>38950</v>
          </cell>
          <cell r="FP27">
            <v>60630</v>
          </cell>
          <cell r="FQ27">
            <v>12632</v>
          </cell>
          <cell r="FR27">
            <v>100053</v>
          </cell>
          <cell r="FS27">
            <v>6433</v>
          </cell>
          <cell r="FT27">
            <v>76106</v>
          </cell>
          <cell r="FU27">
            <v>37847</v>
          </cell>
          <cell r="FV27">
            <v>288781</v>
          </cell>
          <cell r="FW27">
            <v>109531</v>
          </cell>
          <cell r="FX27">
            <v>43120</v>
          </cell>
          <cell r="FY27">
            <v>38950</v>
          </cell>
          <cell r="FZ27">
            <v>6650</v>
          </cell>
          <cell r="GA27">
            <v>9084</v>
          </cell>
          <cell r="GB27">
            <v>34015</v>
          </cell>
          <cell r="GC27">
            <v>24756</v>
          </cell>
          <cell r="GD27">
            <v>22675</v>
          </cell>
          <cell r="GE27">
            <v>21631</v>
          </cell>
          <cell r="GF27">
            <v>-46987</v>
          </cell>
          <cell r="GG27">
            <v>68618</v>
          </cell>
          <cell r="GH27">
            <v>802800</v>
          </cell>
          <cell r="GI27">
            <v>872</v>
          </cell>
          <cell r="GJ27">
            <v>310542</v>
          </cell>
          <cell r="GK27">
            <v>5589</v>
          </cell>
          <cell r="GL27">
            <v>16066</v>
          </cell>
          <cell r="GM27">
            <v>92769</v>
          </cell>
          <cell r="GN27">
            <v>21809</v>
          </cell>
          <cell r="GO27">
            <v>57709</v>
          </cell>
          <cell r="GP27">
            <v>29247</v>
          </cell>
          <cell r="GQ27">
            <v>144019</v>
          </cell>
          <cell r="GR27">
            <v>124178</v>
          </cell>
          <cell r="GS27">
            <v>131722</v>
          </cell>
          <cell r="GT27">
            <v>68916</v>
          </cell>
          <cell r="GU27">
            <v>21329</v>
          </cell>
          <cell r="GV27">
            <v>5179</v>
          </cell>
          <cell r="GW27">
            <v>31098</v>
          </cell>
          <cell r="GX27">
            <v>5200</v>
          </cell>
        </row>
        <row r="28">
          <cell r="A28">
            <v>2020</v>
          </cell>
          <cell r="B28">
            <v>1197959</v>
          </cell>
          <cell r="C28">
            <v>115658</v>
          </cell>
          <cell r="D28">
            <v>104053</v>
          </cell>
          <cell r="E28">
            <v>20819</v>
          </cell>
          <cell r="F28">
            <v>20309</v>
          </cell>
          <cell r="G28">
            <v>4872</v>
          </cell>
          <cell r="H28">
            <v>12660</v>
          </cell>
          <cell r="I28">
            <v>2987</v>
          </cell>
          <cell r="J28">
            <v>10261</v>
          </cell>
          <cell r="K28">
            <v>15497</v>
          </cell>
          <cell r="L28">
            <v>11870</v>
          </cell>
          <cell r="M28">
            <v>4778</v>
          </cell>
          <cell r="N28">
            <v>11605</v>
          </cell>
          <cell r="O28">
            <v>2561</v>
          </cell>
          <cell r="P28">
            <v>9044</v>
          </cell>
          <cell r="Q28">
            <v>49311</v>
          </cell>
          <cell r="R28">
            <v>26797</v>
          </cell>
          <cell r="S28">
            <v>7683</v>
          </cell>
          <cell r="T28">
            <v>11721</v>
          </cell>
          <cell r="U28">
            <v>7393</v>
          </cell>
          <cell r="V28">
            <v>19683</v>
          </cell>
          <cell r="W28">
            <v>2831</v>
          </cell>
          <cell r="X28">
            <v>55425</v>
          </cell>
          <cell r="Y28">
            <v>47276</v>
          </cell>
          <cell r="Z28">
            <v>455</v>
          </cell>
          <cell r="AA28">
            <v>40913</v>
          </cell>
          <cell r="AB28">
            <v>5281</v>
          </cell>
          <cell r="AC28">
            <v>627</v>
          </cell>
          <cell r="AD28">
            <v>8149</v>
          </cell>
          <cell r="AE28">
            <v>8110</v>
          </cell>
          <cell r="AF28">
            <v>39</v>
          </cell>
          <cell r="AG28">
            <v>355211</v>
          </cell>
          <cell r="AH28">
            <v>83608</v>
          </cell>
          <cell r="AI28">
            <v>83298</v>
          </cell>
          <cell r="AJ28">
            <v>310</v>
          </cell>
          <cell r="AK28">
            <v>225445</v>
          </cell>
          <cell r="AL28">
            <v>213611</v>
          </cell>
          <cell r="AM28">
            <v>11834</v>
          </cell>
          <cell r="AN28">
            <v>3322</v>
          </cell>
          <cell r="AO28">
            <v>1508</v>
          </cell>
          <cell r="AP28">
            <v>1814</v>
          </cell>
          <cell r="AQ28">
            <v>11081</v>
          </cell>
          <cell r="AR28">
            <v>5429</v>
          </cell>
          <cell r="AS28">
            <v>292</v>
          </cell>
          <cell r="AT28">
            <v>5360</v>
          </cell>
          <cell r="AU28">
            <v>0</v>
          </cell>
          <cell r="AV28">
            <v>31755</v>
          </cell>
          <cell r="AW28">
            <v>18793</v>
          </cell>
          <cell r="AX28">
            <v>11769</v>
          </cell>
          <cell r="AY28">
            <v>826</v>
          </cell>
          <cell r="AZ28">
            <v>367</v>
          </cell>
          <cell r="BA28">
            <v>0</v>
          </cell>
          <cell r="BB28">
            <v>68187</v>
          </cell>
          <cell r="BC28">
            <v>24463</v>
          </cell>
          <cell r="BD28">
            <v>20340</v>
          </cell>
          <cell r="BE28">
            <v>4109</v>
          </cell>
          <cell r="BF28">
            <v>14</v>
          </cell>
          <cell r="BG28">
            <v>7143</v>
          </cell>
          <cell r="BH28">
            <v>11297</v>
          </cell>
          <cell r="BI28">
            <v>8948</v>
          </cell>
          <cell r="BJ28">
            <v>1861</v>
          </cell>
          <cell r="BK28">
            <v>488</v>
          </cell>
          <cell r="BL28">
            <v>6605</v>
          </cell>
          <cell r="BM28">
            <v>6679</v>
          </cell>
          <cell r="BN28">
            <v>832</v>
          </cell>
          <cell r="BO28">
            <v>5847</v>
          </cell>
          <cell r="BP28">
            <v>12000</v>
          </cell>
          <cell r="BQ28">
            <v>8067</v>
          </cell>
          <cell r="BR28">
            <v>3933</v>
          </cell>
          <cell r="BS28">
            <v>22269</v>
          </cell>
          <cell r="BT28">
            <v>10440</v>
          </cell>
          <cell r="BU28">
            <v>7315</v>
          </cell>
          <cell r="BV28">
            <v>601</v>
          </cell>
          <cell r="BW28">
            <v>2524</v>
          </cell>
          <cell r="BX28">
            <v>5497</v>
          </cell>
          <cell r="BY28">
            <v>2767</v>
          </cell>
          <cell r="BZ28">
            <v>1815</v>
          </cell>
          <cell r="CA28">
            <v>915</v>
          </cell>
          <cell r="CB28">
            <v>6332</v>
          </cell>
          <cell r="CC28">
            <v>123080</v>
          </cell>
          <cell r="CD28">
            <v>51018</v>
          </cell>
          <cell r="CE28">
            <v>48495</v>
          </cell>
          <cell r="CF28">
            <v>835</v>
          </cell>
          <cell r="CG28">
            <v>1688</v>
          </cell>
          <cell r="CH28">
            <v>51249</v>
          </cell>
          <cell r="CI28">
            <v>4105</v>
          </cell>
          <cell r="CJ28">
            <v>22854</v>
          </cell>
          <cell r="CK28">
            <v>15010</v>
          </cell>
          <cell r="CL28">
            <v>9280</v>
          </cell>
          <cell r="CM28">
            <v>20813</v>
          </cell>
          <cell r="CN28">
            <v>4278</v>
          </cell>
          <cell r="CO28">
            <v>5028</v>
          </cell>
          <cell r="CP28">
            <v>7331</v>
          </cell>
          <cell r="CQ28">
            <v>1958</v>
          </cell>
          <cell r="CR28">
            <v>2218</v>
          </cell>
          <cell r="CS28">
            <v>29565</v>
          </cell>
          <cell r="CT28">
            <v>1207</v>
          </cell>
          <cell r="CU28">
            <v>6360</v>
          </cell>
          <cell r="CV28">
            <v>21998</v>
          </cell>
          <cell r="CW28">
            <v>117372</v>
          </cell>
          <cell r="CX28">
            <v>19920</v>
          </cell>
          <cell r="CY28">
            <v>6622</v>
          </cell>
          <cell r="CZ28">
            <v>1852</v>
          </cell>
          <cell r="DA28">
            <v>6252</v>
          </cell>
          <cell r="DB28">
            <v>5029</v>
          </cell>
          <cell r="DC28">
            <v>165</v>
          </cell>
          <cell r="DD28">
            <v>7919</v>
          </cell>
          <cell r="DE28">
            <v>5570</v>
          </cell>
          <cell r="DF28">
            <v>564</v>
          </cell>
          <cell r="DG28">
            <v>1785</v>
          </cell>
          <cell r="DH28">
            <v>38383</v>
          </cell>
          <cell r="DI28">
            <v>11429</v>
          </cell>
          <cell r="DJ28">
            <v>9018</v>
          </cell>
          <cell r="DK28">
            <v>5991</v>
          </cell>
          <cell r="DL28">
            <v>8335</v>
          </cell>
          <cell r="DM28">
            <v>3610</v>
          </cell>
          <cell r="DN28">
            <v>37861</v>
          </cell>
          <cell r="DO28">
            <v>9802</v>
          </cell>
          <cell r="DP28">
            <v>17650</v>
          </cell>
          <cell r="DQ28">
            <v>10409</v>
          </cell>
          <cell r="DR28">
            <v>13289</v>
          </cell>
          <cell r="DS28">
            <v>3793</v>
          </cell>
          <cell r="DT28">
            <v>3731</v>
          </cell>
          <cell r="DU28">
            <v>2873</v>
          </cell>
          <cell r="DV28">
            <v>2892</v>
          </cell>
          <cell r="DW28">
            <v>0</v>
          </cell>
          <cell r="DX28">
            <v>30004</v>
          </cell>
          <cell r="DY28">
            <v>87994</v>
          </cell>
          <cell r="DZ28">
            <v>72795</v>
          </cell>
          <cell r="EA28">
            <v>69786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3009</v>
          </cell>
          <cell r="EG28">
            <v>15199</v>
          </cell>
          <cell r="EH28">
            <v>143883</v>
          </cell>
          <cell r="EI28">
            <v>27145</v>
          </cell>
          <cell r="EJ28">
            <v>5005</v>
          </cell>
          <cell r="EK28">
            <v>1197</v>
          </cell>
          <cell r="EL28">
            <v>20943</v>
          </cell>
          <cell r="EM28">
            <v>4131</v>
          </cell>
          <cell r="EN28">
            <v>11109</v>
          </cell>
          <cell r="EO28">
            <v>8891</v>
          </cell>
          <cell r="EP28">
            <v>2218</v>
          </cell>
          <cell r="EQ28">
            <v>12022</v>
          </cell>
          <cell r="ER28">
            <v>18964</v>
          </cell>
          <cell r="ES28">
            <v>8920</v>
          </cell>
          <cell r="ET28">
            <v>1465</v>
          </cell>
          <cell r="EU28">
            <v>3308</v>
          </cell>
          <cell r="EV28">
            <v>4001</v>
          </cell>
          <cell r="EW28">
            <v>1270</v>
          </cell>
          <cell r="EX28">
            <v>52710</v>
          </cell>
          <cell r="EY28">
            <v>20828</v>
          </cell>
          <cell r="EZ28">
            <v>31882</v>
          </cell>
          <cell r="FA28">
            <v>17802</v>
          </cell>
          <cell r="FB28">
            <v>1200346</v>
          </cell>
          <cell r="FC28">
            <v>0</v>
          </cell>
          <cell r="FD28">
            <v>123882</v>
          </cell>
          <cell r="FE28">
            <v>34229</v>
          </cell>
          <cell r="FF28">
            <v>2524</v>
          </cell>
          <cell r="FG28">
            <v>51018</v>
          </cell>
          <cell r="FH28">
            <v>6360</v>
          </cell>
          <cell r="FI28">
            <v>20860</v>
          </cell>
          <cell r="FJ28">
            <v>8891</v>
          </cell>
          <cell r="FK28">
            <v>524149</v>
          </cell>
          <cell r="FL28">
            <v>115658</v>
          </cell>
          <cell r="FM28">
            <v>49311</v>
          </cell>
          <cell r="FN28">
            <v>54759</v>
          </cell>
          <cell r="FO28">
            <v>38692</v>
          </cell>
          <cell r="FP28">
            <v>63752</v>
          </cell>
          <cell r="FQ28">
            <v>10440</v>
          </cell>
          <cell r="FR28">
            <v>77977</v>
          </cell>
          <cell r="FS28">
            <v>6360</v>
          </cell>
          <cell r="FT28">
            <v>73951</v>
          </cell>
          <cell r="FU28">
            <v>33249</v>
          </cell>
          <cell r="FV28">
            <v>287263</v>
          </cell>
          <cell r="FW28">
            <v>115658</v>
          </cell>
          <cell r="FX28">
            <v>49311</v>
          </cell>
          <cell r="FY28">
            <v>38692</v>
          </cell>
          <cell r="FZ28">
            <v>8067</v>
          </cell>
          <cell r="GA28">
            <v>7916</v>
          </cell>
          <cell r="GB28">
            <v>22854</v>
          </cell>
          <cell r="GC28">
            <v>23822</v>
          </cell>
          <cell r="GD28">
            <v>20943</v>
          </cell>
          <cell r="GE28">
            <v>2387</v>
          </cell>
          <cell r="GF28">
            <v>-21768</v>
          </cell>
          <cell r="GG28">
            <v>24155</v>
          </cell>
          <cell r="GH28">
            <v>673810</v>
          </cell>
          <cell r="GI28">
            <v>666</v>
          </cell>
          <cell r="GJ28">
            <v>316519</v>
          </cell>
          <cell r="GK28">
            <v>4435</v>
          </cell>
          <cell r="GL28">
            <v>11829</v>
          </cell>
          <cell r="GM28">
            <v>45103</v>
          </cell>
          <cell r="GN28">
            <v>23205</v>
          </cell>
          <cell r="GO28">
            <v>43421</v>
          </cell>
          <cell r="GP28">
            <v>30004</v>
          </cell>
          <cell r="GQ28">
            <v>87994</v>
          </cell>
          <cell r="GR28">
            <v>110634</v>
          </cell>
          <cell r="GS28">
            <v>113004</v>
          </cell>
          <cell r="GT28">
            <v>54759</v>
          </cell>
          <cell r="GU28">
            <v>21456</v>
          </cell>
          <cell r="GV28">
            <v>4105</v>
          </cell>
          <cell r="GW28">
            <v>29269</v>
          </cell>
          <cell r="GX28">
            <v>3415</v>
          </cell>
        </row>
        <row r="29">
          <cell r="A29">
            <v>2021</v>
          </cell>
          <cell r="B29">
            <v>1319433</v>
          </cell>
          <cell r="C29">
            <v>117207</v>
          </cell>
          <cell r="D29">
            <v>104431</v>
          </cell>
          <cell r="E29">
            <v>20142</v>
          </cell>
          <cell r="F29">
            <v>20807</v>
          </cell>
          <cell r="G29">
            <v>4858</v>
          </cell>
          <cell r="H29">
            <v>12054</v>
          </cell>
          <cell r="I29">
            <v>2889</v>
          </cell>
          <cell r="J29">
            <v>10648</v>
          </cell>
          <cell r="K29">
            <v>15562</v>
          </cell>
          <cell r="L29">
            <v>12607</v>
          </cell>
          <cell r="M29">
            <v>4864</v>
          </cell>
          <cell r="N29">
            <v>12776</v>
          </cell>
          <cell r="O29">
            <v>2848</v>
          </cell>
          <cell r="P29">
            <v>9928</v>
          </cell>
          <cell r="Q29">
            <v>49654</v>
          </cell>
          <cell r="R29">
            <v>26705</v>
          </cell>
          <cell r="S29">
            <v>7646</v>
          </cell>
          <cell r="T29">
            <v>11593</v>
          </cell>
          <cell r="U29">
            <v>7466</v>
          </cell>
          <cell r="V29">
            <v>20173</v>
          </cell>
          <cell r="W29">
            <v>2776</v>
          </cell>
          <cell r="X29">
            <v>62254</v>
          </cell>
          <cell r="Y29">
            <v>53509</v>
          </cell>
          <cell r="Z29">
            <v>446</v>
          </cell>
          <cell r="AA29">
            <v>46867</v>
          </cell>
          <cell r="AB29">
            <v>5597</v>
          </cell>
          <cell r="AC29">
            <v>599</v>
          </cell>
          <cell r="AD29">
            <v>8745</v>
          </cell>
          <cell r="AE29">
            <v>8713</v>
          </cell>
          <cell r="AF29">
            <v>32</v>
          </cell>
          <cell r="AG29">
            <v>366725</v>
          </cell>
          <cell r="AH29">
            <v>86088</v>
          </cell>
          <cell r="AI29">
            <v>85775</v>
          </cell>
          <cell r="AJ29">
            <v>313</v>
          </cell>
          <cell r="AK29">
            <v>230878</v>
          </cell>
          <cell r="AL29">
            <v>218897</v>
          </cell>
          <cell r="AM29">
            <v>11981</v>
          </cell>
          <cell r="AN29">
            <v>3517</v>
          </cell>
          <cell r="AO29">
            <v>1590</v>
          </cell>
          <cell r="AP29">
            <v>1927</v>
          </cell>
          <cell r="AQ29">
            <v>10813</v>
          </cell>
          <cell r="AR29">
            <v>5221</v>
          </cell>
          <cell r="AS29">
            <v>209</v>
          </cell>
          <cell r="AT29">
            <v>5383</v>
          </cell>
          <cell r="AU29">
            <v>0</v>
          </cell>
          <cell r="AV29">
            <v>35429</v>
          </cell>
          <cell r="AW29">
            <v>20604</v>
          </cell>
          <cell r="AX29">
            <v>13183</v>
          </cell>
          <cell r="AY29">
            <v>1175</v>
          </cell>
          <cell r="AZ29">
            <v>467</v>
          </cell>
          <cell r="BA29">
            <v>0</v>
          </cell>
          <cell r="BB29">
            <v>74991</v>
          </cell>
          <cell r="BC29">
            <v>28583</v>
          </cell>
          <cell r="BD29">
            <v>23683</v>
          </cell>
          <cell r="BE29">
            <v>4864</v>
          </cell>
          <cell r="BF29">
            <v>36</v>
          </cell>
          <cell r="BG29">
            <v>7581</v>
          </cell>
          <cell r="BH29">
            <v>12142</v>
          </cell>
          <cell r="BI29">
            <v>9580</v>
          </cell>
          <cell r="BJ29">
            <v>2016</v>
          </cell>
          <cell r="BK29">
            <v>546</v>
          </cell>
          <cell r="BL29">
            <v>7083</v>
          </cell>
          <cell r="BM29">
            <v>8855</v>
          </cell>
          <cell r="BN29">
            <v>1351</v>
          </cell>
          <cell r="BO29">
            <v>7504</v>
          </cell>
          <cell r="BP29">
            <v>10747</v>
          </cell>
          <cell r="BQ29">
            <v>7182</v>
          </cell>
          <cell r="BR29">
            <v>3565</v>
          </cell>
          <cell r="BS29">
            <v>27338</v>
          </cell>
          <cell r="BT29">
            <v>11427</v>
          </cell>
          <cell r="BU29">
            <v>7587</v>
          </cell>
          <cell r="BV29">
            <v>648</v>
          </cell>
          <cell r="BW29">
            <v>3192</v>
          </cell>
          <cell r="BX29">
            <v>7583</v>
          </cell>
          <cell r="BY29">
            <v>3757</v>
          </cell>
          <cell r="BZ29">
            <v>2610</v>
          </cell>
          <cell r="CA29">
            <v>1216</v>
          </cell>
          <cell r="CB29">
            <v>8328</v>
          </cell>
          <cell r="CC29">
            <v>145908</v>
          </cell>
          <cell r="CD29">
            <v>51794</v>
          </cell>
          <cell r="CE29">
            <v>49015</v>
          </cell>
          <cell r="CF29">
            <v>942</v>
          </cell>
          <cell r="CG29">
            <v>1837</v>
          </cell>
          <cell r="CH29">
            <v>69328</v>
          </cell>
          <cell r="CI29">
            <v>4635</v>
          </cell>
          <cell r="CJ29">
            <v>33013</v>
          </cell>
          <cell r="CK29">
            <v>19283</v>
          </cell>
          <cell r="CL29">
            <v>12397</v>
          </cell>
          <cell r="CM29">
            <v>24786</v>
          </cell>
          <cell r="CN29">
            <v>5715</v>
          </cell>
          <cell r="CO29">
            <v>5865</v>
          </cell>
          <cell r="CP29">
            <v>7504</v>
          </cell>
          <cell r="CQ29">
            <v>2926</v>
          </cell>
          <cell r="CR29">
            <v>2776</v>
          </cell>
          <cell r="CS29">
            <v>28877</v>
          </cell>
          <cell r="CT29">
            <v>1327</v>
          </cell>
          <cell r="CU29">
            <v>4722</v>
          </cell>
          <cell r="CV29">
            <v>22828</v>
          </cell>
          <cell r="CW29">
            <v>131914</v>
          </cell>
          <cell r="CX29">
            <v>19052</v>
          </cell>
          <cell r="CY29">
            <v>4794</v>
          </cell>
          <cell r="CZ29">
            <v>1098</v>
          </cell>
          <cell r="DA29">
            <v>7556</v>
          </cell>
          <cell r="DB29">
            <v>5438</v>
          </cell>
          <cell r="DC29">
            <v>166</v>
          </cell>
          <cell r="DD29">
            <v>8870</v>
          </cell>
          <cell r="DE29">
            <v>5852</v>
          </cell>
          <cell r="DF29">
            <v>595</v>
          </cell>
          <cell r="DG29">
            <v>2423</v>
          </cell>
          <cell r="DH29">
            <v>42812</v>
          </cell>
          <cell r="DI29">
            <v>11933</v>
          </cell>
          <cell r="DJ29">
            <v>10449</v>
          </cell>
          <cell r="DK29">
            <v>7106</v>
          </cell>
          <cell r="DL29">
            <v>8653</v>
          </cell>
          <cell r="DM29">
            <v>4671</v>
          </cell>
          <cell r="DN29">
            <v>46847</v>
          </cell>
          <cell r="DO29">
            <v>11575</v>
          </cell>
          <cell r="DP29">
            <v>23887</v>
          </cell>
          <cell r="DQ29">
            <v>11385</v>
          </cell>
          <cell r="DR29">
            <v>14333</v>
          </cell>
          <cell r="DS29">
            <v>3999</v>
          </cell>
          <cell r="DT29">
            <v>3343</v>
          </cell>
          <cell r="DU29">
            <v>3191</v>
          </cell>
          <cell r="DV29">
            <v>3800</v>
          </cell>
          <cell r="DW29">
            <v>0</v>
          </cell>
          <cell r="DX29">
            <v>32435</v>
          </cell>
          <cell r="DY29">
            <v>122168</v>
          </cell>
          <cell r="DZ29">
            <v>98590</v>
          </cell>
          <cell r="EA29">
            <v>95771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2819</v>
          </cell>
          <cell r="EG29">
            <v>23578</v>
          </cell>
          <cell r="EH29">
            <v>159962</v>
          </cell>
          <cell r="EI29">
            <v>30845</v>
          </cell>
          <cell r="EJ29">
            <v>5837</v>
          </cell>
          <cell r="EK29">
            <v>1217</v>
          </cell>
          <cell r="EL29">
            <v>23791</v>
          </cell>
          <cell r="EM29">
            <v>4905</v>
          </cell>
          <cell r="EN29">
            <v>12336</v>
          </cell>
          <cell r="EO29">
            <v>9904</v>
          </cell>
          <cell r="EP29">
            <v>2432</v>
          </cell>
          <cell r="EQ29">
            <v>14075</v>
          </cell>
          <cell r="ER29">
            <v>20546</v>
          </cell>
          <cell r="ES29">
            <v>9119</v>
          </cell>
          <cell r="ET29">
            <v>2047</v>
          </cell>
          <cell r="EU29">
            <v>3590</v>
          </cell>
          <cell r="EV29">
            <v>3197</v>
          </cell>
          <cell r="EW29">
            <v>2593</v>
          </cell>
          <cell r="EX29">
            <v>58805</v>
          </cell>
          <cell r="EY29">
            <v>25697</v>
          </cell>
          <cell r="EZ29">
            <v>33108</v>
          </cell>
          <cell r="FA29">
            <v>18450</v>
          </cell>
          <cell r="FB29">
            <v>1319323</v>
          </cell>
          <cell r="FC29">
            <v>0</v>
          </cell>
          <cell r="FD29">
            <v>128985</v>
          </cell>
          <cell r="FE29">
            <v>39478</v>
          </cell>
          <cell r="FF29">
            <v>3192</v>
          </cell>
          <cell r="FG29">
            <v>51794</v>
          </cell>
          <cell r="FH29">
            <v>4722</v>
          </cell>
          <cell r="FI29">
            <v>19895</v>
          </cell>
          <cell r="FJ29">
            <v>9904</v>
          </cell>
          <cell r="FK29">
            <v>562310</v>
          </cell>
          <cell r="FL29">
            <v>117207</v>
          </cell>
          <cell r="FM29">
            <v>49654</v>
          </cell>
          <cell r="FN29">
            <v>61623</v>
          </cell>
          <cell r="FO29">
            <v>42240</v>
          </cell>
          <cell r="FP29">
            <v>70844</v>
          </cell>
          <cell r="FQ29">
            <v>11427</v>
          </cell>
          <cell r="FR29">
            <v>89442</v>
          </cell>
          <cell r="FS29">
            <v>4722</v>
          </cell>
          <cell r="FT29">
            <v>77807</v>
          </cell>
          <cell r="FU29">
            <v>37344</v>
          </cell>
          <cell r="FV29">
            <v>307415</v>
          </cell>
          <cell r="FW29">
            <v>117207</v>
          </cell>
          <cell r="FX29">
            <v>49654</v>
          </cell>
          <cell r="FY29">
            <v>42240</v>
          </cell>
          <cell r="FZ29">
            <v>7182</v>
          </cell>
          <cell r="GA29">
            <v>8235</v>
          </cell>
          <cell r="GB29">
            <v>33013</v>
          </cell>
          <cell r="GC29">
            <v>26093</v>
          </cell>
          <cell r="GD29">
            <v>23791</v>
          </cell>
          <cell r="GE29">
            <v>-110</v>
          </cell>
          <cell r="GF29">
            <v>-26395</v>
          </cell>
          <cell r="GG29">
            <v>26285</v>
          </cell>
          <cell r="GH29">
            <v>757123</v>
          </cell>
          <cell r="GI29">
            <v>631</v>
          </cell>
          <cell r="GJ29">
            <v>324485</v>
          </cell>
          <cell r="GK29">
            <v>4147</v>
          </cell>
          <cell r="GL29">
            <v>15911</v>
          </cell>
          <cell r="GM29">
            <v>56466</v>
          </cell>
          <cell r="GN29">
            <v>24155</v>
          </cell>
          <cell r="GO29">
            <v>54107</v>
          </cell>
          <cell r="GP29">
            <v>32435</v>
          </cell>
          <cell r="GQ29">
            <v>122168</v>
          </cell>
          <cell r="GR29">
            <v>122618</v>
          </cell>
          <cell r="GS29">
            <v>125910</v>
          </cell>
          <cell r="GT29">
            <v>61623</v>
          </cell>
          <cell r="GU29">
            <v>24184</v>
          </cell>
          <cell r="GV29">
            <v>4635</v>
          </cell>
          <cell r="GW29">
            <v>31819</v>
          </cell>
          <cell r="GX29">
            <v>3649</v>
          </cell>
        </row>
        <row r="30">
          <cell r="A30">
            <v>2022</v>
          </cell>
          <cell r="B30">
            <v>1519937</v>
          </cell>
          <cell r="C30">
            <v>127216</v>
          </cell>
          <cell r="D30">
            <v>113564</v>
          </cell>
          <cell r="E30">
            <v>22316</v>
          </cell>
          <cell r="F30">
            <v>22369</v>
          </cell>
          <cell r="G30">
            <v>4825</v>
          </cell>
          <cell r="H30">
            <v>14821</v>
          </cell>
          <cell r="I30">
            <v>3400</v>
          </cell>
          <cell r="J30">
            <v>11394</v>
          </cell>
          <cell r="K30">
            <v>16454</v>
          </cell>
          <cell r="L30">
            <v>12855</v>
          </cell>
          <cell r="M30">
            <v>5130</v>
          </cell>
          <cell r="N30">
            <v>13652</v>
          </cell>
          <cell r="O30">
            <v>2944</v>
          </cell>
          <cell r="P30">
            <v>10708</v>
          </cell>
          <cell r="Q30">
            <v>47435</v>
          </cell>
          <cell r="R30">
            <v>24380</v>
          </cell>
          <cell r="S30">
            <v>7070</v>
          </cell>
          <cell r="T30">
            <v>11129</v>
          </cell>
          <cell r="U30">
            <v>6181</v>
          </cell>
          <cell r="V30">
            <v>20207</v>
          </cell>
          <cell r="W30">
            <v>2848</v>
          </cell>
          <cell r="X30">
            <v>72536</v>
          </cell>
          <cell r="Y30">
            <v>61528</v>
          </cell>
          <cell r="Z30">
            <v>656</v>
          </cell>
          <cell r="AA30">
            <v>52989</v>
          </cell>
          <cell r="AB30">
            <v>7178</v>
          </cell>
          <cell r="AC30">
            <v>705</v>
          </cell>
          <cell r="AD30">
            <v>11008</v>
          </cell>
          <cell r="AE30">
            <v>10971</v>
          </cell>
          <cell r="AF30">
            <v>37</v>
          </cell>
          <cell r="AG30">
            <v>393123</v>
          </cell>
          <cell r="AH30">
            <v>88696</v>
          </cell>
          <cell r="AI30">
            <v>88375</v>
          </cell>
          <cell r="AJ30">
            <v>321</v>
          </cell>
          <cell r="AK30">
            <v>240628</v>
          </cell>
          <cell r="AL30">
            <v>228249</v>
          </cell>
          <cell r="AM30">
            <v>12379</v>
          </cell>
          <cell r="AN30">
            <v>3701</v>
          </cell>
          <cell r="AO30">
            <v>1685</v>
          </cell>
          <cell r="AP30">
            <v>2016</v>
          </cell>
          <cell r="AQ30">
            <v>10811</v>
          </cell>
          <cell r="AR30">
            <v>5208</v>
          </cell>
          <cell r="AS30">
            <v>280</v>
          </cell>
          <cell r="AT30">
            <v>5323</v>
          </cell>
          <cell r="AU30">
            <v>0</v>
          </cell>
          <cell r="AV30">
            <v>49287</v>
          </cell>
          <cell r="AW30">
            <v>27030</v>
          </cell>
          <cell r="AX30">
            <v>20057</v>
          </cell>
          <cell r="AY30">
            <v>1640</v>
          </cell>
          <cell r="AZ30">
            <v>560</v>
          </cell>
          <cell r="BA30">
            <v>0</v>
          </cell>
          <cell r="BB30">
            <v>79533</v>
          </cell>
          <cell r="BC30">
            <v>30207</v>
          </cell>
          <cell r="BD30">
            <v>24750</v>
          </cell>
          <cell r="BE30">
            <v>5416</v>
          </cell>
          <cell r="BF30">
            <v>41</v>
          </cell>
          <cell r="BG30">
            <v>7303</v>
          </cell>
          <cell r="BH30">
            <v>13913</v>
          </cell>
          <cell r="BI30">
            <v>11452</v>
          </cell>
          <cell r="BJ30">
            <v>1815</v>
          </cell>
          <cell r="BK30">
            <v>646</v>
          </cell>
          <cell r="BL30">
            <v>8369</v>
          </cell>
          <cell r="BM30">
            <v>8866</v>
          </cell>
          <cell r="BN30">
            <v>1394</v>
          </cell>
          <cell r="BO30">
            <v>7472</v>
          </cell>
          <cell r="BP30">
            <v>10875</v>
          </cell>
          <cell r="BQ30">
            <v>7247</v>
          </cell>
          <cell r="BR30">
            <v>3628</v>
          </cell>
          <cell r="BS30">
            <v>30194</v>
          </cell>
          <cell r="BT30">
            <v>12528</v>
          </cell>
          <cell r="BU30">
            <v>8164</v>
          </cell>
          <cell r="BV30">
            <v>714</v>
          </cell>
          <cell r="BW30">
            <v>3650</v>
          </cell>
          <cell r="BX30">
            <v>8477</v>
          </cell>
          <cell r="BY30">
            <v>3773</v>
          </cell>
          <cell r="BZ30">
            <v>3455</v>
          </cell>
          <cell r="CA30">
            <v>1249</v>
          </cell>
          <cell r="CB30">
            <v>9189</v>
          </cell>
          <cell r="CC30">
            <v>198924</v>
          </cell>
          <cell r="CD30">
            <v>59824</v>
          </cell>
          <cell r="CE30">
            <v>56618</v>
          </cell>
          <cell r="CF30">
            <v>1141</v>
          </cell>
          <cell r="CG30">
            <v>2065</v>
          </cell>
          <cell r="CH30">
            <v>83881</v>
          </cell>
          <cell r="CI30">
            <v>5132</v>
          </cell>
          <cell r="CJ30">
            <v>45441</v>
          </cell>
          <cell r="CK30">
            <v>18972</v>
          </cell>
          <cell r="CL30">
            <v>14336</v>
          </cell>
          <cell r="CM30">
            <v>55219</v>
          </cell>
          <cell r="CN30">
            <v>11245</v>
          </cell>
          <cell r="CO30">
            <v>7116</v>
          </cell>
          <cell r="CP30">
            <v>24645</v>
          </cell>
          <cell r="CQ30">
            <v>7404</v>
          </cell>
          <cell r="CR30">
            <v>4809</v>
          </cell>
          <cell r="CS30">
            <v>30181</v>
          </cell>
          <cell r="CT30">
            <v>1113</v>
          </cell>
          <cell r="CU30">
            <v>5871</v>
          </cell>
          <cell r="CV30">
            <v>23197</v>
          </cell>
          <cell r="CW30">
            <v>149789</v>
          </cell>
          <cell r="CX30">
            <v>21279</v>
          </cell>
          <cell r="CY30">
            <v>4613</v>
          </cell>
          <cell r="CZ30">
            <v>1316</v>
          </cell>
          <cell r="DA30">
            <v>8442</v>
          </cell>
          <cell r="DB30">
            <v>6765</v>
          </cell>
          <cell r="DC30">
            <v>143</v>
          </cell>
          <cell r="DD30">
            <v>10284</v>
          </cell>
          <cell r="DE30">
            <v>6502</v>
          </cell>
          <cell r="DF30">
            <v>651</v>
          </cell>
          <cell r="DG30">
            <v>3131</v>
          </cell>
          <cell r="DH30">
            <v>47371</v>
          </cell>
          <cell r="DI30">
            <v>12990</v>
          </cell>
          <cell r="DJ30">
            <v>11451</v>
          </cell>
          <cell r="DK30">
            <v>7115</v>
          </cell>
          <cell r="DL30">
            <v>10056</v>
          </cell>
          <cell r="DM30">
            <v>5759</v>
          </cell>
          <cell r="DN30">
            <v>56514</v>
          </cell>
          <cell r="DO30">
            <v>15159</v>
          </cell>
          <cell r="DP30">
            <v>29099</v>
          </cell>
          <cell r="DQ30">
            <v>12256</v>
          </cell>
          <cell r="DR30">
            <v>14341</v>
          </cell>
          <cell r="DS30">
            <v>4010</v>
          </cell>
          <cell r="DT30">
            <v>3386</v>
          </cell>
          <cell r="DU30">
            <v>3296</v>
          </cell>
          <cell r="DV30">
            <v>3649</v>
          </cell>
          <cell r="DW30">
            <v>0</v>
          </cell>
          <cell r="DX30">
            <v>35473</v>
          </cell>
          <cell r="DY30">
            <v>163016</v>
          </cell>
          <cell r="DZ30">
            <v>127176</v>
          </cell>
          <cell r="EA30">
            <v>123510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3666</v>
          </cell>
          <cell r="EG30">
            <v>35840</v>
          </cell>
          <cell r="EH30">
            <v>192517</v>
          </cell>
          <cell r="EI30">
            <v>34456</v>
          </cell>
          <cell r="EJ30">
            <v>7545</v>
          </cell>
          <cell r="EK30">
            <v>1407</v>
          </cell>
          <cell r="EL30">
            <v>25504</v>
          </cell>
          <cell r="EM30">
            <v>6139</v>
          </cell>
          <cell r="EN30">
            <v>15658</v>
          </cell>
          <cell r="EO30">
            <v>11061</v>
          </cell>
          <cell r="EP30">
            <v>4597</v>
          </cell>
          <cell r="EQ30">
            <v>17743</v>
          </cell>
          <cell r="ER30">
            <v>20672</v>
          </cell>
          <cell r="ES30">
            <v>9900</v>
          </cell>
          <cell r="ET30">
            <v>1904</v>
          </cell>
          <cell r="EU30">
            <v>3154</v>
          </cell>
          <cell r="EV30">
            <v>2957</v>
          </cell>
          <cell r="EW30">
            <v>2757</v>
          </cell>
          <cell r="EX30">
            <v>77566</v>
          </cell>
          <cell r="EY30">
            <v>41930</v>
          </cell>
          <cell r="EZ30">
            <v>35636</v>
          </cell>
          <cell r="FA30">
            <v>20283</v>
          </cell>
          <cell r="FB30">
            <v>1534744</v>
          </cell>
          <cell r="FC30">
            <v>0</v>
          </cell>
          <cell r="FD30">
            <v>144942</v>
          </cell>
          <cell r="FE30">
            <v>43012</v>
          </cell>
          <cell r="FF30">
            <v>3650</v>
          </cell>
          <cell r="FG30">
            <v>59824</v>
          </cell>
          <cell r="FH30">
            <v>5871</v>
          </cell>
          <cell r="FI30">
            <v>21524</v>
          </cell>
          <cell r="FJ30">
            <v>11061</v>
          </cell>
          <cell r="FK30">
            <v>633450</v>
          </cell>
          <cell r="FL30">
            <v>127216</v>
          </cell>
          <cell r="FM30">
            <v>47435</v>
          </cell>
          <cell r="FN30">
            <v>71794</v>
          </cell>
          <cell r="FO30">
            <v>56180</v>
          </cell>
          <cell r="FP30">
            <v>75218</v>
          </cell>
          <cell r="FQ30">
            <v>12528</v>
          </cell>
          <cell r="FR30">
            <v>110397</v>
          </cell>
          <cell r="FS30">
            <v>5871</v>
          </cell>
          <cell r="FT30">
            <v>84242</v>
          </cell>
          <cell r="FU30">
            <v>42569</v>
          </cell>
          <cell r="FV30">
            <v>345403</v>
          </cell>
          <cell r="FW30">
            <v>127216</v>
          </cell>
          <cell r="FX30">
            <v>47435</v>
          </cell>
          <cell r="FY30">
            <v>56180</v>
          </cell>
          <cell r="FZ30">
            <v>7247</v>
          </cell>
          <cell r="GA30">
            <v>8878</v>
          </cell>
          <cell r="GB30">
            <v>45441</v>
          </cell>
          <cell r="GC30">
            <v>27502</v>
          </cell>
          <cell r="GD30">
            <v>25504</v>
          </cell>
          <cell r="GE30">
            <v>14807</v>
          </cell>
          <cell r="GF30">
            <v>-52516</v>
          </cell>
          <cell r="GG30">
            <v>67323</v>
          </cell>
          <cell r="GH30">
            <v>886487</v>
          </cell>
          <cell r="GI30">
            <v>742</v>
          </cell>
          <cell r="GJ30">
            <v>336943</v>
          </cell>
          <cell r="GK30">
            <v>4315</v>
          </cell>
          <cell r="GL30">
            <v>17666</v>
          </cell>
          <cell r="GM30">
            <v>88527</v>
          </cell>
          <cell r="GN30">
            <v>24310</v>
          </cell>
          <cell r="GO30">
            <v>65547</v>
          </cell>
          <cell r="GP30">
            <v>35473</v>
          </cell>
          <cell r="GQ30">
            <v>163016</v>
          </cell>
          <cell r="GR30">
            <v>149948</v>
          </cell>
          <cell r="GS30">
            <v>143105</v>
          </cell>
          <cell r="GT30">
            <v>71794</v>
          </cell>
          <cell r="GU30">
            <v>24959</v>
          </cell>
          <cell r="GV30">
            <v>5132</v>
          </cell>
          <cell r="GW30">
            <v>35216</v>
          </cell>
          <cell r="GX30">
            <v>6004</v>
          </cell>
        </row>
        <row r="31">
          <cell r="A31">
            <v>2023</v>
          </cell>
          <cell r="B31">
            <v>1621853</v>
          </cell>
          <cell r="C31">
            <v>142617</v>
          </cell>
          <cell r="D31">
            <v>127757</v>
          </cell>
          <cell r="E31">
            <v>25201</v>
          </cell>
          <cell r="F31">
            <v>24437</v>
          </cell>
          <cell r="G31">
            <v>5096</v>
          </cell>
          <cell r="H31">
            <v>17430</v>
          </cell>
          <cell r="I31">
            <v>4023</v>
          </cell>
          <cell r="J31">
            <v>12127</v>
          </cell>
          <cell r="K31">
            <v>19285</v>
          </cell>
          <cell r="L31">
            <v>14140</v>
          </cell>
          <cell r="M31">
            <v>6018</v>
          </cell>
          <cell r="N31">
            <v>14860</v>
          </cell>
          <cell r="O31">
            <v>3226</v>
          </cell>
          <cell r="P31">
            <v>11634</v>
          </cell>
          <cell r="Q31">
            <v>48893</v>
          </cell>
          <cell r="R31">
            <v>25149</v>
          </cell>
          <cell r="S31">
            <v>7003</v>
          </cell>
          <cell r="T31">
            <v>11808</v>
          </cell>
          <cell r="U31">
            <v>6338</v>
          </cell>
          <cell r="V31">
            <v>21044</v>
          </cell>
          <cell r="W31">
            <v>2700</v>
          </cell>
          <cell r="X31">
            <v>79001</v>
          </cell>
          <cell r="Y31">
            <v>66200</v>
          </cell>
          <cell r="Z31">
            <v>575</v>
          </cell>
          <cell r="AA31">
            <v>56796</v>
          </cell>
          <cell r="AB31">
            <v>7818</v>
          </cell>
          <cell r="AC31">
            <v>1011</v>
          </cell>
          <cell r="AD31">
            <v>12801</v>
          </cell>
          <cell r="AE31">
            <v>12764</v>
          </cell>
          <cell r="AF31">
            <v>37</v>
          </cell>
          <cell r="AG31">
            <v>420055</v>
          </cell>
          <cell r="AH31">
            <v>94256</v>
          </cell>
          <cell r="AI31">
            <v>93899</v>
          </cell>
          <cell r="AJ31">
            <v>357</v>
          </cell>
          <cell r="AK31">
            <v>255021</v>
          </cell>
          <cell r="AL31">
            <v>241750</v>
          </cell>
          <cell r="AM31">
            <v>13271</v>
          </cell>
          <cell r="AN31">
            <v>3952</v>
          </cell>
          <cell r="AO31">
            <v>1630</v>
          </cell>
          <cell r="AP31">
            <v>2322</v>
          </cell>
          <cell r="AQ31">
            <v>11764</v>
          </cell>
          <cell r="AR31">
            <v>5748</v>
          </cell>
          <cell r="AS31">
            <v>264</v>
          </cell>
          <cell r="AT31">
            <v>5752</v>
          </cell>
          <cell r="AU31">
            <v>0</v>
          </cell>
          <cell r="AV31">
            <v>55062</v>
          </cell>
          <cell r="AW31">
            <v>29940</v>
          </cell>
          <cell r="AX31">
            <v>23060</v>
          </cell>
          <cell r="AY31">
            <v>1513</v>
          </cell>
          <cell r="AZ31">
            <v>549</v>
          </cell>
          <cell r="BA31">
            <v>0</v>
          </cell>
          <cell r="BB31">
            <v>79023</v>
          </cell>
          <cell r="BC31">
            <v>28714</v>
          </cell>
          <cell r="BD31">
            <v>23843</v>
          </cell>
          <cell r="BE31">
            <v>4803</v>
          </cell>
          <cell r="BF31">
            <v>68</v>
          </cell>
          <cell r="BG31">
            <v>7444</v>
          </cell>
          <cell r="BH31">
            <v>13648</v>
          </cell>
          <cell r="BI31">
            <v>11124</v>
          </cell>
          <cell r="BJ31">
            <v>1706</v>
          </cell>
          <cell r="BK31">
            <v>818</v>
          </cell>
          <cell r="BL31">
            <v>8635</v>
          </cell>
          <cell r="BM31">
            <v>8856</v>
          </cell>
          <cell r="BN31">
            <v>1112</v>
          </cell>
          <cell r="BO31">
            <v>7744</v>
          </cell>
          <cell r="BP31">
            <v>11726</v>
          </cell>
          <cell r="BQ31">
            <v>7657</v>
          </cell>
          <cell r="BR31">
            <v>4069</v>
          </cell>
          <cell r="BS31">
            <v>34131</v>
          </cell>
          <cell r="BT31">
            <v>13164</v>
          </cell>
          <cell r="BU31">
            <v>9005</v>
          </cell>
          <cell r="BV31">
            <v>537</v>
          </cell>
          <cell r="BW31">
            <v>3622</v>
          </cell>
          <cell r="BX31">
            <v>10198</v>
          </cell>
          <cell r="BY31">
            <v>4345</v>
          </cell>
          <cell r="BZ31">
            <v>4530</v>
          </cell>
          <cell r="CA31">
            <v>1323</v>
          </cell>
          <cell r="CB31">
            <v>10769</v>
          </cell>
          <cell r="CC31">
            <v>207837</v>
          </cell>
          <cell r="CD31">
            <v>61472</v>
          </cell>
          <cell r="CE31">
            <v>58106</v>
          </cell>
          <cell r="CF31">
            <v>1308</v>
          </cell>
          <cell r="CG31">
            <v>2058</v>
          </cell>
          <cell r="CH31">
            <v>78326</v>
          </cell>
          <cell r="CI31">
            <v>5475</v>
          </cell>
          <cell r="CJ31">
            <v>40354</v>
          </cell>
          <cell r="CK31">
            <v>18387</v>
          </cell>
          <cell r="CL31">
            <v>14110</v>
          </cell>
          <cell r="CM31">
            <v>68039</v>
          </cell>
          <cell r="CN31">
            <v>12237</v>
          </cell>
          <cell r="CO31">
            <v>7129</v>
          </cell>
          <cell r="CP31">
            <v>33232</v>
          </cell>
          <cell r="CQ31">
            <v>10833</v>
          </cell>
          <cell r="CR31">
            <v>4608</v>
          </cell>
          <cell r="CS31">
            <v>30396</v>
          </cell>
          <cell r="CT31">
            <v>1183</v>
          </cell>
          <cell r="CU31">
            <v>5068</v>
          </cell>
          <cell r="CV31">
            <v>24145</v>
          </cell>
          <cell r="CW31">
            <v>151818</v>
          </cell>
          <cell r="CX31">
            <v>20834</v>
          </cell>
          <cell r="CY31">
            <v>4661</v>
          </cell>
          <cell r="CZ31">
            <v>1287</v>
          </cell>
          <cell r="DA31">
            <v>8221</v>
          </cell>
          <cell r="DB31">
            <v>6527</v>
          </cell>
          <cell r="DC31">
            <v>138</v>
          </cell>
          <cell r="DD31">
            <v>10546</v>
          </cell>
          <cell r="DE31">
            <v>6648</v>
          </cell>
          <cell r="DF31">
            <v>600</v>
          </cell>
          <cell r="DG31">
            <v>3298</v>
          </cell>
          <cell r="DH31">
            <v>49458</v>
          </cell>
          <cell r="DI31">
            <v>12865</v>
          </cell>
          <cell r="DJ31">
            <v>11670</v>
          </cell>
          <cell r="DK31">
            <v>7288</v>
          </cell>
          <cell r="DL31">
            <v>11324</v>
          </cell>
          <cell r="DM31">
            <v>6311</v>
          </cell>
          <cell r="DN31">
            <v>56911</v>
          </cell>
          <cell r="DO31">
            <v>16447</v>
          </cell>
          <cell r="DP31">
            <v>30599</v>
          </cell>
          <cell r="DQ31">
            <v>9865</v>
          </cell>
          <cell r="DR31">
            <v>14069</v>
          </cell>
          <cell r="DS31">
            <v>3848</v>
          </cell>
          <cell r="DT31">
            <v>3401</v>
          </cell>
          <cell r="DU31">
            <v>3261</v>
          </cell>
          <cell r="DV31">
            <v>3559</v>
          </cell>
          <cell r="DW31">
            <v>0</v>
          </cell>
          <cell r="DX31">
            <v>38194</v>
          </cell>
          <cell r="DY31">
            <v>173171</v>
          </cell>
          <cell r="DZ31">
            <v>136785</v>
          </cell>
          <cell r="EA31">
            <v>132585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4200</v>
          </cell>
          <cell r="EG31">
            <v>36386</v>
          </cell>
          <cell r="EH31">
            <v>216717</v>
          </cell>
          <cell r="EI31">
            <v>39047</v>
          </cell>
          <cell r="EJ31">
            <v>8700</v>
          </cell>
          <cell r="EK31">
            <v>1357</v>
          </cell>
          <cell r="EL31">
            <v>28990</v>
          </cell>
          <cell r="EM31">
            <v>6269</v>
          </cell>
          <cell r="EN31">
            <v>16001</v>
          </cell>
          <cell r="EO31">
            <v>11183</v>
          </cell>
          <cell r="EP31">
            <v>4818</v>
          </cell>
          <cell r="EQ31">
            <v>20082</v>
          </cell>
          <cell r="ER31">
            <v>19498</v>
          </cell>
          <cell r="ES31">
            <v>9310</v>
          </cell>
          <cell r="ET31">
            <v>2197</v>
          </cell>
          <cell r="EU31">
            <v>2945</v>
          </cell>
          <cell r="EV31">
            <v>2892</v>
          </cell>
          <cell r="EW31">
            <v>2154</v>
          </cell>
          <cell r="EX31">
            <v>94677</v>
          </cell>
          <cell r="EY31">
            <v>58497</v>
          </cell>
          <cell r="EZ31">
            <v>36180</v>
          </cell>
          <cell r="FA31">
            <v>21143</v>
          </cell>
          <cell r="FB31">
            <v>1647369</v>
          </cell>
          <cell r="FC31">
            <v>0</v>
          </cell>
          <cell r="FD31">
            <v>143644</v>
          </cell>
          <cell r="FE31">
            <v>40882</v>
          </cell>
          <cell r="FF31">
            <v>3622</v>
          </cell>
          <cell r="FG31">
            <v>61472</v>
          </cell>
          <cell r="FH31">
            <v>5068</v>
          </cell>
          <cell r="FI31">
            <v>21417</v>
          </cell>
          <cell r="FJ31">
            <v>11183</v>
          </cell>
          <cell r="FK31">
            <v>663012</v>
          </cell>
          <cell r="FL31">
            <v>142617</v>
          </cell>
          <cell r="FM31">
            <v>48893</v>
          </cell>
          <cell r="FN31">
            <v>77953</v>
          </cell>
          <cell r="FO31">
            <v>62440</v>
          </cell>
          <cell r="FP31">
            <v>74068</v>
          </cell>
          <cell r="FQ31">
            <v>13164</v>
          </cell>
          <cell r="FR31">
            <v>107301</v>
          </cell>
          <cell r="FS31">
            <v>5068</v>
          </cell>
          <cell r="FT31">
            <v>85160</v>
          </cell>
          <cell r="FU31">
            <v>46348</v>
          </cell>
          <cell r="FV31">
            <v>369326</v>
          </cell>
          <cell r="FW31">
            <v>142617</v>
          </cell>
          <cell r="FX31">
            <v>48893</v>
          </cell>
          <cell r="FY31">
            <v>62440</v>
          </cell>
          <cell r="FZ31">
            <v>7657</v>
          </cell>
          <cell r="GA31">
            <v>9542</v>
          </cell>
          <cell r="GB31">
            <v>40354</v>
          </cell>
          <cell r="GC31">
            <v>28833</v>
          </cell>
          <cell r="GD31">
            <v>28990</v>
          </cell>
          <cell r="GE31">
            <v>25516</v>
          </cell>
          <cell r="GF31">
            <v>-56165</v>
          </cell>
          <cell r="GG31">
            <v>81681</v>
          </cell>
          <cell r="GH31">
            <v>958841</v>
          </cell>
          <cell r="GI31">
            <v>1048</v>
          </cell>
          <cell r="GJ31">
            <v>357615</v>
          </cell>
          <cell r="GK31">
            <v>4955</v>
          </cell>
          <cell r="GL31">
            <v>20967</v>
          </cell>
          <cell r="GM31">
            <v>100536</v>
          </cell>
          <cell r="GN31">
            <v>25328</v>
          </cell>
          <cell r="GO31">
            <v>66658</v>
          </cell>
          <cell r="GP31">
            <v>38194</v>
          </cell>
          <cell r="GQ31">
            <v>173171</v>
          </cell>
          <cell r="GR31">
            <v>170369</v>
          </cell>
          <cell r="GS31">
            <v>150042</v>
          </cell>
          <cell r="GT31">
            <v>77953</v>
          </cell>
          <cell r="GU31">
            <v>25529</v>
          </cell>
          <cell r="GV31">
            <v>5475</v>
          </cell>
          <cell r="GW31">
            <v>34910</v>
          </cell>
          <cell r="GX31">
            <v>6175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</row>
        <row r="33">
          <cell r="A33" t="str">
            <v>1997 Q1</v>
          </cell>
          <cell r="B33">
            <v>148204</v>
          </cell>
          <cell r="C33">
            <v>13261</v>
          </cell>
          <cell r="D33">
            <v>11999</v>
          </cell>
          <cell r="E33">
            <v>2356</v>
          </cell>
          <cell r="F33">
            <v>2777</v>
          </cell>
          <cell r="G33">
            <v>457</v>
          </cell>
          <cell r="H33">
            <v>1870</v>
          </cell>
          <cell r="I33">
            <v>418</v>
          </cell>
          <cell r="J33">
            <v>835</v>
          </cell>
          <cell r="K33">
            <v>1621</v>
          </cell>
          <cell r="L33">
            <v>1142</v>
          </cell>
          <cell r="M33">
            <v>523</v>
          </cell>
          <cell r="N33">
            <v>1262</v>
          </cell>
          <cell r="O33">
            <v>264</v>
          </cell>
          <cell r="P33">
            <v>998</v>
          </cell>
          <cell r="Q33">
            <v>7619</v>
          </cell>
          <cell r="R33">
            <v>2412</v>
          </cell>
          <cell r="S33">
            <v>707</v>
          </cell>
          <cell r="T33">
            <v>971</v>
          </cell>
          <cell r="U33">
            <v>734</v>
          </cell>
          <cell r="V33">
            <v>3088</v>
          </cell>
          <cell r="W33">
            <v>2119</v>
          </cell>
          <cell r="X33">
            <v>7095</v>
          </cell>
          <cell r="Y33">
            <v>5975</v>
          </cell>
          <cell r="Z33">
            <v>36</v>
          </cell>
          <cell r="AA33">
            <v>5453</v>
          </cell>
          <cell r="AB33">
            <v>332</v>
          </cell>
          <cell r="AC33">
            <v>154</v>
          </cell>
          <cell r="AD33">
            <v>1120</v>
          </cell>
          <cell r="AE33">
            <v>1105</v>
          </cell>
          <cell r="AF33">
            <v>15</v>
          </cell>
          <cell r="AG33">
            <v>39922</v>
          </cell>
          <cell r="AH33">
            <v>5853</v>
          </cell>
          <cell r="AI33">
            <v>5835</v>
          </cell>
          <cell r="AJ33">
            <v>18</v>
          </cell>
          <cell r="AK33">
            <v>28606</v>
          </cell>
          <cell r="AL33">
            <v>27679</v>
          </cell>
          <cell r="AM33">
            <v>927</v>
          </cell>
          <cell r="AN33">
            <v>330</v>
          </cell>
          <cell r="AO33">
            <v>162</v>
          </cell>
          <cell r="AP33">
            <v>168</v>
          </cell>
          <cell r="AQ33">
            <v>1225</v>
          </cell>
          <cell r="AR33">
            <v>605</v>
          </cell>
          <cell r="AS33">
            <v>18</v>
          </cell>
          <cell r="AT33">
            <v>602</v>
          </cell>
          <cell r="AU33">
            <v>0</v>
          </cell>
          <cell r="AV33">
            <v>3908</v>
          </cell>
          <cell r="AW33">
            <v>2019</v>
          </cell>
          <cell r="AX33">
            <v>1563</v>
          </cell>
          <cell r="AY33">
            <v>149</v>
          </cell>
          <cell r="AZ33">
            <v>177</v>
          </cell>
          <cell r="BA33">
            <v>0</v>
          </cell>
          <cell r="BB33">
            <v>8134</v>
          </cell>
          <cell r="BC33">
            <v>3341</v>
          </cell>
          <cell r="BD33">
            <v>2391</v>
          </cell>
          <cell r="BE33">
            <v>943</v>
          </cell>
          <cell r="BF33">
            <v>7</v>
          </cell>
          <cell r="BG33">
            <v>881</v>
          </cell>
          <cell r="BH33">
            <v>1338</v>
          </cell>
          <cell r="BI33">
            <v>1059</v>
          </cell>
          <cell r="BJ33">
            <v>163</v>
          </cell>
          <cell r="BK33">
            <v>116</v>
          </cell>
          <cell r="BL33">
            <v>782</v>
          </cell>
          <cell r="BM33">
            <v>615</v>
          </cell>
          <cell r="BN33">
            <v>77</v>
          </cell>
          <cell r="BO33">
            <v>538</v>
          </cell>
          <cell r="BP33">
            <v>1177</v>
          </cell>
          <cell r="BQ33">
            <v>684</v>
          </cell>
          <cell r="BR33">
            <v>493</v>
          </cell>
          <cell r="BS33">
            <v>2479</v>
          </cell>
          <cell r="BT33">
            <v>977</v>
          </cell>
          <cell r="BU33">
            <v>516</v>
          </cell>
          <cell r="BV33">
            <v>68</v>
          </cell>
          <cell r="BW33">
            <v>393</v>
          </cell>
          <cell r="BX33">
            <v>909</v>
          </cell>
          <cell r="BY33">
            <v>542</v>
          </cell>
          <cell r="BZ33">
            <v>298</v>
          </cell>
          <cell r="CA33">
            <v>69</v>
          </cell>
          <cell r="CB33">
            <v>593</v>
          </cell>
          <cell r="CC33">
            <v>19572</v>
          </cell>
          <cell r="CD33">
            <v>6567</v>
          </cell>
          <cell r="CE33">
            <v>6317</v>
          </cell>
          <cell r="CF33">
            <v>147</v>
          </cell>
          <cell r="CG33">
            <v>103</v>
          </cell>
          <cell r="CH33">
            <v>7865</v>
          </cell>
          <cell r="CI33">
            <v>716</v>
          </cell>
          <cell r="CJ33">
            <v>3936</v>
          </cell>
          <cell r="CK33">
            <v>2436</v>
          </cell>
          <cell r="CL33">
            <v>777</v>
          </cell>
          <cell r="CM33">
            <v>5140</v>
          </cell>
          <cell r="CN33">
            <v>915</v>
          </cell>
          <cell r="CO33">
            <v>1373</v>
          </cell>
          <cell r="CP33">
            <v>2083</v>
          </cell>
          <cell r="CQ33">
            <v>535</v>
          </cell>
          <cell r="CR33">
            <v>234</v>
          </cell>
          <cell r="CS33">
            <v>3368</v>
          </cell>
          <cell r="CT33">
            <v>280</v>
          </cell>
          <cell r="CU33">
            <v>225</v>
          </cell>
          <cell r="CV33">
            <v>2863</v>
          </cell>
          <cell r="CW33">
            <v>14604</v>
          </cell>
          <cell r="CX33">
            <v>3224</v>
          </cell>
          <cell r="CY33">
            <v>1111</v>
          </cell>
          <cell r="CZ33">
            <v>193</v>
          </cell>
          <cell r="DA33">
            <v>864</v>
          </cell>
          <cell r="DB33">
            <v>1000</v>
          </cell>
          <cell r="DC33">
            <v>56</v>
          </cell>
          <cell r="DD33">
            <v>934</v>
          </cell>
          <cell r="DE33">
            <v>561</v>
          </cell>
          <cell r="DF33">
            <v>71</v>
          </cell>
          <cell r="DG33">
            <v>302</v>
          </cell>
          <cell r="DH33">
            <v>3579</v>
          </cell>
          <cell r="DI33">
            <v>972</v>
          </cell>
          <cell r="DJ33">
            <v>847</v>
          </cell>
          <cell r="DK33">
            <v>780</v>
          </cell>
          <cell r="DL33">
            <v>770</v>
          </cell>
          <cell r="DM33">
            <v>210</v>
          </cell>
          <cell r="DN33">
            <v>4676</v>
          </cell>
          <cell r="DO33">
            <v>952</v>
          </cell>
          <cell r="DP33">
            <v>2057</v>
          </cell>
          <cell r="DQ33">
            <v>1667</v>
          </cell>
          <cell r="DR33">
            <v>2191</v>
          </cell>
          <cell r="DS33">
            <v>396</v>
          </cell>
          <cell r="DT33">
            <v>948</v>
          </cell>
          <cell r="DU33">
            <v>518</v>
          </cell>
          <cell r="DV33">
            <v>329</v>
          </cell>
          <cell r="DW33">
            <v>0</v>
          </cell>
          <cell r="DX33">
            <v>1380</v>
          </cell>
          <cell r="DY33">
            <v>14548</v>
          </cell>
          <cell r="DZ33">
            <v>11860</v>
          </cell>
          <cell r="EA33">
            <v>10913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947</v>
          </cell>
          <cell r="EG33">
            <v>2688</v>
          </cell>
          <cell r="EH33">
            <v>16222</v>
          </cell>
          <cell r="EI33">
            <v>2611</v>
          </cell>
          <cell r="EJ33">
            <v>742</v>
          </cell>
          <cell r="EK33">
            <v>36</v>
          </cell>
          <cell r="EL33">
            <v>1833</v>
          </cell>
          <cell r="EM33">
            <v>510</v>
          </cell>
          <cell r="EN33">
            <v>1013</v>
          </cell>
          <cell r="EO33">
            <v>900</v>
          </cell>
          <cell r="EP33">
            <v>113</v>
          </cell>
          <cell r="EQ33">
            <v>1488</v>
          </cell>
          <cell r="ER33">
            <v>3604</v>
          </cell>
          <cell r="ES33">
            <v>2282</v>
          </cell>
          <cell r="ET33">
            <v>287</v>
          </cell>
          <cell r="EU33">
            <v>368</v>
          </cell>
          <cell r="EV33">
            <v>314</v>
          </cell>
          <cell r="EW33">
            <v>353</v>
          </cell>
          <cell r="EX33">
            <v>5138</v>
          </cell>
          <cell r="EY33">
            <v>2623</v>
          </cell>
          <cell r="EZ33">
            <v>2515</v>
          </cell>
          <cell r="FA33">
            <v>1858</v>
          </cell>
          <cell r="FB33">
            <v>148521</v>
          </cell>
          <cell r="FC33">
            <v>112191</v>
          </cell>
          <cell r="FD33">
            <v>15355</v>
          </cell>
          <cell r="FE33">
            <v>4470</v>
          </cell>
          <cell r="FF33">
            <v>393</v>
          </cell>
          <cell r="FG33">
            <v>6567</v>
          </cell>
          <cell r="FH33">
            <v>225</v>
          </cell>
          <cell r="FI33">
            <v>2800</v>
          </cell>
          <cell r="FJ33">
            <v>900</v>
          </cell>
          <cell r="FK33">
            <v>64662</v>
          </cell>
          <cell r="FL33">
            <v>13261</v>
          </cell>
          <cell r="FM33">
            <v>7619</v>
          </cell>
          <cell r="FN33">
            <v>6926</v>
          </cell>
          <cell r="FO33">
            <v>4675</v>
          </cell>
          <cell r="FP33">
            <v>7518</v>
          </cell>
          <cell r="FQ33">
            <v>977</v>
          </cell>
          <cell r="FR33">
            <v>11219</v>
          </cell>
          <cell r="FS33">
            <v>225</v>
          </cell>
          <cell r="FT33">
            <v>9360</v>
          </cell>
          <cell r="FU33">
            <v>2882</v>
          </cell>
          <cell r="FV33">
            <v>35937</v>
          </cell>
          <cell r="FW33">
            <v>13261</v>
          </cell>
          <cell r="FX33">
            <v>7619</v>
          </cell>
          <cell r="FY33">
            <v>4675</v>
          </cell>
          <cell r="FZ33">
            <v>684</v>
          </cell>
          <cell r="GA33">
            <v>584</v>
          </cell>
          <cell r="GB33">
            <v>3936</v>
          </cell>
          <cell r="GC33">
            <v>3345</v>
          </cell>
          <cell r="GD33">
            <v>1833</v>
          </cell>
          <cell r="GE33">
            <v>317</v>
          </cell>
          <cell r="GF33">
            <v>-3507</v>
          </cell>
          <cell r="GG33">
            <v>3824</v>
          </cell>
          <cell r="GH33">
            <v>83542</v>
          </cell>
          <cell r="GI33">
            <v>169</v>
          </cell>
          <cell r="GJ33">
            <v>35247</v>
          </cell>
          <cell r="GK33">
            <v>616</v>
          </cell>
          <cell r="GL33">
            <v>1502</v>
          </cell>
          <cell r="GM33">
            <v>8353</v>
          </cell>
          <cell r="GN33">
            <v>3143</v>
          </cell>
          <cell r="GO33">
            <v>5244</v>
          </cell>
          <cell r="GP33">
            <v>1380</v>
          </cell>
          <cell r="GQ33">
            <v>14548</v>
          </cell>
          <cell r="GR33">
            <v>13340</v>
          </cell>
          <cell r="GS33">
            <v>13370</v>
          </cell>
          <cell r="GT33">
            <v>6926</v>
          </cell>
          <cell r="GU33">
            <v>2364</v>
          </cell>
          <cell r="GV33">
            <v>716</v>
          </cell>
          <cell r="GW33">
            <v>3215</v>
          </cell>
          <cell r="GX33">
            <v>149</v>
          </cell>
        </row>
        <row r="34">
          <cell r="A34" t="str">
            <v>1997 Q2</v>
          </cell>
          <cell r="B34">
            <v>151517</v>
          </cell>
          <cell r="C34">
            <v>13239</v>
          </cell>
          <cell r="D34">
            <v>11995</v>
          </cell>
          <cell r="E34">
            <v>2281</v>
          </cell>
          <cell r="F34">
            <v>2723</v>
          </cell>
          <cell r="G34">
            <v>446</v>
          </cell>
          <cell r="H34">
            <v>1862</v>
          </cell>
          <cell r="I34">
            <v>410</v>
          </cell>
          <cell r="J34">
            <v>804</v>
          </cell>
          <cell r="K34">
            <v>1682</v>
          </cell>
          <cell r="L34">
            <v>1239</v>
          </cell>
          <cell r="M34">
            <v>548</v>
          </cell>
          <cell r="N34">
            <v>1244</v>
          </cell>
          <cell r="O34">
            <v>311</v>
          </cell>
          <cell r="P34">
            <v>933</v>
          </cell>
          <cell r="Q34">
            <v>7603</v>
          </cell>
          <cell r="R34">
            <v>2409</v>
          </cell>
          <cell r="S34">
            <v>689</v>
          </cell>
          <cell r="T34">
            <v>992</v>
          </cell>
          <cell r="U34">
            <v>728</v>
          </cell>
          <cell r="V34">
            <v>3087</v>
          </cell>
          <cell r="W34">
            <v>2107</v>
          </cell>
          <cell r="X34">
            <v>7295</v>
          </cell>
          <cell r="Y34">
            <v>6174</v>
          </cell>
          <cell r="Z34">
            <v>35</v>
          </cell>
          <cell r="AA34">
            <v>5670</v>
          </cell>
          <cell r="AB34">
            <v>315</v>
          </cell>
          <cell r="AC34">
            <v>154</v>
          </cell>
          <cell r="AD34">
            <v>1121</v>
          </cell>
          <cell r="AE34">
            <v>1106</v>
          </cell>
          <cell r="AF34">
            <v>15</v>
          </cell>
          <cell r="AG34">
            <v>40061</v>
          </cell>
          <cell r="AH34">
            <v>5960</v>
          </cell>
          <cell r="AI34">
            <v>5941</v>
          </cell>
          <cell r="AJ34">
            <v>19</v>
          </cell>
          <cell r="AK34">
            <v>28878</v>
          </cell>
          <cell r="AL34">
            <v>27936</v>
          </cell>
          <cell r="AM34">
            <v>942</v>
          </cell>
          <cell r="AN34">
            <v>345</v>
          </cell>
          <cell r="AO34">
            <v>164</v>
          </cell>
          <cell r="AP34">
            <v>181</v>
          </cell>
          <cell r="AQ34">
            <v>1244</v>
          </cell>
          <cell r="AR34">
            <v>614</v>
          </cell>
          <cell r="AS34">
            <v>17</v>
          </cell>
          <cell r="AT34">
            <v>613</v>
          </cell>
          <cell r="AU34">
            <v>0</v>
          </cell>
          <cell r="AV34">
            <v>3634</v>
          </cell>
          <cell r="AW34">
            <v>1956</v>
          </cell>
          <cell r="AX34">
            <v>1385</v>
          </cell>
          <cell r="AY34">
            <v>127</v>
          </cell>
          <cell r="AZ34">
            <v>166</v>
          </cell>
          <cell r="BA34">
            <v>0</v>
          </cell>
          <cell r="BB34">
            <v>7874</v>
          </cell>
          <cell r="BC34">
            <v>3097</v>
          </cell>
          <cell r="BD34">
            <v>2367</v>
          </cell>
          <cell r="BE34">
            <v>723</v>
          </cell>
          <cell r="BF34">
            <v>7</v>
          </cell>
          <cell r="BG34">
            <v>865</v>
          </cell>
          <cell r="BH34">
            <v>1319</v>
          </cell>
          <cell r="BI34">
            <v>1074</v>
          </cell>
          <cell r="BJ34">
            <v>169</v>
          </cell>
          <cell r="BK34">
            <v>76</v>
          </cell>
          <cell r="BL34">
            <v>760</v>
          </cell>
          <cell r="BM34">
            <v>638</v>
          </cell>
          <cell r="BN34">
            <v>75</v>
          </cell>
          <cell r="BO34">
            <v>563</v>
          </cell>
          <cell r="BP34">
            <v>1195</v>
          </cell>
          <cell r="BQ34">
            <v>719</v>
          </cell>
          <cell r="BR34">
            <v>476</v>
          </cell>
          <cell r="BS34">
            <v>2443</v>
          </cell>
          <cell r="BT34">
            <v>966</v>
          </cell>
          <cell r="BU34">
            <v>502</v>
          </cell>
          <cell r="BV34">
            <v>68</v>
          </cell>
          <cell r="BW34">
            <v>396</v>
          </cell>
          <cell r="BX34">
            <v>879</v>
          </cell>
          <cell r="BY34">
            <v>528</v>
          </cell>
          <cell r="BZ34">
            <v>292</v>
          </cell>
          <cell r="CA34">
            <v>59</v>
          </cell>
          <cell r="CB34">
            <v>598</v>
          </cell>
          <cell r="CC34">
            <v>20537</v>
          </cell>
          <cell r="CD34">
            <v>7193</v>
          </cell>
          <cell r="CE34">
            <v>6924</v>
          </cell>
          <cell r="CF34">
            <v>166</v>
          </cell>
          <cell r="CG34">
            <v>103</v>
          </cell>
          <cell r="CH34">
            <v>8212</v>
          </cell>
          <cell r="CI34">
            <v>860</v>
          </cell>
          <cell r="CJ34">
            <v>4005</v>
          </cell>
          <cell r="CK34">
            <v>2558</v>
          </cell>
          <cell r="CL34">
            <v>789</v>
          </cell>
          <cell r="CM34">
            <v>5132</v>
          </cell>
          <cell r="CN34">
            <v>920</v>
          </cell>
          <cell r="CO34">
            <v>1360</v>
          </cell>
          <cell r="CP34">
            <v>2226</v>
          </cell>
          <cell r="CQ34">
            <v>387</v>
          </cell>
          <cell r="CR34">
            <v>239</v>
          </cell>
          <cell r="CS34">
            <v>3565</v>
          </cell>
          <cell r="CT34">
            <v>309</v>
          </cell>
          <cell r="CU34">
            <v>333</v>
          </cell>
          <cell r="CV34">
            <v>2923</v>
          </cell>
          <cell r="CW34">
            <v>14880</v>
          </cell>
          <cell r="CX34">
            <v>3258</v>
          </cell>
          <cell r="CY34">
            <v>1051</v>
          </cell>
          <cell r="CZ34">
            <v>241</v>
          </cell>
          <cell r="DA34">
            <v>889</v>
          </cell>
          <cell r="DB34">
            <v>1028</v>
          </cell>
          <cell r="DC34">
            <v>49</v>
          </cell>
          <cell r="DD34">
            <v>951</v>
          </cell>
          <cell r="DE34">
            <v>570</v>
          </cell>
          <cell r="DF34">
            <v>78</v>
          </cell>
          <cell r="DG34">
            <v>303</v>
          </cell>
          <cell r="DH34">
            <v>3556</v>
          </cell>
          <cell r="DI34">
            <v>943</v>
          </cell>
          <cell r="DJ34">
            <v>873</v>
          </cell>
          <cell r="DK34">
            <v>786</v>
          </cell>
          <cell r="DL34">
            <v>746</v>
          </cell>
          <cell r="DM34">
            <v>208</v>
          </cell>
          <cell r="DN34">
            <v>4925</v>
          </cell>
          <cell r="DO34">
            <v>957</v>
          </cell>
          <cell r="DP34">
            <v>2184</v>
          </cell>
          <cell r="DQ34">
            <v>1784</v>
          </cell>
          <cell r="DR34">
            <v>2190</v>
          </cell>
          <cell r="DS34">
            <v>431</v>
          </cell>
          <cell r="DT34">
            <v>963</v>
          </cell>
          <cell r="DU34">
            <v>487</v>
          </cell>
          <cell r="DV34">
            <v>309</v>
          </cell>
          <cell r="DW34">
            <v>0</v>
          </cell>
          <cell r="DX34">
            <v>1404</v>
          </cell>
          <cell r="DY34">
            <v>15683</v>
          </cell>
          <cell r="DZ34">
            <v>12726</v>
          </cell>
          <cell r="EA34">
            <v>11618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1108</v>
          </cell>
          <cell r="EG34">
            <v>2957</v>
          </cell>
          <cell r="EH34">
            <v>16933</v>
          </cell>
          <cell r="EI34">
            <v>2690</v>
          </cell>
          <cell r="EJ34">
            <v>739</v>
          </cell>
          <cell r="EK34">
            <v>37</v>
          </cell>
          <cell r="EL34">
            <v>1914</v>
          </cell>
          <cell r="EM34">
            <v>516</v>
          </cell>
          <cell r="EN34">
            <v>1044</v>
          </cell>
          <cell r="EO34">
            <v>895</v>
          </cell>
          <cell r="EP34">
            <v>149</v>
          </cell>
          <cell r="EQ34">
            <v>1465</v>
          </cell>
          <cell r="ER34">
            <v>3743</v>
          </cell>
          <cell r="ES34">
            <v>2370</v>
          </cell>
          <cell r="ET34">
            <v>297</v>
          </cell>
          <cell r="EU34">
            <v>373</v>
          </cell>
          <cell r="EV34">
            <v>337</v>
          </cell>
          <cell r="EW34">
            <v>366</v>
          </cell>
          <cell r="EX34">
            <v>5473</v>
          </cell>
          <cell r="EY34">
            <v>2973</v>
          </cell>
          <cell r="EZ34">
            <v>2500</v>
          </cell>
          <cell r="FA34">
            <v>2002</v>
          </cell>
          <cell r="FB34">
            <v>151922</v>
          </cell>
          <cell r="FC34">
            <v>114117</v>
          </cell>
          <cell r="FD34">
            <v>15885</v>
          </cell>
          <cell r="FE34">
            <v>4239</v>
          </cell>
          <cell r="FF34">
            <v>396</v>
          </cell>
          <cell r="FG34">
            <v>7193</v>
          </cell>
          <cell r="FH34">
            <v>333</v>
          </cell>
          <cell r="FI34">
            <v>2829</v>
          </cell>
          <cell r="FJ34">
            <v>895</v>
          </cell>
          <cell r="FK34">
            <v>65442</v>
          </cell>
          <cell r="FL34">
            <v>13239</v>
          </cell>
          <cell r="FM34">
            <v>7603</v>
          </cell>
          <cell r="FN34">
            <v>7126</v>
          </cell>
          <cell r="FO34">
            <v>4412</v>
          </cell>
          <cell r="FP34">
            <v>7315</v>
          </cell>
          <cell r="FQ34">
            <v>966</v>
          </cell>
          <cell r="FR34">
            <v>12058</v>
          </cell>
          <cell r="FS34">
            <v>333</v>
          </cell>
          <cell r="FT34">
            <v>9395</v>
          </cell>
          <cell r="FU34">
            <v>2995</v>
          </cell>
          <cell r="FV34">
            <v>35753</v>
          </cell>
          <cell r="FW34">
            <v>13239</v>
          </cell>
          <cell r="FX34">
            <v>7603</v>
          </cell>
          <cell r="FY34">
            <v>4412</v>
          </cell>
          <cell r="FZ34">
            <v>719</v>
          </cell>
          <cell r="GA34">
            <v>570</v>
          </cell>
          <cell r="GB34">
            <v>4005</v>
          </cell>
          <cell r="GC34">
            <v>3291</v>
          </cell>
          <cell r="GD34">
            <v>1914</v>
          </cell>
          <cell r="GE34">
            <v>405</v>
          </cell>
          <cell r="GF34">
            <v>-3639</v>
          </cell>
          <cell r="GG34">
            <v>4044</v>
          </cell>
          <cell r="GH34">
            <v>86075</v>
          </cell>
          <cell r="GI34">
            <v>169</v>
          </cell>
          <cell r="GJ34">
            <v>35649</v>
          </cell>
          <cell r="GK34">
            <v>559</v>
          </cell>
          <cell r="GL34">
            <v>1477</v>
          </cell>
          <cell r="GM34">
            <v>8479</v>
          </cell>
          <cell r="GN34">
            <v>3232</v>
          </cell>
          <cell r="GO34">
            <v>5485</v>
          </cell>
          <cell r="GP34">
            <v>1404</v>
          </cell>
          <cell r="GQ34">
            <v>15683</v>
          </cell>
          <cell r="GR34">
            <v>13938</v>
          </cell>
          <cell r="GS34">
            <v>13804</v>
          </cell>
          <cell r="GT34">
            <v>7126</v>
          </cell>
          <cell r="GU34">
            <v>2357</v>
          </cell>
          <cell r="GV34">
            <v>860</v>
          </cell>
          <cell r="GW34">
            <v>3275</v>
          </cell>
          <cell r="GX34">
            <v>186</v>
          </cell>
        </row>
        <row r="35">
          <cell r="A35" t="str">
            <v>1997 Q3</v>
          </cell>
          <cell r="B35">
            <v>154159</v>
          </cell>
          <cell r="C35">
            <v>13215</v>
          </cell>
          <cell r="D35">
            <v>11943</v>
          </cell>
          <cell r="E35">
            <v>2294</v>
          </cell>
          <cell r="F35">
            <v>2689</v>
          </cell>
          <cell r="G35">
            <v>449</v>
          </cell>
          <cell r="H35">
            <v>1891</v>
          </cell>
          <cell r="I35">
            <v>399</v>
          </cell>
          <cell r="J35">
            <v>823</v>
          </cell>
          <cell r="K35">
            <v>1669</v>
          </cell>
          <cell r="L35">
            <v>1212</v>
          </cell>
          <cell r="M35">
            <v>517</v>
          </cell>
          <cell r="N35">
            <v>1272</v>
          </cell>
          <cell r="O35">
            <v>295</v>
          </cell>
          <cell r="P35">
            <v>977</v>
          </cell>
          <cell r="Q35">
            <v>7631</v>
          </cell>
          <cell r="R35">
            <v>2441</v>
          </cell>
          <cell r="S35">
            <v>680</v>
          </cell>
          <cell r="T35">
            <v>1000</v>
          </cell>
          <cell r="U35">
            <v>761</v>
          </cell>
          <cell r="V35">
            <v>3106</v>
          </cell>
          <cell r="W35">
            <v>2084</v>
          </cell>
          <cell r="X35">
            <v>7283</v>
          </cell>
          <cell r="Y35">
            <v>6217</v>
          </cell>
          <cell r="Z35">
            <v>34</v>
          </cell>
          <cell r="AA35">
            <v>5732</v>
          </cell>
          <cell r="AB35">
            <v>300</v>
          </cell>
          <cell r="AC35">
            <v>151</v>
          </cell>
          <cell r="AD35">
            <v>1066</v>
          </cell>
          <cell r="AE35">
            <v>1052</v>
          </cell>
          <cell r="AF35">
            <v>14</v>
          </cell>
          <cell r="AG35">
            <v>40519</v>
          </cell>
          <cell r="AH35">
            <v>5994</v>
          </cell>
          <cell r="AI35">
            <v>5974</v>
          </cell>
          <cell r="AJ35">
            <v>20</v>
          </cell>
          <cell r="AK35">
            <v>29072</v>
          </cell>
          <cell r="AL35">
            <v>28113</v>
          </cell>
          <cell r="AM35">
            <v>959</v>
          </cell>
          <cell r="AN35">
            <v>346</v>
          </cell>
          <cell r="AO35">
            <v>174</v>
          </cell>
          <cell r="AP35">
            <v>172</v>
          </cell>
          <cell r="AQ35">
            <v>1266</v>
          </cell>
          <cell r="AR35">
            <v>627</v>
          </cell>
          <cell r="AS35">
            <v>19</v>
          </cell>
          <cell r="AT35">
            <v>620</v>
          </cell>
          <cell r="AU35">
            <v>0</v>
          </cell>
          <cell r="AV35">
            <v>3841</v>
          </cell>
          <cell r="AW35">
            <v>1910</v>
          </cell>
          <cell r="AX35">
            <v>1640</v>
          </cell>
          <cell r="AY35">
            <v>122</v>
          </cell>
          <cell r="AZ35">
            <v>169</v>
          </cell>
          <cell r="BA35">
            <v>0</v>
          </cell>
          <cell r="BB35">
            <v>7760</v>
          </cell>
          <cell r="BC35">
            <v>2998</v>
          </cell>
          <cell r="BD35">
            <v>2333</v>
          </cell>
          <cell r="BE35">
            <v>657</v>
          </cell>
          <cell r="BF35">
            <v>8</v>
          </cell>
          <cell r="BG35">
            <v>848</v>
          </cell>
          <cell r="BH35">
            <v>1288</v>
          </cell>
          <cell r="BI35">
            <v>1047</v>
          </cell>
          <cell r="BJ35">
            <v>170</v>
          </cell>
          <cell r="BK35">
            <v>71</v>
          </cell>
          <cell r="BL35">
            <v>764</v>
          </cell>
          <cell r="BM35">
            <v>675</v>
          </cell>
          <cell r="BN35">
            <v>79</v>
          </cell>
          <cell r="BO35">
            <v>596</v>
          </cell>
          <cell r="BP35">
            <v>1187</v>
          </cell>
          <cell r="BQ35">
            <v>716</v>
          </cell>
          <cell r="BR35">
            <v>471</v>
          </cell>
          <cell r="BS35">
            <v>2494</v>
          </cell>
          <cell r="BT35">
            <v>957</v>
          </cell>
          <cell r="BU35">
            <v>494</v>
          </cell>
          <cell r="BV35">
            <v>70</v>
          </cell>
          <cell r="BW35">
            <v>393</v>
          </cell>
          <cell r="BX35">
            <v>918</v>
          </cell>
          <cell r="BY35">
            <v>561</v>
          </cell>
          <cell r="BZ35">
            <v>295</v>
          </cell>
          <cell r="CA35">
            <v>62</v>
          </cell>
          <cell r="CB35">
            <v>619</v>
          </cell>
          <cell r="CC35">
            <v>22439</v>
          </cell>
          <cell r="CD35">
            <v>9001</v>
          </cell>
          <cell r="CE35">
            <v>8718</v>
          </cell>
          <cell r="CF35">
            <v>181</v>
          </cell>
          <cell r="CG35">
            <v>102</v>
          </cell>
          <cell r="CH35">
            <v>8153</v>
          </cell>
          <cell r="CI35">
            <v>891</v>
          </cell>
          <cell r="CJ35">
            <v>3929</v>
          </cell>
          <cell r="CK35">
            <v>2564</v>
          </cell>
          <cell r="CL35">
            <v>769</v>
          </cell>
          <cell r="CM35">
            <v>5285</v>
          </cell>
          <cell r="CN35">
            <v>962</v>
          </cell>
          <cell r="CO35">
            <v>1454</v>
          </cell>
          <cell r="CP35">
            <v>2222</v>
          </cell>
          <cell r="CQ35">
            <v>411</v>
          </cell>
          <cell r="CR35">
            <v>236</v>
          </cell>
          <cell r="CS35">
            <v>3593</v>
          </cell>
          <cell r="CT35">
            <v>264</v>
          </cell>
          <cell r="CU35">
            <v>367</v>
          </cell>
          <cell r="CV35">
            <v>2962</v>
          </cell>
          <cell r="CW35">
            <v>14562</v>
          </cell>
          <cell r="CX35">
            <v>3188</v>
          </cell>
          <cell r="CY35">
            <v>959</v>
          </cell>
          <cell r="CZ35">
            <v>273</v>
          </cell>
          <cell r="DA35">
            <v>876</v>
          </cell>
          <cell r="DB35">
            <v>1031</v>
          </cell>
          <cell r="DC35">
            <v>49</v>
          </cell>
          <cell r="DD35">
            <v>966</v>
          </cell>
          <cell r="DE35">
            <v>585</v>
          </cell>
          <cell r="DF35">
            <v>76</v>
          </cell>
          <cell r="DG35">
            <v>305</v>
          </cell>
          <cell r="DH35">
            <v>3417</v>
          </cell>
          <cell r="DI35">
            <v>883</v>
          </cell>
          <cell r="DJ35">
            <v>887</v>
          </cell>
          <cell r="DK35">
            <v>764</v>
          </cell>
          <cell r="DL35">
            <v>686</v>
          </cell>
          <cell r="DM35">
            <v>197</v>
          </cell>
          <cell r="DN35">
            <v>4833</v>
          </cell>
          <cell r="DO35">
            <v>952</v>
          </cell>
          <cell r="DP35">
            <v>2092</v>
          </cell>
          <cell r="DQ35">
            <v>1789</v>
          </cell>
          <cell r="DR35">
            <v>2158</v>
          </cell>
          <cell r="DS35">
            <v>408</v>
          </cell>
          <cell r="DT35">
            <v>962</v>
          </cell>
          <cell r="DU35">
            <v>479</v>
          </cell>
          <cell r="DV35">
            <v>309</v>
          </cell>
          <cell r="DW35">
            <v>0</v>
          </cell>
          <cell r="DX35">
            <v>1434</v>
          </cell>
          <cell r="DY35">
            <v>15385</v>
          </cell>
          <cell r="DZ35">
            <v>12466</v>
          </cell>
          <cell r="EA35">
            <v>11358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1108</v>
          </cell>
          <cell r="EG35">
            <v>2919</v>
          </cell>
          <cell r="EH35">
            <v>17844</v>
          </cell>
          <cell r="EI35">
            <v>2717</v>
          </cell>
          <cell r="EJ35">
            <v>746</v>
          </cell>
          <cell r="EK35">
            <v>38</v>
          </cell>
          <cell r="EL35">
            <v>1933</v>
          </cell>
          <cell r="EM35">
            <v>524</v>
          </cell>
          <cell r="EN35">
            <v>1070</v>
          </cell>
          <cell r="EO35">
            <v>909</v>
          </cell>
          <cell r="EP35">
            <v>161</v>
          </cell>
          <cell r="EQ35">
            <v>1458</v>
          </cell>
          <cell r="ER35">
            <v>3759</v>
          </cell>
          <cell r="ES35">
            <v>2464</v>
          </cell>
          <cell r="ET35">
            <v>297</v>
          </cell>
          <cell r="EU35">
            <v>338</v>
          </cell>
          <cell r="EV35">
            <v>291</v>
          </cell>
          <cell r="EW35">
            <v>369</v>
          </cell>
          <cell r="EX35">
            <v>6078</v>
          </cell>
          <cell r="EY35">
            <v>3351</v>
          </cell>
          <cell r="EZ35">
            <v>2727</v>
          </cell>
          <cell r="FA35">
            <v>2238</v>
          </cell>
          <cell r="FB35">
            <v>154648</v>
          </cell>
          <cell r="FC35">
            <v>115006</v>
          </cell>
          <cell r="FD35">
            <v>17555</v>
          </cell>
          <cell r="FE35">
            <v>4116</v>
          </cell>
          <cell r="FF35">
            <v>393</v>
          </cell>
          <cell r="FG35">
            <v>9001</v>
          </cell>
          <cell r="FH35">
            <v>367</v>
          </cell>
          <cell r="FI35">
            <v>2769</v>
          </cell>
          <cell r="FJ35">
            <v>909</v>
          </cell>
          <cell r="FK35">
            <v>67180</v>
          </cell>
          <cell r="FL35">
            <v>13215</v>
          </cell>
          <cell r="FM35">
            <v>7631</v>
          </cell>
          <cell r="FN35">
            <v>7118</v>
          </cell>
          <cell r="FO35">
            <v>4642</v>
          </cell>
          <cell r="FP35">
            <v>7210</v>
          </cell>
          <cell r="FQ35">
            <v>957</v>
          </cell>
          <cell r="FR35">
            <v>13821</v>
          </cell>
          <cell r="FS35">
            <v>367</v>
          </cell>
          <cell r="FT35">
            <v>9178</v>
          </cell>
          <cell r="FU35">
            <v>3041</v>
          </cell>
          <cell r="FV35">
            <v>35830</v>
          </cell>
          <cell r="FW35">
            <v>13215</v>
          </cell>
          <cell r="FX35">
            <v>7631</v>
          </cell>
          <cell r="FY35">
            <v>4642</v>
          </cell>
          <cell r="FZ35">
            <v>716</v>
          </cell>
          <cell r="GA35">
            <v>564</v>
          </cell>
          <cell r="GB35">
            <v>3929</v>
          </cell>
          <cell r="GC35">
            <v>3200</v>
          </cell>
          <cell r="GD35">
            <v>1933</v>
          </cell>
          <cell r="GE35">
            <v>489</v>
          </cell>
          <cell r="GF35">
            <v>-3694</v>
          </cell>
          <cell r="GG35">
            <v>4183</v>
          </cell>
          <cell r="GH35">
            <v>86979</v>
          </cell>
          <cell r="GI35">
            <v>165</v>
          </cell>
          <cell r="GJ35">
            <v>35877</v>
          </cell>
          <cell r="GK35">
            <v>550</v>
          </cell>
          <cell r="GL35">
            <v>1537</v>
          </cell>
          <cell r="GM35">
            <v>8618</v>
          </cell>
          <cell r="GN35">
            <v>3226</v>
          </cell>
          <cell r="GO35">
            <v>5384</v>
          </cell>
          <cell r="GP35">
            <v>1434</v>
          </cell>
          <cell r="GQ35">
            <v>15385</v>
          </cell>
          <cell r="GR35">
            <v>14803</v>
          </cell>
          <cell r="GS35">
            <v>13795</v>
          </cell>
          <cell r="GT35">
            <v>7118</v>
          </cell>
          <cell r="GU35">
            <v>2378</v>
          </cell>
          <cell r="GV35">
            <v>891</v>
          </cell>
          <cell r="GW35">
            <v>3209</v>
          </cell>
          <cell r="GX35">
            <v>199</v>
          </cell>
        </row>
        <row r="36">
          <cell r="A36" t="str">
            <v>1997 Q4</v>
          </cell>
          <cell r="B36">
            <v>154961</v>
          </cell>
          <cell r="C36">
            <v>13773</v>
          </cell>
          <cell r="D36">
            <v>12381</v>
          </cell>
          <cell r="E36">
            <v>2374</v>
          </cell>
          <cell r="F36">
            <v>2816</v>
          </cell>
          <cell r="G36">
            <v>466</v>
          </cell>
          <cell r="H36">
            <v>1872</v>
          </cell>
          <cell r="I36">
            <v>388</v>
          </cell>
          <cell r="J36">
            <v>885</v>
          </cell>
          <cell r="K36">
            <v>1807</v>
          </cell>
          <cell r="L36">
            <v>1229</v>
          </cell>
          <cell r="M36">
            <v>544</v>
          </cell>
          <cell r="N36">
            <v>1392</v>
          </cell>
          <cell r="O36">
            <v>340</v>
          </cell>
          <cell r="P36">
            <v>1052</v>
          </cell>
          <cell r="Q36">
            <v>7693</v>
          </cell>
          <cell r="R36">
            <v>2453</v>
          </cell>
          <cell r="S36">
            <v>675</v>
          </cell>
          <cell r="T36">
            <v>1023</v>
          </cell>
          <cell r="U36">
            <v>755</v>
          </cell>
          <cell r="V36">
            <v>3190</v>
          </cell>
          <cell r="W36">
            <v>2050</v>
          </cell>
          <cell r="X36">
            <v>7545</v>
          </cell>
          <cell r="Y36">
            <v>6415</v>
          </cell>
          <cell r="Z36">
            <v>43</v>
          </cell>
          <cell r="AA36">
            <v>5938</v>
          </cell>
          <cell r="AB36">
            <v>287</v>
          </cell>
          <cell r="AC36">
            <v>147</v>
          </cell>
          <cell r="AD36">
            <v>1130</v>
          </cell>
          <cell r="AE36">
            <v>1111</v>
          </cell>
          <cell r="AF36">
            <v>19</v>
          </cell>
          <cell r="AG36">
            <v>40575</v>
          </cell>
          <cell r="AH36">
            <v>6014</v>
          </cell>
          <cell r="AI36">
            <v>5994</v>
          </cell>
          <cell r="AJ36">
            <v>20</v>
          </cell>
          <cell r="AK36">
            <v>29230</v>
          </cell>
          <cell r="AL36">
            <v>28255</v>
          </cell>
          <cell r="AM36">
            <v>975</v>
          </cell>
          <cell r="AN36">
            <v>342</v>
          </cell>
          <cell r="AO36">
            <v>184</v>
          </cell>
          <cell r="AP36">
            <v>158</v>
          </cell>
          <cell r="AQ36">
            <v>1281</v>
          </cell>
          <cell r="AR36">
            <v>639</v>
          </cell>
          <cell r="AS36">
            <v>18</v>
          </cell>
          <cell r="AT36">
            <v>624</v>
          </cell>
          <cell r="AU36">
            <v>0</v>
          </cell>
          <cell r="AV36">
            <v>3708</v>
          </cell>
          <cell r="AW36">
            <v>1927</v>
          </cell>
          <cell r="AX36">
            <v>1503</v>
          </cell>
          <cell r="AY36">
            <v>121</v>
          </cell>
          <cell r="AZ36">
            <v>157</v>
          </cell>
          <cell r="BA36">
            <v>0</v>
          </cell>
          <cell r="BB36">
            <v>8057</v>
          </cell>
          <cell r="BC36">
            <v>3116</v>
          </cell>
          <cell r="BD36">
            <v>2383</v>
          </cell>
          <cell r="BE36">
            <v>725</v>
          </cell>
          <cell r="BF36">
            <v>8</v>
          </cell>
          <cell r="BG36">
            <v>872</v>
          </cell>
          <cell r="BH36">
            <v>1314</v>
          </cell>
          <cell r="BI36">
            <v>1048</v>
          </cell>
          <cell r="BJ36">
            <v>171</v>
          </cell>
          <cell r="BK36">
            <v>95</v>
          </cell>
          <cell r="BL36">
            <v>819</v>
          </cell>
          <cell r="BM36">
            <v>710</v>
          </cell>
          <cell r="BN36">
            <v>79</v>
          </cell>
          <cell r="BO36">
            <v>631</v>
          </cell>
          <cell r="BP36">
            <v>1226</v>
          </cell>
          <cell r="BQ36">
            <v>753</v>
          </cell>
          <cell r="BR36">
            <v>473</v>
          </cell>
          <cell r="BS36">
            <v>2545</v>
          </cell>
          <cell r="BT36">
            <v>936</v>
          </cell>
          <cell r="BU36">
            <v>501</v>
          </cell>
          <cell r="BV36">
            <v>70</v>
          </cell>
          <cell r="BW36">
            <v>365</v>
          </cell>
          <cell r="BX36">
            <v>976</v>
          </cell>
          <cell r="BY36">
            <v>581</v>
          </cell>
          <cell r="BZ36">
            <v>322</v>
          </cell>
          <cell r="CA36">
            <v>73</v>
          </cell>
          <cell r="CB36">
            <v>633</v>
          </cell>
          <cell r="CC36">
            <v>21576</v>
          </cell>
          <cell r="CD36">
            <v>7877</v>
          </cell>
          <cell r="CE36">
            <v>7587</v>
          </cell>
          <cell r="CF36">
            <v>189</v>
          </cell>
          <cell r="CG36">
            <v>101</v>
          </cell>
          <cell r="CH36">
            <v>8351</v>
          </cell>
          <cell r="CI36">
            <v>832</v>
          </cell>
          <cell r="CJ36">
            <v>4108</v>
          </cell>
          <cell r="CK36">
            <v>2579</v>
          </cell>
          <cell r="CL36">
            <v>832</v>
          </cell>
          <cell r="CM36">
            <v>5348</v>
          </cell>
          <cell r="CN36">
            <v>934</v>
          </cell>
          <cell r="CO36">
            <v>1498</v>
          </cell>
          <cell r="CP36">
            <v>2080</v>
          </cell>
          <cell r="CQ36">
            <v>588</v>
          </cell>
          <cell r="CR36">
            <v>248</v>
          </cell>
          <cell r="CS36">
            <v>3630</v>
          </cell>
          <cell r="CT36">
            <v>254</v>
          </cell>
          <cell r="CU36">
            <v>382</v>
          </cell>
          <cell r="CV36">
            <v>2994</v>
          </cell>
          <cell r="CW36">
            <v>14750</v>
          </cell>
          <cell r="CX36">
            <v>3232</v>
          </cell>
          <cell r="CY36">
            <v>919</v>
          </cell>
          <cell r="CZ36">
            <v>296</v>
          </cell>
          <cell r="DA36">
            <v>897</v>
          </cell>
          <cell r="DB36">
            <v>1065</v>
          </cell>
          <cell r="DC36">
            <v>55</v>
          </cell>
          <cell r="DD36">
            <v>989</v>
          </cell>
          <cell r="DE36">
            <v>602</v>
          </cell>
          <cell r="DF36">
            <v>80</v>
          </cell>
          <cell r="DG36">
            <v>307</v>
          </cell>
          <cell r="DH36">
            <v>3420</v>
          </cell>
          <cell r="DI36">
            <v>905</v>
          </cell>
          <cell r="DJ36">
            <v>910</v>
          </cell>
          <cell r="DK36">
            <v>763</v>
          </cell>
          <cell r="DL36">
            <v>645</v>
          </cell>
          <cell r="DM36">
            <v>197</v>
          </cell>
          <cell r="DN36">
            <v>4944</v>
          </cell>
          <cell r="DO36">
            <v>984</v>
          </cell>
          <cell r="DP36">
            <v>2194</v>
          </cell>
          <cell r="DQ36">
            <v>1766</v>
          </cell>
          <cell r="DR36">
            <v>2165</v>
          </cell>
          <cell r="DS36">
            <v>407</v>
          </cell>
          <cell r="DT36">
            <v>954</v>
          </cell>
          <cell r="DU36">
            <v>479</v>
          </cell>
          <cell r="DV36">
            <v>325</v>
          </cell>
          <cell r="DW36">
            <v>0</v>
          </cell>
          <cell r="DX36">
            <v>1462</v>
          </cell>
          <cell r="DY36">
            <v>15432</v>
          </cell>
          <cell r="DZ36">
            <v>12506</v>
          </cell>
          <cell r="EA36">
            <v>11442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1064</v>
          </cell>
          <cell r="EG36">
            <v>2926</v>
          </cell>
          <cell r="EH36">
            <v>17923</v>
          </cell>
          <cell r="EI36">
            <v>2794</v>
          </cell>
          <cell r="EJ36">
            <v>773</v>
          </cell>
          <cell r="EK36">
            <v>39</v>
          </cell>
          <cell r="EL36">
            <v>1982</v>
          </cell>
          <cell r="EM36">
            <v>529</v>
          </cell>
          <cell r="EN36">
            <v>1093</v>
          </cell>
          <cell r="EO36">
            <v>922</v>
          </cell>
          <cell r="EP36">
            <v>171</v>
          </cell>
          <cell r="EQ36">
            <v>1476</v>
          </cell>
          <cell r="ER36">
            <v>3791</v>
          </cell>
          <cell r="ES36">
            <v>2565</v>
          </cell>
          <cell r="ET36">
            <v>281</v>
          </cell>
          <cell r="EU36">
            <v>319</v>
          </cell>
          <cell r="EV36">
            <v>260</v>
          </cell>
          <cell r="EW36">
            <v>366</v>
          </cell>
          <cell r="EX36">
            <v>6214</v>
          </cell>
          <cell r="EY36">
            <v>3395</v>
          </cell>
          <cell r="EZ36">
            <v>2819</v>
          </cell>
          <cell r="FA36">
            <v>2026</v>
          </cell>
          <cell r="FB36">
            <v>155323</v>
          </cell>
          <cell r="FC36">
            <v>117094</v>
          </cell>
          <cell r="FD36">
            <v>16575</v>
          </cell>
          <cell r="FE36">
            <v>4235</v>
          </cell>
          <cell r="FF36">
            <v>365</v>
          </cell>
          <cell r="FG36">
            <v>7877</v>
          </cell>
          <cell r="FH36">
            <v>382</v>
          </cell>
          <cell r="FI36">
            <v>2794</v>
          </cell>
          <cell r="FJ36">
            <v>922</v>
          </cell>
          <cell r="FK36">
            <v>67353</v>
          </cell>
          <cell r="FL36">
            <v>13773</v>
          </cell>
          <cell r="FM36">
            <v>7693</v>
          </cell>
          <cell r="FN36">
            <v>7379</v>
          </cell>
          <cell r="FO36">
            <v>4531</v>
          </cell>
          <cell r="FP36">
            <v>7481</v>
          </cell>
          <cell r="FQ36">
            <v>936</v>
          </cell>
          <cell r="FR36">
            <v>12817</v>
          </cell>
          <cell r="FS36">
            <v>382</v>
          </cell>
          <cell r="FT36">
            <v>9247</v>
          </cell>
          <cell r="FU36">
            <v>3114</v>
          </cell>
          <cell r="FV36">
            <v>36577</v>
          </cell>
          <cell r="FW36">
            <v>13773</v>
          </cell>
          <cell r="FX36">
            <v>7693</v>
          </cell>
          <cell r="FY36">
            <v>4531</v>
          </cell>
          <cell r="FZ36">
            <v>753</v>
          </cell>
          <cell r="GA36">
            <v>571</v>
          </cell>
          <cell r="GB36">
            <v>4108</v>
          </cell>
          <cell r="GC36">
            <v>3166</v>
          </cell>
          <cell r="GD36">
            <v>1982</v>
          </cell>
          <cell r="GE36">
            <v>362</v>
          </cell>
          <cell r="GF36">
            <v>-3655</v>
          </cell>
          <cell r="GG36">
            <v>4017</v>
          </cell>
          <cell r="GH36">
            <v>87608</v>
          </cell>
          <cell r="GI36">
            <v>166</v>
          </cell>
          <cell r="GJ36">
            <v>36044</v>
          </cell>
          <cell r="GK36">
            <v>576</v>
          </cell>
          <cell r="GL36">
            <v>1609</v>
          </cell>
          <cell r="GM36">
            <v>8759</v>
          </cell>
          <cell r="GN36">
            <v>3248</v>
          </cell>
          <cell r="GO36">
            <v>5503</v>
          </cell>
          <cell r="GP36">
            <v>1462</v>
          </cell>
          <cell r="GQ36">
            <v>15432</v>
          </cell>
          <cell r="GR36">
            <v>14809</v>
          </cell>
          <cell r="GS36">
            <v>14201</v>
          </cell>
          <cell r="GT36">
            <v>7379</v>
          </cell>
          <cell r="GU36">
            <v>2493</v>
          </cell>
          <cell r="GV36">
            <v>832</v>
          </cell>
          <cell r="GW36">
            <v>3287</v>
          </cell>
          <cell r="GX36">
            <v>210</v>
          </cell>
        </row>
        <row r="37">
          <cell r="A37" t="str">
            <v>1998 Q1</v>
          </cell>
          <cell r="B37">
            <v>156725</v>
          </cell>
          <cell r="C37">
            <v>13553</v>
          </cell>
          <cell r="D37">
            <v>12219</v>
          </cell>
          <cell r="E37">
            <v>2302</v>
          </cell>
          <cell r="F37">
            <v>2725</v>
          </cell>
          <cell r="G37">
            <v>466</v>
          </cell>
          <cell r="H37">
            <v>1876</v>
          </cell>
          <cell r="I37">
            <v>374</v>
          </cell>
          <cell r="J37">
            <v>882</v>
          </cell>
          <cell r="K37">
            <v>1766</v>
          </cell>
          <cell r="L37">
            <v>1303</v>
          </cell>
          <cell r="M37">
            <v>525</v>
          </cell>
          <cell r="N37">
            <v>1334</v>
          </cell>
          <cell r="O37">
            <v>292</v>
          </cell>
          <cell r="P37">
            <v>1042</v>
          </cell>
          <cell r="Q37">
            <v>7881</v>
          </cell>
          <cell r="R37">
            <v>2511</v>
          </cell>
          <cell r="S37">
            <v>672</v>
          </cell>
          <cell r="T37">
            <v>1032</v>
          </cell>
          <cell r="U37">
            <v>807</v>
          </cell>
          <cell r="V37">
            <v>3360</v>
          </cell>
          <cell r="W37">
            <v>2010</v>
          </cell>
          <cell r="X37">
            <v>7523</v>
          </cell>
          <cell r="Y37">
            <v>6454</v>
          </cell>
          <cell r="Z37">
            <v>31</v>
          </cell>
          <cell r="AA37">
            <v>6000</v>
          </cell>
          <cell r="AB37">
            <v>280</v>
          </cell>
          <cell r="AC37">
            <v>143</v>
          </cell>
          <cell r="AD37">
            <v>1069</v>
          </cell>
          <cell r="AE37">
            <v>1049</v>
          </cell>
          <cell r="AF37">
            <v>20</v>
          </cell>
          <cell r="AG37">
            <v>40894</v>
          </cell>
          <cell r="AH37">
            <v>6292</v>
          </cell>
          <cell r="AI37">
            <v>6271</v>
          </cell>
          <cell r="AJ37">
            <v>21</v>
          </cell>
          <cell r="AK37">
            <v>29489</v>
          </cell>
          <cell r="AL37">
            <v>28505</v>
          </cell>
          <cell r="AM37">
            <v>984</v>
          </cell>
          <cell r="AN37">
            <v>347</v>
          </cell>
          <cell r="AO37">
            <v>188</v>
          </cell>
          <cell r="AP37">
            <v>159</v>
          </cell>
          <cell r="AQ37">
            <v>1308</v>
          </cell>
          <cell r="AR37">
            <v>650</v>
          </cell>
          <cell r="AS37">
            <v>17</v>
          </cell>
          <cell r="AT37">
            <v>641</v>
          </cell>
          <cell r="AU37">
            <v>0</v>
          </cell>
          <cell r="AV37">
            <v>3458</v>
          </cell>
          <cell r="AW37">
            <v>1874</v>
          </cell>
          <cell r="AX37">
            <v>1343</v>
          </cell>
          <cell r="AY37">
            <v>106</v>
          </cell>
          <cell r="AZ37">
            <v>135</v>
          </cell>
          <cell r="BA37">
            <v>0</v>
          </cell>
          <cell r="BB37">
            <v>8256</v>
          </cell>
          <cell r="BC37">
            <v>3195</v>
          </cell>
          <cell r="BD37">
            <v>2467</v>
          </cell>
          <cell r="BE37">
            <v>719</v>
          </cell>
          <cell r="BF37">
            <v>9</v>
          </cell>
          <cell r="BG37">
            <v>922</v>
          </cell>
          <cell r="BH37">
            <v>1297</v>
          </cell>
          <cell r="BI37">
            <v>1038</v>
          </cell>
          <cell r="BJ37">
            <v>165</v>
          </cell>
          <cell r="BK37">
            <v>94</v>
          </cell>
          <cell r="BL37">
            <v>873</v>
          </cell>
          <cell r="BM37">
            <v>720</v>
          </cell>
          <cell r="BN37">
            <v>79</v>
          </cell>
          <cell r="BO37">
            <v>641</v>
          </cell>
          <cell r="BP37">
            <v>1249</v>
          </cell>
          <cell r="BQ37">
            <v>753</v>
          </cell>
          <cell r="BR37">
            <v>496</v>
          </cell>
          <cell r="BS37">
            <v>2559</v>
          </cell>
          <cell r="BT37">
            <v>968</v>
          </cell>
          <cell r="BU37">
            <v>523</v>
          </cell>
          <cell r="BV37">
            <v>71</v>
          </cell>
          <cell r="BW37">
            <v>374</v>
          </cell>
          <cell r="BX37">
            <v>981</v>
          </cell>
          <cell r="BY37">
            <v>556</v>
          </cell>
          <cell r="BZ37">
            <v>345</v>
          </cell>
          <cell r="CA37">
            <v>80</v>
          </cell>
          <cell r="CB37">
            <v>610</v>
          </cell>
          <cell r="CC37">
            <v>22219</v>
          </cell>
          <cell r="CD37">
            <v>7869</v>
          </cell>
          <cell r="CE37">
            <v>7569</v>
          </cell>
          <cell r="CF37">
            <v>202</v>
          </cell>
          <cell r="CG37">
            <v>98</v>
          </cell>
          <cell r="CH37">
            <v>8688</v>
          </cell>
          <cell r="CI37">
            <v>857</v>
          </cell>
          <cell r="CJ37">
            <v>4398</v>
          </cell>
          <cell r="CK37">
            <v>2607</v>
          </cell>
          <cell r="CL37">
            <v>826</v>
          </cell>
          <cell r="CM37">
            <v>5662</v>
          </cell>
          <cell r="CN37">
            <v>911</v>
          </cell>
          <cell r="CO37">
            <v>1498</v>
          </cell>
          <cell r="CP37">
            <v>2413</v>
          </cell>
          <cell r="CQ37">
            <v>589</v>
          </cell>
          <cell r="CR37">
            <v>251</v>
          </cell>
          <cell r="CS37">
            <v>3671</v>
          </cell>
          <cell r="CT37">
            <v>219</v>
          </cell>
          <cell r="CU37">
            <v>466</v>
          </cell>
          <cell r="CV37">
            <v>2986</v>
          </cell>
          <cell r="CW37">
            <v>15119</v>
          </cell>
          <cell r="CX37">
            <v>3334</v>
          </cell>
          <cell r="CY37">
            <v>936</v>
          </cell>
          <cell r="CZ37">
            <v>271</v>
          </cell>
          <cell r="DA37">
            <v>953</v>
          </cell>
          <cell r="DB37">
            <v>1113</v>
          </cell>
          <cell r="DC37">
            <v>61</v>
          </cell>
          <cell r="DD37">
            <v>1009</v>
          </cell>
          <cell r="DE37">
            <v>629</v>
          </cell>
          <cell r="DF37">
            <v>71</v>
          </cell>
          <cell r="DG37">
            <v>309</v>
          </cell>
          <cell r="DH37">
            <v>3498</v>
          </cell>
          <cell r="DI37">
            <v>1001</v>
          </cell>
          <cell r="DJ37">
            <v>887</v>
          </cell>
          <cell r="DK37">
            <v>791</v>
          </cell>
          <cell r="DL37">
            <v>616</v>
          </cell>
          <cell r="DM37">
            <v>203</v>
          </cell>
          <cell r="DN37">
            <v>5054</v>
          </cell>
          <cell r="DO37">
            <v>939</v>
          </cell>
          <cell r="DP37">
            <v>2304</v>
          </cell>
          <cell r="DQ37">
            <v>1811</v>
          </cell>
          <cell r="DR37">
            <v>2224</v>
          </cell>
          <cell r="DS37">
            <v>418</v>
          </cell>
          <cell r="DT37">
            <v>948</v>
          </cell>
          <cell r="DU37">
            <v>499</v>
          </cell>
          <cell r="DV37">
            <v>359</v>
          </cell>
          <cell r="DW37">
            <v>0</v>
          </cell>
          <cell r="DX37">
            <v>1492</v>
          </cell>
          <cell r="DY37">
            <v>15520</v>
          </cell>
          <cell r="DZ37">
            <v>12661</v>
          </cell>
          <cell r="EA37">
            <v>11560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1101</v>
          </cell>
          <cell r="EG37">
            <v>2859</v>
          </cell>
          <cell r="EH37">
            <v>18038</v>
          </cell>
          <cell r="EI37">
            <v>2820</v>
          </cell>
          <cell r="EJ37">
            <v>801</v>
          </cell>
          <cell r="EK37">
            <v>42</v>
          </cell>
          <cell r="EL37">
            <v>1977</v>
          </cell>
          <cell r="EM37">
            <v>536</v>
          </cell>
          <cell r="EN37">
            <v>1121</v>
          </cell>
          <cell r="EO37">
            <v>948</v>
          </cell>
          <cell r="EP37">
            <v>173</v>
          </cell>
          <cell r="EQ37">
            <v>1468</v>
          </cell>
          <cell r="ER37">
            <v>3895</v>
          </cell>
          <cell r="ES37">
            <v>2541</v>
          </cell>
          <cell r="ET37">
            <v>278</v>
          </cell>
          <cell r="EU37">
            <v>380</v>
          </cell>
          <cell r="EV37">
            <v>349</v>
          </cell>
          <cell r="EW37">
            <v>347</v>
          </cell>
          <cell r="EX37">
            <v>6409</v>
          </cell>
          <cell r="EY37">
            <v>3535</v>
          </cell>
          <cell r="EZ37">
            <v>2874</v>
          </cell>
          <cell r="FA37">
            <v>1789</v>
          </cell>
          <cell r="FB37">
            <v>157362</v>
          </cell>
          <cell r="FC37">
            <v>119289</v>
          </cell>
          <cell r="FD37">
            <v>16820</v>
          </cell>
          <cell r="FE37">
            <v>4303</v>
          </cell>
          <cell r="FF37">
            <v>374</v>
          </cell>
          <cell r="FG37">
            <v>7869</v>
          </cell>
          <cell r="FH37">
            <v>466</v>
          </cell>
          <cell r="FI37">
            <v>2860</v>
          </cell>
          <cell r="FJ37">
            <v>948</v>
          </cell>
          <cell r="FK37">
            <v>67937</v>
          </cell>
          <cell r="FL37">
            <v>13553</v>
          </cell>
          <cell r="FM37">
            <v>7881</v>
          </cell>
          <cell r="FN37">
            <v>7360</v>
          </cell>
          <cell r="FO37">
            <v>4296</v>
          </cell>
          <cell r="FP37">
            <v>7657</v>
          </cell>
          <cell r="FQ37">
            <v>968</v>
          </cell>
          <cell r="FR37">
            <v>13124</v>
          </cell>
          <cell r="FS37">
            <v>466</v>
          </cell>
          <cell r="FT37">
            <v>9492</v>
          </cell>
          <cell r="FU37">
            <v>3140</v>
          </cell>
          <cell r="FV37">
            <v>36665</v>
          </cell>
          <cell r="FW37">
            <v>13553</v>
          </cell>
          <cell r="FX37">
            <v>7881</v>
          </cell>
          <cell r="FY37">
            <v>4296</v>
          </cell>
          <cell r="FZ37">
            <v>753</v>
          </cell>
          <cell r="GA37">
            <v>594</v>
          </cell>
          <cell r="GB37">
            <v>4398</v>
          </cell>
          <cell r="GC37">
            <v>3213</v>
          </cell>
          <cell r="GD37">
            <v>1977</v>
          </cell>
          <cell r="GE37">
            <v>637</v>
          </cell>
          <cell r="GF37">
            <v>-3645</v>
          </cell>
          <cell r="GG37">
            <v>4282</v>
          </cell>
          <cell r="GH37">
            <v>88788</v>
          </cell>
          <cell r="GI37">
            <v>163</v>
          </cell>
          <cell r="GJ37">
            <v>36598</v>
          </cell>
          <cell r="GK37">
            <v>599</v>
          </cell>
          <cell r="GL37">
            <v>1591</v>
          </cell>
          <cell r="GM37">
            <v>9095</v>
          </cell>
          <cell r="GN37">
            <v>3205</v>
          </cell>
          <cell r="GO37">
            <v>5627</v>
          </cell>
          <cell r="GP37">
            <v>1492</v>
          </cell>
          <cell r="GQ37">
            <v>15520</v>
          </cell>
          <cell r="GR37">
            <v>14898</v>
          </cell>
          <cell r="GS37">
            <v>14452</v>
          </cell>
          <cell r="GT37">
            <v>7360</v>
          </cell>
          <cell r="GU37">
            <v>2601</v>
          </cell>
          <cell r="GV37">
            <v>857</v>
          </cell>
          <cell r="GW37">
            <v>3419</v>
          </cell>
          <cell r="GX37">
            <v>215</v>
          </cell>
        </row>
        <row r="38">
          <cell r="A38" t="str">
            <v>1998 Q2</v>
          </cell>
          <cell r="B38">
            <v>159018</v>
          </cell>
          <cell r="C38">
            <v>13827</v>
          </cell>
          <cell r="D38">
            <v>12422</v>
          </cell>
          <cell r="E38">
            <v>2349</v>
          </cell>
          <cell r="F38">
            <v>2776</v>
          </cell>
          <cell r="G38">
            <v>476</v>
          </cell>
          <cell r="H38">
            <v>1907</v>
          </cell>
          <cell r="I38">
            <v>394</v>
          </cell>
          <cell r="J38">
            <v>844</v>
          </cell>
          <cell r="K38">
            <v>1829</v>
          </cell>
          <cell r="L38">
            <v>1304</v>
          </cell>
          <cell r="M38">
            <v>543</v>
          </cell>
          <cell r="N38">
            <v>1405</v>
          </cell>
          <cell r="O38">
            <v>310</v>
          </cell>
          <cell r="P38">
            <v>1095</v>
          </cell>
          <cell r="Q38">
            <v>7922</v>
          </cell>
          <cell r="R38">
            <v>2637</v>
          </cell>
          <cell r="S38">
            <v>686</v>
          </cell>
          <cell r="T38">
            <v>1066</v>
          </cell>
          <cell r="U38">
            <v>885</v>
          </cell>
          <cell r="V38">
            <v>3315</v>
          </cell>
          <cell r="W38">
            <v>1970</v>
          </cell>
          <cell r="X38">
            <v>7754</v>
          </cell>
          <cell r="Y38">
            <v>6634</v>
          </cell>
          <cell r="Z38">
            <v>31</v>
          </cell>
          <cell r="AA38">
            <v>6175</v>
          </cell>
          <cell r="AB38">
            <v>281</v>
          </cell>
          <cell r="AC38">
            <v>147</v>
          </cell>
          <cell r="AD38">
            <v>1120</v>
          </cell>
          <cell r="AE38">
            <v>1097</v>
          </cell>
          <cell r="AF38">
            <v>23</v>
          </cell>
          <cell r="AG38">
            <v>41454</v>
          </cell>
          <cell r="AH38">
            <v>6392</v>
          </cell>
          <cell r="AI38">
            <v>6371</v>
          </cell>
          <cell r="AJ38">
            <v>21</v>
          </cell>
          <cell r="AK38">
            <v>29751</v>
          </cell>
          <cell r="AL38">
            <v>28760</v>
          </cell>
          <cell r="AM38">
            <v>991</v>
          </cell>
          <cell r="AN38">
            <v>339</v>
          </cell>
          <cell r="AO38">
            <v>196</v>
          </cell>
          <cell r="AP38">
            <v>143</v>
          </cell>
          <cell r="AQ38">
            <v>1335</v>
          </cell>
          <cell r="AR38">
            <v>662</v>
          </cell>
          <cell r="AS38">
            <v>18</v>
          </cell>
          <cell r="AT38">
            <v>655</v>
          </cell>
          <cell r="AU38">
            <v>0</v>
          </cell>
          <cell r="AV38">
            <v>3637</v>
          </cell>
          <cell r="AW38">
            <v>1895</v>
          </cell>
          <cell r="AX38">
            <v>1486</v>
          </cell>
          <cell r="AY38">
            <v>112</v>
          </cell>
          <cell r="AZ38">
            <v>144</v>
          </cell>
          <cell r="BA38">
            <v>0</v>
          </cell>
          <cell r="BB38">
            <v>8557</v>
          </cell>
          <cell r="BC38">
            <v>3372</v>
          </cell>
          <cell r="BD38">
            <v>2575</v>
          </cell>
          <cell r="BE38">
            <v>790</v>
          </cell>
          <cell r="BF38">
            <v>7</v>
          </cell>
          <cell r="BG38">
            <v>941</v>
          </cell>
          <cell r="BH38">
            <v>1302</v>
          </cell>
          <cell r="BI38">
            <v>1055</v>
          </cell>
          <cell r="BJ38">
            <v>170</v>
          </cell>
          <cell r="BK38">
            <v>77</v>
          </cell>
          <cell r="BL38">
            <v>927</v>
          </cell>
          <cell r="BM38">
            <v>765</v>
          </cell>
          <cell r="BN38">
            <v>84</v>
          </cell>
          <cell r="BO38">
            <v>681</v>
          </cell>
          <cell r="BP38">
            <v>1250</v>
          </cell>
          <cell r="BQ38">
            <v>755</v>
          </cell>
          <cell r="BR38">
            <v>495</v>
          </cell>
          <cell r="BS38">
            <v>2588</v>
          </cell>
          <cell r="BT38">
            <v>986</v>
          </cell>
          <cell r="BU38">
            <v>543</v>
          </cell>
          <cell r="BV38">
            <v>67</v>
          </cell>
          <cell r="BW38">
            <v>376</v>
          </cell>
          <cell r="BX38">
            <v>975</v>
          </cell>
          <cell r="BY38">
            <v>545</v>
          </cell>
          <cell r="BZ38">
            <v>349</v>
          </cell>
          <cell r="CA38">
            <v>81</v>
          </cell>
          <cell r="CB38">
            <v>627</v>
          </cell>
          <cell r="CC38">
            <v>21158</v>
          </cell>
          <cell r="CD38">
            <v>7201</v>
          </cell>
          <cell r="CE38">
            <v>6900</v>
          </cell>
          <cell r="CF38">
            <v>202</v>
          </cell>
          <cell r="CG38">
            <v>99</v>
          </cell>
          <cell r="CH38">
            <v>8532</v>
          </cell>
          <cell r="CI38">
            <v>1017</v>
          </cell>
          <cell r="CJ38">
            <v>4022</v>
          </cell>
          <cell r="CK38">
            <v>2647</v>
          </cell>
          <cell r="CL38">
            <v>846</v>
          </cell>
          <cell r="CM38">
            <v>5425</v>
          </cell>
          <cell r="CN38">
            <v>948</v>
          </cell>
          <cell r="CO38">
            <v>1529</v>
          </cell>
          <cell r="CP38">
            <v>2307</v>
          </cell>
          <cell r="CQ38">
            <v>394</v>
          </cell>
          <cell r="CR38">
            <v>247</v>
          </cell>
          <cell r="CS38">
            <v>3854</v>
          </cell>
          <cell r="CT38">
            <v>195</v>
          </cell>
          <cell r="CU38">
            <v>492</v>
          </cell>
          <cell r="CV38">
            <v>3167</v>
          </cell>
          <cell r="CW38">
            <v>15440</v>
          </cell>
          <cell r="CX38">
            <v>3512</v>
          </cell>
          <cell r="CY38">
            <v>982</v>
          </cell>
          <cell r="CZ38">
            <v>300</v>
          </cell>
          <cell r="DA38">
            <v>969</v>
          </cell>
          <cell r="DB38">
            <v>1198</v>
          </cell>
          <cell r="DC38">
            <v>63</v>
          </cell>
          <cell r="DD38">
            <v>1052</v>
          </cell>
          <cell r="DE38">
            <v>674</v>
          </cell>
          <cell r="DF38">
            <v>67</v>
          </cell>
          <cell r="DG38">
            <v>311</v>
          </cell>
          <cell r="DH38">
            <v>3568</v>
          </cell>
          <cell r="DI38">
            <v>1053</v>
          </cell>
          <cell r="DJ38">
            <v>839</v>
          </cell>
          <cell r="DK38">
            <v>831</v>
          </cell>
          <cell r="DL38">
            <v>624</v>
          </cell>
          <cell r="DM38">
            <v>221</v>
          </cell>
          <cell r="DN38">
            <v>4992</v>
          </cell>
          <cell r="DO38">
            <v>953</v>
          </cell>
          <cell r="DP38">
            <v>2266</v>
          </cell>
          <cell r="DQ38">
            <v>1773</v>
          </cell>
          <cell r="DR38">
            <v>2316</v>
          </cell>
          <cell r="DS38">
            <v>442</v>
          </cell>
          <cell r="DT38">
            <v>966</v>
          </cell>
          <cell r="DU38">
            <v>522</v>
          </cell>
          <cell r="DV38">
            <v>386</v>
          </cell>
          <cell r="DW38">
            <v>0</v>
          </cell>
          <cell r="DX38">
            <v>1521</v>
          </cell>
          <cell r="DY38">
            <v>16014</v>
          </cell>
          <cell r="DZ38">
            <v>12999</v>
          </cell>
          <cell r="EA38">
            <v>11794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1205</v>
          </cell>
          <cell r="EG38">
            <v>3015</v>
          </cell>
          <cell r="EH38">
            <v>18929</v>
          </cell>
          <cell r="EI38">
            <v>2926</v>
          </cell>
          <cell r="EJ38">
            <v>831</v>
          </cell>
          <cell r="EK38">
            <v>45</v>
          </cell>
          <cell r="EL38">
            <v>2050</v>
          </cell>
          <cell r="EM38">
            <v>544</v>
          </cell>
          <cell r="EN38">
            <v>1134</v>
          </cell>
          <cell r="EO38">
            <v>962</v>
          </cell>
          <cell r="EP38">
            <v>172</v>
          </cell>
          <cell r="EQ38">
            <v>1408</v>
          </cell>
          <cell r="ER38">
            <v>3927</v>
          </cell>
          <cell r="ES38">
            <v>2644</v>
          </cell>
          <cell r="ET38">
            <v>274</v>
          </cell>
          <cell r="EU38">
            <v>349</v>
          </cell>
          <cell r="EV38">
            <v>322</v>
          </cell>
          <cell r="EW38">
            <v>338</v>
          </cell>
          <cell r="EX38">
            <v>6673</v>
          </cell>
          <cell r="EY38">
            <v>3523</v>
          </cell>
          <cell r="EZ38">
            <v>3150</v>
          </cell>
          <cell r="FA38">
            <v>2317</v>
          </cell>
          <cell r="FB38">
            <v>159809</v>
          </cell>
          <cell r="FC38">
            <v>121244</v>
          </cell>
          <cell r="FD38">
            <v>16527</v>
          </cell>
          <cell r="FE38">
            <v>4504</v>
          </cell>
          <cell r="FF38">
            <v>376</v>
          </cell>
          <cell r="FG38">
            <v>7201</v>
          </cell>
          <cell r="FH38">
            <v>492</v>
          </cell>
          <cell r="FI38">
            <v>2992</v>
          </cell>
          <cell r="FJ38">
            <v>962</v>
          </cell>
          <cell r="FK38">
            <v>68606</v>
          </cell>
          <cell r="FL38">
            <v>13827</v>
          </cell>
          <cell r="FM38">
            <v>7922</v>
          </cell>
          <cell r="FN38">
            <v>7584</v>
          </cell>
          <cell r="FO38">
            <v>4495</v>
          </cell>
          <cell r="FP38">
            <v>7978</v>
          </cell>
          <cell r="FQ38">
            <v>986</v>
          </cell>
          <cell r="FR38">
            <v>12240</v>
          </cell>
          <cell r="FS38">
            <v>492</v>
          </cell>
          <cell r="FT38">
            <v>9853</v>
          </cell>
          <cell r="FU38">
            <v>3229</v>
          </cell>
          <cell r="FV38">
            <v>37010</v>
          </cell>
          <cell r="FW38">
            <v>13827</v>
          </cell>
          <cell r="FX38">
            <v>7922</v>
          </cell>
          <cell r="FY38">
            <v>4495</v>
          </cell>
          <cell r="FZ38">
            <v>755</v>
          </cell>
          <cell r="GA38">
            <v>610</v>
          </cell>
          <cell r="GB38">
            <v>4022</v>
          </cell>
          <cell r="GC38">
            <v>3329</v>
          </cell>
          <cell r="GD38">
            <v>2050</v>
          </cell>
          <cell r="GE38">
            <v>791</v>
          </cell>
          <cell r="GF38">
            <v>-3769</v>
          </cell>
          <cell r="GG38">
            <v>4560</v>
          </cell>
          <cell r="GH38">
            <v>90412</v>
          </cell>
          <cell r="GI38">
            <v>170</v>
          </cell>
          <cell r="GJ38">
            <v>36959</v>
          </cell>
          <cell r="GK38">
            <v>579</v>
          </cell>
          <cell r="GL38">
            <v>1602</v>
          </cell>
          <cell r="GM38">
            <v>8918</v>
          </cell>
          <cell r="GN38">
            <v>3362</v>
          </cell>
          <cell r="GO38">
            <v>5587</v>
          </cell>
          <cell r="GP38">
            <v>1521</v>
          </cell>
          <cell r="GQ38">
            <v>16014</v>
          </cell>
          <cell r="GR38">
            <v>15700</v>
          </cell>
          <cell r="GS38">
            <v>15069</v>
          </cell>
          <cell r="GT38">
            <v>7584</v>
          </cell>
          <cell r="GU38">
            <v>2719</v>
          </cell>
          <cell r="GV38">
            <v>1017</v>
          </cell>
          <cell r="GW38">
            <v>3532</v>
          </cell>
          <cell r="GX38">
            <v>217</v>
          </cell>
        </row>
        <row r="39">
          <cell r="A39" t="str">
            <v>1998 Q3</v>
          </cell>
          <cell r="B39">
            <v>162600</v>
          </cell>
          <cell r="C39">
            <v>14104</v>
          </cell>
          <cell r="D39">
            <v>12633</v>
          </cell>
          <cell r="E39">
            <v>2395</v>
          </cell>
          <cell r="F39">
            <v>2736</v>
          </cell>
          <cell r="G39">
            <v>486</v>
          </cell>
          <cell r="H39">
            <v>1819</v>
          </cell>
          <cell r="I39">
            <v>375</v>
          </cell>
          <cell r="J39">
            <v>977</v>
          </cell>
          <cell r="K39">
            <v>1921</v>
          </cell>
          <cell r="L39">
            <v>1363</v>
          </cell>
          <cell r="M39">
            <v>561</v>
          </cell>
          <cell r="N39">
            <v>1471</v>
          </cell>
          <cell r="O39">
            <v>334</v>
          </cell>
          <cell r="P39">
            <v>1137</v>
          </cell>
          <cell r="Q39">
            <v>7762</v>
          </cell>
          <cell r="R39">
            <v>2534</v>
          </cell>
          <cell r="S39">
            <v>695</v>
          </cell>
          <cell r="T39">
            <v>1056</v>
          </cell>
          <cell r="U39">
            <v>783</v>
          </cell>
          <cell r="V39">
            <v>3292</v>
          </cell>
          <cell r="W39">
            <v>1936</v>
          </cell>
          <cell r="X39">
            <v>7945</v>
          </cell>
          <cell r="Y39">
            <v>6807</v>
          </cell>
          <cell r="Z39">
            <v>33</v>
          </cell>
          <cell r="AA39">
            <v>6336</v>
          </cell>
          <cell r="AB39">
            <v>280</v>
          </cell>
          <cell r="AC39">
            <v>158</v>
          </cell>
          <cell r="AD39">
            <v>1138</v>
          </cell>
          <cell r="AE39">
            <v>1114</v>
          </cell>
          <cell r="AF39">
            <v>24</v>
          </cell>
          <cell r="AG39">
            <v>41842</v>
          </cell>
          <cell r="AH39">
            <v>6441</v>
          </cell>
          <cell r="AI39">
            <v>6420</v>
          </cell>
          <cell r="AJ39">
            <v>21</v>
          </cell>
          <cell r="AK39">
            <v>30060</v>
          </cell>
          <cell r="AL39">
            <v>29055</v>
          </cell>
          <cell r="AM39">
            <v>1005</v>
          </cell>
          <cell r="AN39">
            <v>327</v>
          </cell>
          <cell r="AO39">
            <v>199</v>
          </cell>
          <cell r="AP39">
            <v>128</v>
          </cell>
          <cell r="AQ39">
            <v>1326</v>
          </cell>
          <cell r="AR39">
            <v>662</v>
          </cell>
          <cell r="AS39">
            <v>17</v>
          </cell>
          <cell r="AT39">
            <v>647</v>
          </cell>
          <cell r="AU39">
            <v>0</v>
          </cell>
          <cell r="AV39">
            <v>3688</v>
          </cell>
          <cell r="AW39">
            <v>1869</v>
          </cell>
          <cell r="AX39">
            <v>1572</v>
          </cell>
          <cell r="AY39">
            <v>106</v>
          </cell>
          <cell r="AZ39">
            <v>141</v>
          </cell>
          <cell r="BA39">
            <v>0</v>
          </cell>
          <cell r="BB39">
            <v>8744</v>
          </cell>
          <cell r="BC39">
            <v>3454</v>
          </cell>
          <cell r="BD39">
            <v>2615</v>
          </cell>
          <cell r="BE39">
            <v>830</v>
          </cell>
          <cell r="BF39">
            <v>9</v>
          </cell>
          <cell r="BG39">
            <v>950</v>
          </cell>
          <cell r="BH39">
            <v>1333</v>
          </cell>
          <cell r="BI39">
            <v>1075</v>
          </cell>
          <cell r="BJ39">
            <v>178</v>
          </cell>
          <cell r="BK39">
            <v>80</v>
          </cell>
          <cell r="BL39">
            <v>972</v>
          </cell>
          <cell r="BM39">
            <v>774</v>
          </cell>
          <cell r="BN39">
            <v>86</v>
          </cell>
          <cell r="BO39">
            <v>688</v>
          </cell>
          <cell r="BP39">
            <v>1261</v>
          </cell>
          <cell r="BQ39">
            <v>761</v>
          </cell>
          <cell r="BR39">
            <v>500</v>
          </cell>
          <cell r="BS39">
            <v>2534</v>
          </cell>
          <cell r="BT39">
            <v>1013</v>
          </cell>
          <cell r="BU39">
            <v>561</v>
          </cell>
          <cell r="BV39">
            <v>72</v>
          </cell>
          <cell r="BW39">
            <v>380</v>
          </cell>
          <cell r="BX39">
            <v>899</v>
          </cell>
          <cell r="BY39">
            <v>508</v>
          </cell>
          <cell r="BZ39">
            <v>322</v>
          </cell>
          <cell r="CA39">
            <v>69</v>
          </cell>
          <cell r="CB39">
            <v>622</v>
          </cell>
          <cell r="CC39">
            <v>22950</v>
          </cell>
          <cell r="CD39">
            <v>8797</v>
          </cell>
          <cell r="CE39">
            <v>8486</v>
          </cell>
          <cell r="CF39">
            <v>207</v>
          </cell>
          <cell r="CG39">
            <v>104</v>
          </cell>
          <cell r="CH39">
            <v>8691</v>
          </cell>
          <cell r="CI39">
            <v>1035</v>
          </cell>
          <cell r="CJ39">
            <v>4137</v>
          </cell>
          <cell r="CK39">
            <v>2660</v>
          </cell>
          <cell r="CL39">
            <v>859</v>
          </cell>
          <cell r="CM39">
            <v>5462</v>
          </cell>
          <cell r="CN39">
            <v>972</v>
          </cell>
          <cell r="CO39">
            <v>1526</v>
          </cell>
          <cell r="CP39">
            <v>2360</v>
          </cell>
          <cell r="CQ39">
            <v>361</v>
          </cell>
          <cell r="CR39">
            <v>243</v>
          </cell>
          <cell r="CS39">
            <v>3875</v>
          </cell>
          <cell r="CT39">
            <v>186</v>
          </cell>
          <cell r="CU39">
            <v>515</v>
          </cell>
          <cell r="CV39">
            <v>3174</v>
          </cell>
          <cell r="CW39">
            <v>15653</v>
          </cell>
          <cell r="CX39">
            <v>3644</v>
          </cell>
          <cell r="CY39">
            <v>1024</v>
          </cell>
          <cell r="CZ39">
            <v>311</v>
          </cell>
          <cell r="DA39">
            <v>983</v>
          </cell>
          <cell r="DB39">
            <v>1263</v>
          </cell>
          <cell r="DC39">
            <v>63</v>
          </cell>
          <cell r="DD39">
            <v>1111</v>
          </cell>
          <cell r="DE39">
            <v>735</v>
          </cell>
          <cell r="DF39">
            <v>62</v>
          </cell>
          <cell r="DG39">
            <v>314</v>
          </cell>
          <cell r="DH39">
            <v>3582</v>
          </cell>
          <cell r="DI39">
            <v>1145</v>
          </cell>
          <cell r="DJ39">
            <v>823</v>
          </cell>
          <cell r="DK39">
            <v>760</v>
          </cell>
          <cell r="DL39">
            <v>622</v>
          </cell>
          <cell r="DM39">
            <v>232</v>
          </cell>
          <cell r="DN39">
            <v>4970</v>
          </cell>
          <cell r="DO39">
            <v>984</v>
          </cell>
          <cell r="DP39">
            <v>2222</v>
          </cell>
          <cell r="DQ39">
            <v>1764</v>
          </cell>
          <cell r="DR39">
            <v>2346</v>
          </cell>
          <cell r="DS39">
            <v>446</v>
          </cell>
          <cell r="DT39">
            <v>972</v>
          </cell>
          <cell r="DU39">
            <v>530</v>
          </cell>
          <cell r="DV39">
            <v>398</v>
          </cell>
          <cell r="DW39">
            <v>0</v>
          </cell>
          <cell r="DX39">
            <v>1548</v>
          </cell>
          <cell r="DY39">
            <v>16259</v>
          </cell>
          <cell r="DZ39">
            <v>13262</v>
          </cell>
          <cell r="EA39">
            <v>12075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1187</v>
          </cell>
          <cell r="EG39">
            <v>2997</v>
          </cell>
          <cell r="EH39">
            <v>19384</v>
          </cell>
          <cell r="EI39">
            <v>3019</v>
          </cell>
          <cell r="EJ39">
            <v>859</v>
          </cell>
          <cell r="EK39">
            <v>49</v>
          </cell>
          <cell r="EL39">
            <v>2111</v>
          </cell>
          <cell r="EM39">
            <v>551</v>
          </cell>
          <cell r="EN39">
            <v>1143</v>
          </cell>
          <cell r="EO39">
            <v>967</v>
          </cell>
          <cell r="EP39">
            <v>176</v>
          </cell>
          <cell r="EQ39">
            <v>1428</v>
          </cell>
          <cell r="ER39">
            <v>3839</v>
          </cell>
          <cell r="ES39">
            <v>2749</v>
          </cell>
          <cell r="ET39">
            <v>255</v>
          </cell>
          <cell r="EU39">
            <v>281</v>
          </cell>
          <cell r="EV39">
            <v>240</v>
          </cell>
          <cell r="EW39">
            <v>314</v>
          </cell>
          <cell r="EX39">
            <v>7117</v>
          </cell>
          <cell r="EY39">
            <v>3664</v>
          </cell>
          <cell r="EZ39">
            <v>3453</v>
          </cell>
          <cell r="FA39">
            <v>2287</v>
          </cell>
          <cell r="FB39">
            <v>163542</v>
          </cell>
          <cell r="FC39">
            <v>122011</v>
          </cell>
          <cell r="FD39">
            <v>18380</v>
          </cell>
          <cell r="FE39">
            <v>4606</v>
          </cell>
          <cell r="FF39">
            <v>380</v>
          </cell>
          <cell r="FG39">
            <v>8797</v>
          </cell>
          <cell r="FH39">
            <v>515</v>
          </cell>
          <cell r="FI39">
            <v>3115</v>
          </cell>
          <cell r="FJ39">
            <v>967</v>
          </cell>
          <cell r="FK39">
            <v>71207</v>
          </cell>
          <cell r="FL39">
            <v>14104</v>
          </cell>
          <cell r="FM39">
            <v>7762</v>
          </cell>
          <cell r="FN39">
            <v>7763</v>
          </cell>
          <cell r="FO39">
            <v>4549</v>
          </cell>
          <cell r="FP39">
            <v>8155</v>
          </cell>
          <cell r="FQ39">
            <v>1013</v>
          </cell>
          <cell r="FR39">
            <v>13969</v>
          </cell>
          <cell r="FS39">
            <v>515</v>
          </cell>
          <cell r="FT39">
            <v>10074</v>
          </cell>
          <cell r="FU39">
            <v>3303</v>
          </cell>
          <cell r="FV39">
            <v>37339</v>
          </cell>
          <cell r="FW39">
            <v>14104</v>
          </cell>
          <cell r="FX39">
            <v>7762</v>
          </cell>
          <cell r="FY39">
            <v>4549</v>
          </cell>
          <cell r="FZ39">
            <v>761</v>
          </cell>
          <cell r="GA39">
            <v>633</v>
          </cell>
          <cell r="GB39">
            <v>4137</v>
          </cell>
          <cell r="GC39">
            <v>3282</v>
          </cell>
          <cell r="GD39">
            <v>2111</v>
          </cell>
          <cell r="GE39">
            <v>942</v>
          </cell>
          <cell r="GF39">
            <v>-3777</v>
          </cell>
          <cell r="GG39">
            <v>4719</v>
          </cell>
          <cell r="GH39">
            <v>91393</v>
          </cell>
          <cell r="GI39">
            <v>182</v>
          </cell>
          <cell r="GJ39">
            <v>37293</v>
          </cell>
          <cell r="GK39">
            <v>589</v>
          </cell>
          <cell r="GL39">
            <v>1521</v>
          </cell>
          <cell r="GM39">
            <v>8981</v>
          </cell>
          <cell r="GN39">
            <v>3360</v>
          </cell>
          <cell r="GO39">
            <v>5579</v>
          </cell>
          <cell r="GP39">
            <v>1548</v>
          </cell>
          <cell r="GQ39">
            <v>16259</v>
          </cell>
          <cell r="GR39">
            <v>16081</v>
          </cell>
          <cell r="GS39">
            <v>15488</v>
          </cell>
          <cell r="GT39">
            <v>7763</v>
          </cell>
          <cell r="GU39">
            <v>2788</v>
          </cell>
          <cell r="GV39">
            <v>1035</v>
          </cell>
          <cell r="GW39">
            <v>3677</v>
          </cell>
          <cell r="GX39">
            <v>225</v>
          </cell>
        </row>
        <row r="40">
          <cell r="A40" t="str">
            <v>1998 Q4</v>
          </cell>
          <cell r="B40">
            <v>163026</v>
          </cell>
          <cell r="C40">
            <v>14038</v>
          </cell>
          <cell r="D40">
            <v>12533</v>
          </cell>
          <cell r="E40">
            <v>2351</v>
          </cell>
          <cell r="F40">
            <v>2711</v>
          </cell>
          <cell r="G40">
            <v>487</v>
          </cell>
          <cell r="H40">
            <v>1810</v>
          </cell>
          <cell r="I40">
            <v>410</v>
          </cell>
          <cell r="J40">
            <v>934</v>
          </cell>
          <cell r="K40">
            <v>1910</v>
          </cell>
          <cell r="L40">
            <v>1331</v>
          </cell>
          <cell r="M40">
            <v>589</v>
          </cell>
          <cell r="N40">
            <v>1505</v>
          </cell>
          <cell r="O40">
            <v>344</v>
          </cell>
          <cell r="P40">
            <v>1161</v>
          </cell>
          <cell r="Q40">
            <v>7734</v>
          </cell>
          <cell r="R40">
            <v>2529</v>
          </cell>
          <cell r="S40">
            <v>688</v>
          </cell>
          <cell r="T40">
            <v>1053</v>
          </cell>
          <cell r="U40">
            <v>788</v>
          </cell>
          <cell r="V40">
            <v>3294</v>
          </cell>
          <cell r="W40">
            <v>1911</v>
          </cell>
          <cell r="X40">
            <v>7858</v>
          </cell>
          <cell r="Y40">
            <v>6710</v>
          </cell>
          <cell r="Z40">
            <v>39</v>
          </cell>
          <cell r="AA40">
            <v>6238</v>
          </cell>
          <cell r="AB40">
            <v>262</v>
          </cell>
          <cell r="AC40">
            <v>171</v>
          </cell>
          <cell r="AD40">
            <v>1148</v>
          </cell>
          <cell r="AE40">
            <v>1123</v>
          </cell>
          <cell r="AF40">
            <v>25</v>
          </cell>
          <cell r="AG40">
            <v>42290</v>
          </cell>
          <cell r="AH40">
            <v>6521</v>
          </cell>
          <cell r="AI40">
            <v>6499</v>
          </cell>
          <cell r="AJ40">
            <v>22</v>
          </cell>
          <cell r="AK40">
            <v>30580</v>
          </cell>
          <cell r="AL40">
            <v>29557</v>
          </cell>
          <cell r="AM40">
            <v>1023</v>
          </cell>
          <cell r="AN40">
            <v>335</v>
          </cell>
          <cell r="AO40">
            <v>197</v>
          </cell>
          <cell r="AP40">
            <v>138</v>
          </cell>
          <cell r="AQ40">
            <v>1315</v>
          </cell>
          <cell r="AR40">
            <v>662</v>
          </cell>
          <cell r="AS40">
            <v>18</v>
          </cell>
          <cell r="AT40">
            <v>635</v>
          </cell>
          <cell r="AU40">
            <v>0</v>
          </cell>
          <cell r="AV40">
            <v>3539</v>
          </cell>
          <cell r="AW40">
            <v>1901</v>
          </cell>
          <cell r="AX40">
            <v>1386</v>
          </cell>
          <cell r="AY40">
            <v>96</v>
          </cell>
          <cell r="AZ40">
            <v>156</v>
          </cell>
          <cell r="BA40">
            <v>0</v>
          </cell>
          <cell r="BB40">
            <v>8745</v>
          </cell>
          <cell r="BC40">
            <v>3440</v>
          </cell>
          <cell r="BD40">
            <v>2587</v>
          </cell>
          <cell r="BE40">
            <v>843</v>
          </cell>
          <cell r="BF40">
            <v>10</v>
          </cell>
          <cell r="BG40">
            <v>913</v>
          </cell>
          <cell r="BH40">
            <v>1381</v>
          </cell>
          <cell r="BI40">
            <v>1090</v>
          </cell>
          <cell r="BJ40">
            <v>182</v>
          </cell>
          <cell r="BK40">
            <v>109</v>
          </cell>
          <cell r="BL40">
            <v>980</v>
          </cell>
          <cell r="BM40">
            <v>753</v>
          </cell>
          <cell r="BN40">
            <v>84</v>
          </cell>
          <cell r="BO40">
            <v>669</v>
          </cell>
          <cell r="BP40">
            <v>1278</v>
          </cell>
          <cell r="BQ40">
            <v>777</v>
          </cell>
          <cell r="BR40">
            <v>501</v>
          </cell>
          <cell r="BS40">
            <v>2476</v>
          </cell>
          <cell r="BT40">
            <v>1003</v>
          </cell>
          <cell r="BU40">
            <v>537</v>
          </cell>
          <cell r="BV40">
            <v>71</v>
          </cell>
          <cell r="BW40">
            <v>395</v>
          </cell>
          <cell r="BX40">
            <v>871</v>
          </cell>
          <cell r="BY40">
            <v>514</v>
          </cell>
          <cell r="BZ40">
            <v>298</v>
          </cell>
          <cell r="CA40">
            <v>59</v>
          </cell>
          <cell r="CB40">
            <v>602</v>
          </cell>
          <cell r="CC40">
            <v>22719</v>
          </cell>
          <cell r="CD40">
            <v>8115</v>
          </cell>
          <cell r="CE40">
            <v>7803</v>
          </cell>
          <cell r="CF40">
            <v>201</v>
          </cell>
          <cell r="CG40">
            <v>111</v>
          </cell>
          <cell r="CH40">
            <v>8661</v>
          </cell>
          <cell r="CI40">
            <v>981</v>
          </cell>
          <cell r="CJ40">
            <v>4134</v>
          </cell>
          <cell r="CK40">
            <v>2696</v>
          </cell>
          <cell r="CL40">
            <v>850</v>
          </cell>
          <cell r="CM40">
            <v>5943</v>
          </cell>
          <cell r="CN40">
            <v>958</v>
          </cell>
          <cell r="CO40">
            <v>1506</v>
          </cell>
          <cell r="CP40">
            <v>2504</v>
          </cell>
          <cell r="CQ40">
            <v>720</v>
          </cell>
          <cell r="CR40">
            <v>255</v>
          </cell>
          <cell r="CS40">
            <v>3944</v>
          </cell>
          <cell r="CT40">
            <v>179</v>
          </cell>
          <cell r="CU40">
            <v>560</v>
          </cell>
          <cell r="CV40">
            <v>3205</v>
          </cell>
          <cell r="CW40">
            <v>16129</v>
          </cell>
          <cell r="CX40">
            <v>3697</v>
          </cell>
          <cell r="CY40">
            <v>1083</v>
          </cell>
          <cell r="CZ40">
            <v>279</v>
          </cell>
          <cell r="DA40">
            <v>967</v>
          </cell>
          <cell r="DB40">
            <v>1310</v>
          </cell>
          <cell r="DC40">
            <v>58</v>
          </cell>
          <cell r="DD40">
            <v>1190</v>
          </cell>
          <cell r="DE40">
            <v>809</v>
          </cell>
          <cell r="DF40">
            <v>64</v>
          </cell>
          <cell r="DG40">
            <v>317</v>
          </cell>
          <cell r="DH40">
            <v>3730</v>
          </cell>
          <cell r="DI40">
            <v>1213</v>
          </cell>
          <cell r="DJ40">
            <v>793</v>
          </cell>
          <cell r="DK40">
            <v>835</v>
          </cell>
          <cell r="DL40">
            <v>638</v>
          </cell>
          <cell r="DM40">
            <v>251</v>
          </cell>
          <cell r="DN40">
            <v>5134</v>
          </cell>
          <cell r="DO40">
            <v>1036</v>
          </cell>
          <cell r="DP40">
            <v>2343</v>
          </cell>
          <cell r="DQ40">
            <v>1755</v>
          </cell>
          <cell r="DR40">
            <v>2378</v>
          </cell>
          <cell r="DS40">
            <v>455</v>
          </cell>
          <cell r="DT40">
            <v>992</v>
          </cell>
          <cell r="DU40">
            <v>523</v>
          </cell>
          <cell r="DV40">
            <v>408</v>
          </cell>
          <cell r="DW40">
            <v>0</v>
          </cell>
          <cell r="DX40">
            <v>1572</v>
          </cell>
          <cell r="DY40">
            <v>16367</v>
          </cell>
          <cell r="DZ40">
            <v>13409</v>
          </cell>
          <cell r="EA40">
            <v>12256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1153</v>
          </cell>
          <cell r="EG40">
            <v>2958</v>
          </cell>
          <cell r="EH40">
            <v>19154</v>
          </cell>
          <cell r="EI40">
            <v>3093</v>
          </cell>
          <cell r="EJ40">
            <v>889</v>
          </cell>
          <cell r="EK40">
            <v>48</v>
          </cell>
          <cell r="EL40">
            <v>2156</v>
          </cell>
          <cell r="EM40">
            <v>562</v>
          </cell>
          <cell r="EN40">
            <v>1129</v>
          </cell>
          <cell r="EO40">
            <v>958</v>
          </cell>
          <cell r="EP40">
            <v>171</v>
          </cell>
          <cell r="EQ40">
            <v>1442</v>
          </cell>
          <cell r="ER40">
            <v>3775</v>
          </cell>
          <cell r="ES40">
            <v>2855</v>
          </cell>
          <cell r="ET40">
            <v>221</v>
          </cell>
          <cell r="EU40">
            <v>236</v>
          </cell>
          <cell r="EV40">
            <v>174</v>
          </cell>
          <cell r="EW40">
            <v>289</v>
          </cell>
          <cell r="EX40">
            <v>6781</v>
          </cell>
          <cell r="EY40">
            <v>3518</v>
          </cell>
          <cell r="EZ40">
            <v>3263</v>
          </cell>
          <cell r="FA40">
            <v>2372</v>
          </cell>
          <cell r="FB40">
            <v>163895</v>
          </cell>
          <cell r="FC40">
            <v>124502</v>
          </cell>
          <cell r="FD40">
            <v>17834</v>
          </cell>
          <cell r="FE40">
            <v>4604</v>
          </cell>
          <cell r="FF40">
            <v>395</v>
          </cell>
          <cell r="FG40">
            <v>8115</v>
          </cell>
          <cell r="FH40">
            <v>560</v>
          </cell>
          <cell r="FI40">
            <v>3202</v>
          </cell>
          <cell r="FJ40">
            <v>958</v>
          </cell>
          <cell r="FK40">
            <v>70452</v>
          </cell>
          <cell r="FL40">
            <v>14038</v>
          </cell>
          <cell r="FM40">
            <v>7734</v>
          </cell>
          <cell r="FN40">
            <v>7662</v>
          </cell>
          <cell r="FO40">
            <v>4398</v>
          </cell>
          <cell r="FP40">
            <v>8125</v>
          </cell>
          <cell r="FQ40">
            <v>1003</v>
          </cell>
          <cell r="FR40">
            <v>13230</v>
          </cell>
          <cell r="FS40">
            <v>560</v>
          </cell>
          <cell r="FT40">
            <v>10369</v>
          </cell>
          <cell r="FU40">
            <v>3333</v>
          </cell>
          <cell r="FV40">
            <v>37241</v>
          </cell>
          <cell r="FW40">
            <v>14038</v>
          </cell>
          <cell r="FX40">
            <v>7734</v>
          </cell>
          <cell r="FY40">
            <v>4398</v>
          </cell>
          <cell r="FZ40">
            <v>777</v>
          </cell>
          <cell r="GA40">
            <v>608</v>
          </cell>
          <cell r="GB40">
            <v>4134</v>
          </cell>
          <cell r="GC40">
            <v>3396</v>
          </cell>
          <cell r="GD40">
            <v>2156</v>
          </cell>
          <cell r="GE40">
            <v>869</v>
          </cell>
          <cell r="GF40">
            <v>-3835</v>
          </cell>
          <cell r="GG40">
            <v>4704</v>
          </cell>
          <cell r="GH40">
            <v>92574</v>
          </cell>
          <cell r="GI40">
            <v>196</v>
          </cell>
          <cell r="GJ40">
            <v>37892</v>
          </cell>
          <cell r="GK40">
            <v>620</v>
          </cell>
          <cell r="GL40">
            <v>1473</v>
          </cell>
          <cell r="GM40">
            <v>9489</v>
          </cell>
          <cell r="GN40">
            <v>3384</v>
          </cell>
          <cell r="GO40">
            <v>5760</v>
          </cell>
          <cell r="GP40">
            <v>1572</v>
          </cell>
          <cell r="GQ40">
            <v>16367</v>
          </cell>
          <cell r="GR40">
            <v>15821</v>
          </cell>
          <cell r="GS40">
            <v>15377</v>
          </cell>
          <cell r="GT40">
            <v>7662</v>
          </cell>
          <cell r="GU40">
            <v>2744</v>
          </cell>
          <cell r="GV40">
            <v>981</v>
          </cell>
          <cell r="GW40">
            <v>3771</v>
          </cell>
          <cell r="GX40">
            <v>219</v>
          </cell>
        </row>
        <row r="41">
          <cell r="A41" t="str">
            <v>1999 Q1</v>
          </cell>
          <cell r="B41">
            <v>165037</v>
          </cell>
          <cell r="C41">
            <v>14142</v>
          </cell>
          <cell r="D41">
            <v>12579</v>
          </cell>
          <cell r="E41">
            <v>2341</v>
          </cell>
          <cell r="F41">
            <v>2806</v>
          </cell>
          <cell r="G41">
            <v>468</v>
          </cell>
          <cell r="H41">
            <v>1803</v>
          </cell>
          <cell r="I41">
            <v>432</v>
          </cell>
          <cell r="J41">
            <v>925</v>
          </cell>
          <cell r="K41">
            <v>1967</v>
          </cell>
          <cell r="L41">
            <v>1272</v>
          </cell>
          <cell r="M41">
            <v>565</v>
          </cell>
          <cell r="N41">
            <v>1563</v>
          </cell>
          <cell r="O41">
            <v>350</v>
          </cell>
          <cell r="P41">
            <v>1213</v>
          </cell>
          <cell r="Q41">
            <v>8014</v>
          </cell>
          <cell r="R41">
            <v>2609</v>
          </cell>
          <cell r="S41">
            <v>726</v>
          </cell>
          <cell r="T41">
            <v>1106</v>
          </cell>
          <cell r="U41">
            <v>777</v>
          </cell>
          <cell r="V41">
            <v>3510</v>
          </cell>
          <cell r="W41">
            <v>1895</v>
          </cell>
          <cell r="X41">
            <v>7999</v>
          </cell>
          <cell r="Y41">
            <v>6863</v>
          </cell>
          <cell r="Z41">
            <v>34</v>
          </cell>
          <cell r="AA41">
            <v>6351</v>
          </cell>
          <cell r="AB41">
            <v>302</v>
          </cell>
          <cell r="AC41">
            <v>176</v>
          </cell>
          <cell r="AD41">
            <v>1136</v>
          </cell>
          <cell r="AE41">
            <v>1114</v>
          </cell>
          <cell r="AF41">
            <v>22</v>
          </cell>
          <cell r="AG41">
            <v>42462</v>
          </cell>
          <cell r="AH41">
            <v>6432</v>
          </cell>
          <cell r="AI41">
            <v>6410</v>
          </cell>
          <cell r="AJ41">
            <v>22</v>
          </cell>
          <cell r="AK41">
            <v>30896</v>
          </cell>
          <cell r="AL41">
            <v>29838</v>
          </cell>
          <cell r="AM41">
            <v>1058</v>
          </cell>
          <cell r="AN41">
            <v>358</v>
          </cell>
          <cell r="AO41">
            <v>201</v>
          </cell>
          <cell r="AP41">
            <v>157</v>
          </cell>
          <cell r="AQ41">
            <v>1290</v>
          </cell>
          <cell r="AR41">
            <v>656</v>
          </cell>
          <cell r="AS41">
            <v>16</v>
          </cell>
          <cell r="AT41">
            <v>618</v>
          </cell>
          <cell r="AU41">
            <v>0</v>
          </cell>
          <cell r="AV41">
            <v>3486</v>
          </cell>
          <cell r="AW41">
            <v>1818</v>
          </cell>
          <cell r="AX41">
            <v>1409</v>
          </cell>
          <cell r="AY41">
            <v>95</v>
          </cell>
          <cell r="AZ41">
            <v>164</v>
          </cell>
          <cell r="BA41">
            <v>0</v>
          </cell>
          <cell r="BB41">
            <v>8706</v>
          </cell>
          <cell r="BC41">
            <v>3443</v>
          </cell>
          <cell r="BD41">
            <v>2626</v>
          </cell>
          <cell r="BE41">
            <v>807</v>
          </cell>
          <cell r="BF41">
            <v>10</v>
          </cell>
          <cell r="BG41">
            <v>918</v>
          </cell>
          <cell r="BH41">
            <v>1295</v>
          </cell>
          <cell r="BI41">
            <v>1038</v>
          </cell>
          <cell r="BJ41">
            <v>168</v>
          </cell>
          <cell r="BK41">
            <v>89</v>
          </cell>
          <cell r="BL41">
            <v>972</v>
          </cell>
          <cell r="BM41">
            <v>780</v>
          </cell>
          <cell r="BN41">
            <v>94</v>
          </cell>
          <cell r="BO41">
            <v>686</v>
          </cell>
          <cell r="BP41">
            <v>1298</v>
          </cell>
          <cell r="BQ41">
            <v>809</v>
          </cell>
          <cell r="BR41">
            <v>489</v>
          </cell>
          <cell r="BS41">
            <v>2412</v>
          </cell>
          <cell r="BT41">
            <v>1001</v>
          </cell>
          <cell r="BU41">
            <v>531</v>
          </cell>
          <cell r="BV41">
            <v>65</v>
          </cell>
          <cell r="BW41">
            <v>405</v>
          </cell>
          <cell r="BX41">
            <v>835</v>
          </cell>
          <cell r="BY41">
            <v>499</v>
          </cell>
          <cell r="BZ41">
            <v>284</v>
          </cell>
          <cell r="CA41">
            <v>52</v>
          </cell>
          <cell r="CB41">
            <v>576</v>
          </cell>
          <cell r="CC41">
            <v>22263</v>
          </cell>
          <cell r="CD41">
            <v>8086</v>
          </cell>
          <cell r="CE41">
            <v>7720</v>
          </cell>
          <cell r="CF41">
            <v>245</v>
          </cell>
          <cell r="CG41">
            <v>121</v>
          </cell>
          <cell r="CH41">
            <v>8760</v>
          </cell>
          <cell r="CI41">
            <v>992</v>
          </cell>
          <cell r="CJ41">
            <v>4191</v>
          </cell>
          <cell r="CK41">
            <v>2709</v>
          </cell>
          <cell r="CL41">
            <v>868</v>
          </cell>
          <cell r="CM41">
            <v>5417</v>
          </cell>
          <cell r="CN41">
            <v>963</v>
          </cell>
          <cell r="CO41">
            <v>1505</v>
          </cell>
          <cell r="CP41">
            <v>2475</v>
          </cell>
          <cell r="CQ41">
            <v>207</v>
          </cell>
          <cell r="CR41">
            <v>267</v>
          </cell>
          <cell r="CS41">
            <v>3928</v>
          </cell>
          <cell r="CT41">
            <v>200</v>
          </cell>
          <cell r="CU41">
            <v>522</v>
          </cell>
          <cell r="CV41">
            <v>3206</v>
          </cell>
          <cell r="CW41">
            <v>16440</v>
          </cell>
          <cell r="CX41">
            <v>3856</v>
          </cell>
          <cell r="CY41">
            <v>1150</v>
          </cell>
          <cell r="CZ41">
            <v>321</v>
          </cell>
          <cell r="DA41">
            <v>959</v>
          </cell>
          <cell r="DB41">
            <v>1377</v>
          </cell>
          <cell r="DC41">
            <v>49</v>
          </cell>
          <cell r="DD41">
            <v>1249</v>
          </cell>
          <cell r="DE41">
            <v>863</v>
          </cell>
          <cell r="DF41">
            <v>66</v>
          </cell>
          <cell r="DG41">
            <v>320</v>
          </cell>
          <cell r="DH41">
            <v>3736</v>
          </cell>
          <cell r="DI41">
            <v>1185</v>
          </cell>
          <cell r="DJ41">
            <v>831</v>
          </cell>
          <cell r="DK41">
            <v>857</v>
          </cell>
          <cell r="DL41">
            <v>608</v>
          </cell>
          <cell r="DM41">
            <v>255</v>
          </cell>
          <cell r="DN41">
            <v>5118</v>
          </cell>
          <cell r="DO41">
            <v>1022</v>
          </cell>
          <cell r="DP41">
            <v>2367</v>
          </cell>
          <cell r="DQ41">
            <v>1729</v>
          </cell>
          <cell r="DR41">
            <v>2481</v>
          </cell>
          <cell r="DS41">
            <v>511</v>
          </cell>
          <cell r="DT41">
            <v>1022</v>
          </cell>
          <cell r="DU41">
            <v>542</v>
          </cell>
          <cell r="DV41">
            <v>406</v>
          </cell>
          <cell r="DW41">
            <v>0</v>
          </cell>
          <cell r="DX41">
            <v>1653</v>
          </cell>
          <cell r="DY41">
            <v>16438</v>
          </cell>
          <cell r="DZ41">
            <v>13455</v>
          </cell>
          <cell r="EA41">
            <v>12286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1169</v>
          </cell>
          <cell r="EG41">
            <v>2983</v>
          </cell>
          <cell r="EH41">
            <v>20580</v>
          </cell>
          <cell r="EI41">
            <v>3152</v>
          </cell>
          <cell r="EJ41">
            <v>909</v>
          </cell>
          <cell r="EK41">
            <v>52</v>
          </cell>
          <cell r="EL41">
            <v>2191</v>
          </cell>
          <cell r="EM41">
            <v>573</v>
          </cell>
          <cell r="EN41">
            <v>1190</v>
          </cell>
          <cell r="EO41">
            <v>1023</v>
          </cell>
          <cell r="EP41">
            <v>167</v>
          </cell>
          <cell r="EQ41">
            <v>1371</v>
          </cell>
          <cell r="ER41">
            <v>3905</v>
          </cell>
          <cell r="ES41">
            <v>2593</v>
          </cell>
          <cell r="ET41">
            <v>270</v>
          </cell>
          <cell r="EU41">
            <v>366</v>
          </cell>
          <cell r="EV41">
            <v>333</v>
          </cell>
          <cell r="EW41">
            <v>343</v>
          </cell>
          <cell r="EX41">
            <v>7985</v>
          </cell>
          <cell r="EY41">
            <v>4488</v>
          </cell>
          <cell r="EZ41">
            <v>3497</v>
          </cell>
          <cell r="FA41">
            <v>2404</v>
          </cell>
          <cell r="FB41">
            <v>166173</v>
          </cell>
          <cell r="FC41">
            <v>126328</v>
          </cell>
          <cell r="FD41">
            <v>17960</v>
          </cell>
          <cell r="FE41">
            <v>4565</v>
          </cell>
          <cell r="FF41">
            <v>405</v>
          </cell>
          <cell r="FG41">
            <v>8086</v>
          </cell>
          <cell r="FH41">
            <v>522</v>
          </cell>
          <cell r="FI41">
            <v>3359</v>
          </cell>
          <cell r="FJ41">
            <v>1023</v>
          </cell>
          <cell r="FK41">
            <v>71341</v>
          </cell>
          <cell r="FL41">
            <v>14142</v>
          </cell>
          <cell r="FM41">
            <v>8014</v>
          </cell>
          <cell r="FN41">
            <v>7801</v>
          </cell>
          <cell r="FO41">
            <v>4343</v>
          </cell>
          <cell r="FP41">
            <v>8118</v>
          </cell>
          <cell r="FQ41">
            <v>1001</v>
          </cell>
          <cell r="FR41">
            <v>13269</v>
          </cell>
          <cell r="FS41">
            <v>522</v>
          </cell>
          <cell r="FT41">
            <v>10698</v>
          </cell>
          <cell r="FU41">
            <v>3433</v>
          </cell>
          <cell r="FV41">
            <v>37721</v>
          </cell>
          <cell r="FW41">
            <v>14142</v>
          </cell>
          <cell r="FX41">
            <v>8014</v>
          </cell>
          <cell r="FY41">
            <v>4343</v>
          </cell>
          <cell r="FZ41">
            <v>809</v>
          </cell>
          <cell r="GA41">
            <v>596</v>
          </cell>
          <cell r="GB41">
            <v>4191</v>
          </cell>
          <cell r="GC41">
            <v>3435</v>
          </cell>
          <cell r="GD41">
            <v>2191</v>
          </cell>
          <cell r="GE41">
            <v>1136</v>
          </cell>
          <cell r="GF41">
            <v>-3838</v>
          </cell>
          <cell r="GG41">
            <v>4974</v>
          </cell>
          <cell r="GH41">
            <v>93696</v>
          </cell>
          <cell r="GI41">
            <v>198</v>
          </cell>
          <cell r="GJ41">
            <v>38119</v>
          </cell>
          <cell r="GK41">
            <v>588</v>
          </cell>
          <cell r="GL41">
            <v>1411</v>
          </cell>
          <cell r="GM41">
            <v>8994</v>
          </cell>
          <cell r="GN41">
            <v>3406</v>
          </cell>
          <cell r="GO41">
            <v>5742</v>
          </cell>
          <cell r="GP41">
            <v>1653</v>
          </cell>
          <cell r="GQ41">
            <v>16438</v>
          </cell>
          <cell r="GR41">
            <v>17147</v>
          </cell>
          <cell r="GS41">
            <v>15660</v>
          </cell>
          <cell r="GT41">
            <v>7801</v>
          </cell>
          <cell r="GU41">
            <v>2744</v>
          </cell>
          <cell r="GV41">
            <v>992</v>
          </cell>
          <cell r="GW41">
            <v>3904</v>
          </cell>
          <cell r="GX41">
            <v>219</v>
          </cell>
        </row>
        <row r="42">
          <cell r="A42" t="str">
            <v>1999 Q2</v>
          </cell>
          <cell r="B42">
            <v>167629</v>
          </cell>
          <cell r="C42">
            <v>14781</v>
          </cell>
          <cell r="D42">
            <v>13186</v>
          </cell>
          <cell r="E42">
            <v>2427</v>
          </cell>
          <cell r="F42">
            <v>2893</v>
          </cell>
          <cell r="G42">
            <v>538</v>
          </cell>
          <cell r="H42">
            <v>1901</v>
          </cell>
          <cell r="I42">
            <v>440</v>
          </cell>
          <cell r="J42">
            <v>955</v>
          </cell>
          <cell r="K42">
            <v>1973</v>
          </cell>
          <cell r="L42">
            <v>1367</v>
          </cell>
          <cell r="M42">
            <v>692</v>
          </cell>
          <cell r="N42">
            <v>1595</v>
          </cell>
          <cell r="O42">
            <v>338</v>
          </cell>
          <cell r="P42">
            <v>1257</v>
          </cell>
          <cell r="Q42">
            <v>7998</v>
          </cell>
          <cell r="R42">
            <v>2620</v>
          </cell>
          <cell r="S42">
            <v>733</v>
          </cell>
          <cell r="T42">
            <v>1133</v>
          </cell>
          <cell r="U42">
            <v>754</v>
          </cell>
          <cell r="V42">
            <v>3491</v>
          </cell>
          <cell r="W42">
            <v>1887</v>
          </cell>
          <cell r="X42">
            <v>8018</v>
          </cell>
          <cell r="Y42">
            <v>6895</v>
          </cell>
          <cell r="Z42">
            <v>36</v>
          </cell>
          <cell r="AA42">
            <v>6365</v>
          </cell>
          <cell r="AB42">
            <v>311</v>
          </cell>
          <cell r="AC42">
            <v>183</v>
          </cell>
          <cell r="AD42">
            <v>1123</v>
          </cell>
          <cell r="AE42">
            <v>1102</v>
          </cell>
          <cell r="AF42">
            <v>21</v>
          </cell>
          <cell r="AG42">
            <v>42967</v>
          </cell>
          <cell r="AH42">
            <v>6407</v>
          </cell>
          <cell r="AI42">
            <v>6384</v>
          </cell>
          <cell r="AJ42">
            <v>23</v>
          </cell>
          <cell r="AK42">
            <v>31478</v>
          </cell>
          <cell r="AL42">
            <v>30394</v>
          </cell>
          <cell r="AM42">
            <v>1084</v>
          </cell>
          <cell r="AN42">
            <v>345</v>
          </cell>
          <cell r="AO42">
            <v>197</v>
          </cell>
          <cell r="AP42">
            <v>148</v>
          </cell>
          <cell r="AQ42">
            <v>1274</v>
          </cell>
          <cell r="AR42">
            <v>650</v>
          </cell>
          <cell r="AS42">
            <v>15</v>
          </cell>
          <cell r="AT42">
            <v>609</v>
          </cell>
          <cell r="AU42">
            <v>0</v>
          </cell>
          <cell r="AV42">
            <v>3463</v>
          </cell>
          <cell r="AW42">
            <v>1820</v>
          </cell>
          <cell r="AX42">
            <v>1384</v>
          </cell>
          <cell r="AY42">
            <v>103</v>
          </cell>
          <cell r="AZ42">
            <v>156</v>
          </cell>
          <cell r="BA42">
            <v>0</v>
          </cell>
          <cell r="BB42">
            <v>8738</v>
          </cell>
          <cell r="BC42">
            <v>3448</v>
          </cell>
          <cell r="BD42">
            <v>2667</v>
          </cell>
          <cell r="BE42">
            <v>771</v>
          </cell>
          <cell r="BF42">
            <v>10</v>
          </cell>
          <cell r="BG42">
            <v>911</v>
          </cell>
          <cell r="BH42">
            <v>1297</v>
          </cell>
          <cell r="BI42">
            <v>1028</v>
          </cell>
          <cell r="BJ42">
            <v>165</v>
          </cell>
          <cell r="BK42">
            <v>104</v>
          </cell>
          <cell r="BL42">
            <v>989</v>
          </cell>
          <cell r="BM42">
            <v>775</v>
          </cell>
          <cell r="BN42">
            <v>93</v>
          </cell>
          <cell r="BO42">
            <v>682</v>
          </cell>
          <cell r="BP42">
            <v>1318</v>
          </cell>
          <cell r="BQ42">
            <v>801</v>
          </cell>
          <cell r="BR42">
            <v>517</v>
          </cell>
          <cell r="BS42">
            <v>2521</v>
          </cell>
          <cell r="BT42">
            <v>1038</v>
          </cell>
          <cell r="BU42">
            <v>525</v>
          </cell>
          <cell r="BV42">
            <v>63</v>
          </cell>
          <cell r="BW42">
            <v>450</v>
          </cell>
          <cell r="BX42">
            <v>891</v>
          </cell>
          <cell r="BY42">
            <v>555</v>
          </cell>
          <cell r="BZ42">
            <v>282</v>
          </cell>
          <cell r="CA42">
            <v>54</v>
          </cell>
          <cell r="CB42">
            <v>592</v>
          </cell>
          <cell r="CC42">
            <v>23841</v>
          </cell>
          <cell r="CD42">
            <v>8539</v>
          </cell>
          <cell r="CE42">
            <v>8177</v>
          </cell>
          <cell r="CF42">
            <v>232</v>
          </cell>
          <cell r="CG42">
            <v>130</v>
          </cell>
          <cell r="CH42">
            <v>9198</v>
          </cell>
          <cell r="CI42">
            <v>1176</v>
          </cell>
          <cell r="CJ42">
            <v>4361</v>
          </cell>
          <cell r="CK42">
            <v>2757</v>
          </cell>
          <cell r="CL42">
            <v>904</v>
          </cell>
          <cell r="CM42">
            <v>6104</v>
          </cell>
          <cell r="CN42">
            <v>945</v>
          </cell>
          <cell r="CO42">
            <v>1514</v>
          </cell>
          <cell r="CP42">
            <v>2510</v>
          </cell>
          <cell r="CQ42">
            <v>855</v>
          </cell>
          <cell r="CR42">
            <v>280</v>
          </cell>
          <cell r="CS42">
            <v>4015</v>
          </cell>
          <cell r="CT42">
            <v>199</v>
          </cell>
          <cell r="CU42">
            <v>591</v>
          </cell>
          <cell r="CV42">
            <v>3225</v>
          </cell>
          <cell r="CW42">
            <v>16642</v>
          </cell>
          <cell r="CX42">
            <v>3925</v>
          </cell>
          <cell r="CY42">
            <v>1214</v>
          </cell>
          <cell r="CZ42">
            <v>298</v>
          </cell>
          <cell r="DA42">
            <v>970</v>
          </cell>
          <cell r="DB42">
            <v>1397</v>
          </cell>
          <cell r="DC42">
            <v>46</v>
          </cell>
          <cell r="DD42">
            <v>1297</v>
          </cell>
          <cell r="DE42">
            <v>909</v>
          </cell>
          <cell r="DF42">
            <v>65</v>
          </cell>
          <cell r="DG42">
            <v>323</v>
          </cell>
          <cell r="DH42">
            <v>3842</v>
          </cell>
          <cell r="DI42">
            <v>1269</v>
          </cell>
          <cell r="DJ42">
            <v>853</v>
          </cell>
          <cell r="DK42">
            <v>826</v>
          </cell>
          <cell r="DL42">
            <v>628</v>
          </cell>
          <cell r="DM42">
            <v>266</v>
          </cell>
          <cell r="DN42">
            <v>5114</v>
          </cell>
          <cell r="DO42">
            <v>1024</v>
          </cell>
          <cell r="DP42">
            <v>2367</v>
          </cell>
          <cell r="DQ42">
            <v>1723</v>
          </cell>
          <cell r="DR42">
            <v>2464</v>
          </cell>
          <cell r="DS42">
            <v>456</v>
          </cell>
          <cell r="DT42">
            <v>1043</v>
          </cell>
          <cell r="DU42">
            <v>549</v>
          </cell>
          <cell r="DV42">
            <v>416</v>
          </cell>
          <cell r="DW42">
            <v>0</v>
          </cell>
          <cell r="DX42">
            <v>1608</v>
          </cell>
          <cell r="DY42">
            <v>16619</v>
          </cell>
          <cell r="DZ42">
            <v>13661</v>
          </cell>
          <cell r="EA42">
            <v>12432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1229</v>
          </cell>
          <cell r="EG42">
            <v>2958</v>
          </cell>
          <cell r="EH42">
            <v>19881</v>
          </cell>
          <cell r="EI42">
            <v>3189</v>
          </cell>
          <cell r="EJ42">
            <v>921</v>
          </cell>
          <cell r="EK42">
            <v>52</v>
          </cell>
          <cell r="EL42">
            <v>2216</v>
          </cell>
          <cell r="EM42">
            <v>585</v>
          </cell>
          <cell r="EN42">
            <v>1229</v>
          </cell>
          <cell r="EO42">
            <v>1058</v>
          </cell>
          <cell r="EP42">
            <v>171</v>
          </cell>
          <cell r="EQ42">
            <v>1383</v>
          </cell>
          <cell r="ER42">
            <v>3754</v>
          </cell>
          <cell r="ES42">
            <v>2677</v>
          </cell>
          <cell r="ET42">
            <v>260</v>
          </cell>
          <cell r="EU42">
            <v>289</v>
          </cell>
          <cell r="EV42">
            <v>217</v>
          </cell>
          <cell r="EW42">
            <v>311</v>
          </cell>
          <cell r="EX42">
            <v>7322</v>
          </cell>
          <cell r="EY42">
            <v>3785</v>
          </cell>
          <cell r="EZ42">
            <v>3537</v>
          </cell>
          <cell r="FA42">
            <v>2419</v>
          </cell>
          <cell r="FB42">
            <v>169019</v>
          </cell>
          <cell r="FC42">
            <v>127460</v>
          </cell>
          <cell r="FD42">
            <v>18653</v>
          </cell>
          <cell r="FE42">
            <v>4559</v>
          </cell>
          <cell r="FF42">
            <v>450</v>
          </cell>
          <cell r="FG42">
            <v>8539</v>
          </cell>
          <cell r="FH42">
            <v>591</v>
          </cell>
          <cell r="FI42">
            <v>3456</v>
          </cell>
          <cell r="FJ42">
            <v>1058</v>
          </cell>
          <cell r="FK42">
            <v>73105</v>
          </cell>
          <cell r="FL42">
            <v>14781</v>
          </cell>
          <cell r="FM42">
            <v>7998</v>
          </cell>
          <cell r="FN42">
            <v>7814</v>
          </cell>
          <cell r="FO42">
            <v>4310</v>
          </cell>
          <cell r="FP42">
            <v>8107</v>
          </cell>
          <cell r="FQ42">
            <v>1038</v>
          </cell>
          <cell r="FR42">
            <v>14076</v>
          </cell>
          <cell r="FS42">
            <v>591</v>
          </cell>
          <cell r="FT42">
            <v>10893</v>
          </cell>
          <cell r="FU42">
            <v>3497</v>
          </cell>
          <cell r="FV42">
            <v>38517</v>
          </cell>
          <cell r="FW42">
            <v>14781</v>
          </cell>
          <cell r="FX42">
            <v>7998</v>
          </cell>
          <cell r="FY42">
            <v>4310</v>
          </cell>
          <cell r="FZ42">
            <v>801</v>
          </cell>
          <cell r="GA42">
            <v>588</v>
          </cell>
          <cell r="GB42">
            <v>4361</v>
          </cell>
          <cell r="GC42">
            <v>3462</v>
          </cell>
          <cell r="GD42">
            <v>2216</v>
          </cell>
          <cell r="GE42">
            <v>1390</v>
          </cell>
          <cell r="GF42">
            <v>-3695</v>
          </cell>
          <cell r="GG42">
            <v>5085</v>
          </cell>
          <cell r="GH42">
            <v>94524</v>
          </cell>
          <cell r="GI42">
            <v>204</v>
          </cell>
          <cell r="GJ42">
            <v>38657</v>
          </cell>
          <cell r="GK42">
            <v>631</v>
          </cell>
          <cell r="GL42">
            <v>1483</v>
          </cell>
          <cell r="GM42">
            <v>9765</v>
          </cell>
          <cell r="GN42">
            <v>3424</v>
          </cell>
          <cell r="GO42">
            <v>5749</v>
          </cell>
          <cell r="GP42">
            <v>1608</v>
          </cell>
          <cell r="GQ42">
            <v>16619</v>
          </cell>
          <cell r="GR42">
            <v>16384</v>
          </cell>
          <cell r="GS42">
            <v>15935</v>
          </cell>
          <cell r="GT42">
            <v>7814</v>
          </cell>
          <cell r="GU42">
            <v>2747</v>
          </cell>
          <cell r="GV42">
            <v>1176</v>
          </cell>
          <cell r="GW42">
            <v>3975</v>
          </cell>
          <cell r="GX42">
            <v>223</v>
          </cell>
        </row>
        <row r="43">
          <cell r="A43" t="str">
            <v>1999 Q3</v>
          </cell>
          <cell r="B43">
            <v>168348</v>
          </cell>
          <cell r="C43">
            <v>14534</v>
          </cell>
          <cell r="D43">
            <v>12914</v>
          </cell>
          <cell r="E43">
            <v>2365</v>
          </cell>
          <cell r="F43">
            <v>2826</v>
          </cell>
          <cell r="G43">
            <v>516</v>
          </cell>
          <cell r="H43">
            <v>1887</v>
          </cell>
          <cell r="I43">
            <v>450</v>
          </cell>
          <cell r="J43">
            <v>955</v>
          </cell>
          <cell r="K43">
            <v>1902</v>
          </cell>
          <cell r="L43">
            <v>1416</v>
          </cell>
          <cell r="M43">
            <v>597</v>
          </cell>
          <cell r="N43">
            <v>1620</v>
          </cell>
          <cell r="O43">
            <v>325</v>
          </cell>
          <cell r="P43">
            <v>1295</v>
          </cell>
          <cell r="Q43">
            <v>8053</v>
          </cell>
          <cell r="R43">
            <v>2622</v>
          </cell>
          <cell r="S43">
            <v>724</v>
          </cell>
          <cell r="T43">
            <v>1128</v>
          </cell>
          <cell r="U43">
            <v>770</v>
          </cell>
          <cell r="V43">
            <v>3546</v>
          </cell>
          <cell r="W43">
            <v>1885</v>
          </cell>
          <cell r="X43">
            <v>8135</v>
          </cell>
          <cell r="Y43">
            <v>7019</v>
          </cell>
          <cell r="Z43">
            <v>39</v>
          </cell>
          <cell r="AA43">
            <v>6463</v>
          </cell>
          <cell r="AB43">
            <v>326</v>
          </cell>
          <cell r="AC43">
            <v>191</v>
          </cell>
          <cell r="AD43">
            <v>1116</v>
          </cell>
          <cell r="AE43">
            <v>1097</v>
          </cell>
          <cell r="AF43">
            <v>19</v>
          </cell>
          <cell r="AG43">
            <v>43501</v>
          </cell>
          <cell r="AH43">
            <v>6477</v>
          </cell>
          <cell r="AI43">
            <v>6453</v>
          </cell>
          <cell r="AJ43">
            <v>24</v>
          </cell>
          <cell r="AK43">
            <v>31909</v>
          </cell>
          <cell r="AL43">
            <v>30801</v>
          </cell>
          <cell r="AM43">
            <v>1108</v>
          </cell>
          <cell r="AN43">
            <v>370</v>
          </cell>
          <cell r="AO43">
            <v>198</v>
          </cell>
          <cell r="AP43">
            <v>172</v>
          </cell>
          <cell r="AQ43">
            <v>1277</v>
          </cell>
          <cell r="AR43">
            <v>650</v>
          </cell>
          <cell r="AS43">
            <v>15</v>
          </cell>
          <cell r="AT43">
            <v>612</v>
          </cell>
          <cell r="AU43">
            <v>0</v>
          </cell>
          <cell r="AV43">
            <v>3468</v>
          </cell>
          <cell r="AW43">
            <v>1859</v>
          </cell>
          <cell r="AX43">
            <v>1359</v>
          </cell>
          <cell r="AY43">
            <v>97</v>
          </cell>
          <cell r="AZ43">
            <v>153</v>
          </cell>
          <cell r="BA43">
            <v>0</v>
          </cell>
          <cell r="BB43">
            <v>8914</v>
          </cell>
          <cell r="BC43">
            <v>3502</v>
          </cell>
          <cell r="BD43">
            <v>2733</v>
          </cell>
          <cell r="BE43">
            <v>759</v>
          </cell>
          <cell r="BF43">
            <v>10</v>
          </cell>
          <cell r="BG43">
            <v>926</v>
          </cell>
          <cell r="BH43">
            <v>1342</v>
          </cell>
          <cell r="BI43">
            <v>1052</v>
          </cell>
          <cell r="BJ43">
            <v>177</v>
          </cell>
          <cell r="BK43">
            <v>113</v>
          </cell>
          <cell r="BL43">
            <v>1016</v>
          </cell>
          <cell r="BM43">
            <v>781</v>
          </cell>
          <cell r="BN43">
            <v>94</v>
          </cell>
          <cell r="BO43">
            <v>687</v>
          </cell>
          <cell r="BP43">
            <v>1347</v>
          </cell>
          <cell r="BQ43">
            <v>815</v>
          </cell>
          <cell r="BR43">
            <v>532</v>
          </cell>
          <cell r="BS43">
            <v>2454</v>
          </cell>
          <cell r="BT43">
            <v>1045</v>
          </cell>
          <cell r="BU43">
            <v>509</v>
          </cell>
          <cell r="BV43">
            <v>73</v>
          </cell>
          <cell r="BW43">
            <v>463</v>
          </cell>
          <cell r="BX43">
            <v>832</v>
          </cell>
          <cell r="BY43">
            <v>486</v>
          </cell>
          <cell r="BZ43">
            <v>288</v>
          </cell>
          <cell r="CA43">
            <v>58</v>
          </cell>
          <cell r="CB43">
            <v>577</v>
          </cell>
          <cell r="CC43">
            <v>24101</v>
          </cell>
          <cell r="CD43">
            <v>8463</v>
          </cell>
          <cell r="CE43">
            <v>8096</v>
          </cell>
          <cell r="CF43">
            <v>231</v>
          </cell>
          <cell r="CG43">
            <v>136</v>
          </cell>
          <cell r="CH43">
            <v>9409</v>
          </cell>
          <cell r="CI43">
            <v>906</v>
          </cell>
          <cell r="CJ43">
            <v>4804</v>
          </cell>
          <cell r="CK43">
            <v>2812</v>
          </cell>
          <cell r="CL43">
            <v>887</v>
          </cell>
          <cell r="CM43">
            <v>6229</v>
          </cell>
          <cell r="CN43">
            <v>968</v>
          </cell>
          <cell r="CO43">
            <v>1526</v>
          </cell>
          <cell r="CP43">
            <v>2581</v>
          </cell>
          <cell r="CQ43">
            <v>865</v>
          </cell>
          <cell r="CR43">
            <v>289</v>
          </cell>
          <cell r="CS43">
            <v>4083</v>
          </cell>
          <cell r="CT43">
            <v>179</v>
          </cell>
          <cell r="CU43">
            <v>623</v>
          </cell>
          <cell r="CV43">
            <v>3281</v>
          </cell>
          <cell r="CW43">
            <v>17250</v>
          </cell>
          <cell r="CX43">
            <v>4044</v>
          </cell>
          <cell r="CY43">
            <v>1268</v>
          </cell>
          <cell r="CZ43">
            <v>307</v>
          </cell>
          <cell r="DA43">
            <v>973</v>
          </cell>
          <cell r="DB43">
            <v>1447</v>
          </cell>
          <cell r="DC43">
            <v>49</v>
          </cell>
          <cell r="DD43">
            <v>1303</v>
          </cell>
          <cell r="DE43">
            <v>914</v>
          </cell>
          <cell r="DF43">
            <v>62</v>
          </cell>
          <cell r="DG43">
            <v>327</v>
          </cell>
          <cell r="DH43">
            <v>3912</v>
          </cell>
          <cell r="DI43">
            <v>1350</v>
          </cell>
          <cell r="DJ43">
            <v>854</v>
          </cell>
          <cell r="DK43">
            <v>846</v>
          </cell>
          <cell r="DL43">
            <v>605</v>
          </cell>
          <cell r="DM43">
            <v>257</v>
          </cell>
          <cell r="DN43">
            <v>5394</v>
          </cell>
          <cell r="DO43">
            <v>1061</v>
          </cell>
          <cell r="DP43">
            <v>2602</v>
          </cell>
          <cell r="DQ43">
            <v>1731</v>
          </cell>
          <cell r="DR43">
            <v>2597</v>
          </cell>
          <cell r="DS43">
            <v>547</v>
          </cell>
          <cell r="DT43">
            <v>1070</v>
          </cell>
          <cell r="DU43">
            <v>569</v>
          </cell>
          <cell r="DV43">
            <v>411</v>
          </cell>
          <cell r="DW43">
            <v>0</v>
          </cell>
          <cell r="DX43">
            <v>1584</v>
          </cell>
          <cell r="DY43">
            <v>16944</v>
          </cell>
          <cell r="DZ43">
            <v>13860</v>
          </cell>
          <cell r="EA43">
            <v>12629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1231</v>
          </cell>
          <cell r="EG43">
            <v>3084</v>
          </cell>
          <cell r="EH43">
            <v>18795</v>
          </cell>
          <cell r="EI43">
            <v>3279</v>
          </cell>
          <cell r="EJ43">
            <v>930</v>
          </cell>
          <cell r="EK43">
            <v>56</v>
          </cell>
          <cell r="EL43">
            <v>2293</v>
          </cell>
          <cell r="EM43">
            <v>596</v>
          </cell>
          <cell r="EN43">
            <v>1242</v>
          </cell>
          <cell r="EO43">
            <v>1068</v>
          </cell>
          <cell r="EP43">
            <v>174</v>
          </cell>
          <cell r="EQ43">
            <v>1478</v>
          </cell>
          <cell r="ER43">
            <v>3812</v>
          </cell>
          <cell r="ES43">
            <v>2755</v>
          </cell>
          <cell r="ET43">
            <v>254</v>
          </cell>
          <cell r="EU43">
            <v>272</v>
          </cell>
          <cell r="EV43">
            <v>227</v>
          </cell>
          <cell r="EW43">
            <v>304</v>
          </cell>
          <cell r="EX43">
            <v>6222</v>
          </cell>
          <cell r="EY43">
            <v>2740</v>
          </cell>
          <cell r="EZ43">
            <v>3482</v>
          </cell>
          <cell r="FA43">
            <v>2166</v>
          </cell>
          <cell r="FB43">
            <v>169813</v>
          </cell>
          <cell r="FC43">
            <v>129192</v>
          </cell>
          <cell r="FD43">
            <v>18779</v>
          </cell>
          <cell r="FE43">
            <v>4638</v>
          </cell>
          <cell r="FF43">
            <v>463</v>
          </cell>
          <cell r="FG43">
            <v>8463</v>
          </cell>
          <cell r="FH43">
            <v>623</v>
          </cell>
          <cell r="FI43">
            <v>3524</v>
          </cell>
          <cell r="FJ43">
            <v>1068</v>
          </cell>
          <cell r="FK43">
            <v>73742</v>
          </cell>
          <cell r="FL43">
            <v>14534</v>
          </cell>
          <cell r="FM43">
            <v>8053</v>
          </cell>
          <cell r="FN43">
            <v>7925</v>
          </cell>
          <cell r="FO43">
            <v>4316</v>
          </cell>
          <cell r="FP43">
            <v>8259</v>
          </cell>
          <cell r="FQ43">
            <v>1045</v>
          </cell>
          <cell r="FR43">
            <v>14173</v>
          </cell>
          <cell r="FS43">
            <v>623</v>
          </cell>
          <cell r="FT43">
            <v>11223</v>
          </cell>
          <cell r="FU43">
            <v>3591</v>
          </cell>
          <cell r="FV43">
            <v>38898</v>
          </cell>
          <cell r="FW43">
            <v>14534</v>
          </cell>
          <cell r="FX43">
            <v>8053</v>
          </cell>
          <cell r="FY43">
            <v>4316</v>
          </cell>
          <cell r="FZ43">
            <v>815</v>
          </cell>
          <cell r="GA43">
            <v>582</v>
          </cell>
          <cell r="GB43">
            <v>4804</v>
          </cell>
          <cell r="GC43">
            <v>3501</v>
          </cell>
          <cell r="GD43">
            <v>2293</v>
          </cell>
          <cell r="GE43">
            <v>1465</v>
          </cell>
          <cell r="GF43">
            <v>-3786</v>
          </cell>
          <cell r="GG43">
            <v>5251</v>
          </cell>
          <cell r="GH43">
            <v>94606</v>
          </cell>
          <cell r="GI43">
            <v>210</v>
          </cell>
          <cell r="GJ43">
            <v>39185</v>
          </cell>
          <cell r="GK43">
            <v>655</v>
          </cell>
          <cell r="GL43">
            <v>1409</v>
          </cell>
          <cell r="GM43">
            <v>9928</v>
          </cell>
          <cell r="GN43">
            <v>3460</v>
          </cell>
          <cell r="GO43">
            <v>6027</v>
          </cell>
          <cell r="GP43">
            <v>1584</v>
          </cell>
          <cell r="GQ43">
            <v>16944</v>
          </cell>
          <cell r="GR43">
            <v>15204</v>
          </cell>
          <cell r="GS43">
            <v>16065</v>
          </cell>
          <cell r="GT43">
            <v>7925</v>
          </cell>
          <cell r="GU43">
            <v>2806</v>
          </cell>
          <cell r="GV43">
            <v>906</v>
          </cell>
          <cell r="GW43">
            <v>4198</v>
          </cell>
          <cell r="GX43">
            <v>230</v>
          </cell>
        </row>
        <row r="44">
          <cell r="A44" t="str">
            <v>1999 Q4</v>
          </cell>
          <cell r="B44">
            <v>169990</v>
          </cell>
          <cell r="C44">
            <v>13710</v>
          </cell>
          <cell r="D44">
            <v>12239</v>
          </cell>
          <cell r="E44">
            <v>2256</v>
          </cell>
          <cell r="F44">
            <v>2673</v>
          </cell>
          <cell r="G44">
            <v>481</v>
          </cell>
          <cell r="H44">
            <v>1794</v>
          </cell>
          <cell r="I44">
            <v>426</v>
          </cell>
          <cell r="J44">
            <v>885</v>
          </cell>
          <cell r="K44">
            <v>1840</v>
          </cell>
          <cell r="L44">
            <v>1317</v>
          </cell>
          <cell r="M44">
            <v>567</v>
          </cell>
          <cell r="N44">
            <v>1471</v>
          </cell>
          <cell r="O44">
            <v>308</v>
          </cell>
          <cell r="P44">
            <v>1163</v>
          </cell>
          <cell r="Q44">
            <v>8123</v>
          </cell>
          <cell r="R44">
            <v>2704</v>
          </cell>
          <cell r="S44">
            <v>728</v>
          </cell>
          <cell r="T44">
            <v>1174</v>
          </cell>
          <cell r="U44">
            <v>802</v>
          </cell>
          <cell r="V44">
            <v>3531</v>
          </cell>
          <cell r="W44">
            <v>1888</v>
          </cell>
          <cell r="X44">
            <v>8207</v>
          </cell>
          <cell r="Y44">
            <v>7098</v>
          </cell>
          <cell r="Z44">
            <v>53</v>
          </cell>
          <cell r="AA44">
            <v>6505</v>
          </cell>
          <cell r="AB44">
            <v>343</v>
          </cell>
          <cell r="AC44">
            <v>197</v>
          </cell>
          <cell r="AD44">
            <v>1109</v>
          </cell>
          <cell r="AE44">
            <v>1093</v>
          </cell>
          <cell r="AF44">
            <v>16</v>
          </cell>
          <cell r="AG44">
            <v>44027</v>
          </cell>
          <cell r="AH44">
            <v>6582</v>
          </cell>
          <cell r="AI44">
            <v>6558</v>
          </cell>
          <cell r="AJ44">
            <v>24</v>
          </cell>
          <cell r="AK44">
            <v>32241</v>
          </cell>
          <cell r="AL44">
            <v>31122</v>
          </cell>
          <cell r="AM44">
            <v>1119</v>
          </cell>
          <cell r="AN44">
            <v>370</v>
          </cell>
          <cell r="AO44">
            <v>202</v>
          </cell>
          <cell r="AP44">
            <v>168</v>
          </cell>
          <cell r="AQ44">
            <v>1309</v>
          </cell>
          <cell r="AR44">
            <v>658</v>
          </cell>
          <cell r="AS44">
            <v>16</v>
          </cell>
          <cell r="AT44">
            <v>635</v>
          </cell>
          <cell r="AU44">
            <v>0</v>
          </cell>
          <cell r="AV44">
            <v>3525</v>
          </cell>
          <cell r="AW44">
            <v>1818</v>
          </cell>
          <cell r="AX44">
            <v>1466</v>
          </cell>
          <cell r="AY44">
            <v>111</v>
          </cell>
          <cell r="AZ44">
            <v>130</v>
          </cell>
          <cell r="BA44">
            <v>0</v>
          </cell>
          <cell r="BB44">
            <v>9165</v>
          </cell>
          <cell r="BC44">
            <v>3651</v>
          </cell>
          <cell r="BD44">
            <v>2862</v>
          </cell>
          <cell r="BE44">
            <v>778</v>
          </cell>
          <cell r="BF44">
            <v>11</v>
          </cell>
          <cell r="BG44">
            <v>963</v>
          </cell>
          <cell r="BH44">
            <v>1353</v>
          </cell>
          <cell r="BI44">
            <v>1079</v>
          </cell>
          <cell r="BJ44">
            <v>179</v>
          </cell>
          <cell r="BK44">
            <v>95</v>
          </cell>
          <cell r="BL44">
            <v>1048</v>
          </cell>
          <cell r="BM44">
            <v>753</v>
          </cell>
          <cell r="BN44">
            <v>91</v>
          </cell>
          <cell r="BO44">
            <v>662</v>
          </cell>
          <cell r="BP44">
            <v>1397</v>
          </cell>
          <cell r="BQ44">
            <v>828</v>
          </cell>
          <cell r="BR44">
            <v>569</v>
          </cell>
          <cell r="BS44">
            <v>2457</v>
          </cell>
          <cell r="BT44">
            <v>1065</v>
          </cell>
          <cell r="BU44">
            <v>485</v>
          </cell>
          <cell r="BV44">
            <v>74</v>
          </cell>
          <cell r="BW44">
            <v>506</v>
          </cell>
          <cell r="BX44">
            <v>796</v>
          </cell>
          <cell r="BY44">
            <v>455</v>
          </cell>
          <cell r="BZ44">
            <v>287</v>
          </cell>
          <cell r="CA44">
            <v>54</v>
          </cell>
          <cell r="CB44">
            <v>596</v>
          </cell>
          <cell r="CC44">
            <v>23770</v>
          </cell>
          <cell r="CD44">
            <v>8466</v>
          </cell>
          <cell r="CE44">
            <v>8087</v>
          </cell>
          <cell r="CF44">
            <v>238</v>
          </cell>
          <cell r="CG44">
            <v>141</v>
          </cell>
          <cell r="CH44">
            <v>9589</v>
          </cell>
          <cell r="CI44">
            <v>990</v>
          </cell>
          <cell r="CJ44">
            <v>4898</v>
          </cell>
          <cell r="CK44">
            <v>2802</v>
          </cell>
          <cell r="CL44">
            <v>899</v>
          </cell>
          <cell r="CM44">
            <v>5715</v>
          </cell>
          <cell r="CN44">
            <v>1021</v>
          </cell>
          <cell r="CO44">
            <v>1591</v>
          </cell>
          <cell r="CP44">
            <v>2573</v>
          </cell>
          <cell r="CQ44">
            <v>232</v>
          </cell>
          <cell r="CR44">
            <v>298</v>
          </cell>
          <cell r="CS44">
            <v>4149</v>
          </cell>
          <cell r="CT44">
            <v>172</v>
          </cell>
          <cell r="CU44">
            <v>626</v>
          </cell>
          <cell r="CV44">
            <v>3351</v>
          </cell>
          <cell r="CW44">
            <v>17421</v>
          </cell>
          <cell r="CX44">
            <v>3949</v>
          </cell>
          <cell r="CY44">
            <v>1254</v>
          </cell>
          <cell r="CZ44">
            <v>327</v>
          </cell>
          <cell r="DA44">
            <v>926</v>
          </cell>
          <cell r="DB44">
            <v>1380</v>
          </cell>
          <cell r="DC44">
            <v>62</v>
          </cell>
          <cell r="DD44">
            <v>1282</v>
          </cell>
          <cell r="DE44">
            <v>888</v>
          </cell>
          <cell r="DF44">
            <v>65</v>
          </cell>
          <cell r="DG44">
            <v>329</v>
          </cell>
          <cell r="DH44">
            <v>3960</v>
          </cell>
          <cell r="DI44">
            <v>1405</v>
          </cell>
          <cell r="DJ44">
            <v>825</v>
          </cell>
          <cell r="DK44">
            <v>862</v>
          </cell>
          <cell r="DL44">
            <v>614</v>
          </cell>
          <cell r="DM44">
            <v>254</v>
          </cell>
          <cell r="DN44">
            <v>5594</v>
          </cell>
          <cell r="DO44">
            <v>1121</v>
          </cell>
          <cell r="DP44">
            <v>2713</v>
          </cell>
          <cell r="DQ44">
            <v>1760</v>
          </cell>
          <cell r="DR44">
            <v>2636</v>
          </cell>
          <cell r="DS44">
            <v>559</v>
          </cell>
          <cell r="DT44">
            <v>1100</v>
          </cell>
          <cell r="DU44">
            <v>551</v>
          </cell>
          <cell r="DV44">
            <v>426</v>
          </cell>
          <cell r="DW44">
            <v>0</v>
          </cell>
          <cell r="DX44">
            <v>1591</v>
          </cell>
          <cell r="DY44">
            <v>17135</v>
          </cell>
          <cell r="DZ44">
            <v>14143</v>
          </cell>
          <cell r="EA44">
            <v>12880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1263</v>
          </cell>
          <cell r="EG44">
            <v>2992</v>
          </cell>
          <cell r="EH44">
            <v>20235</v>
          </cell>
          <cell r="EI44">
            <v>3283</v>
          </cell>
          <cell r="EJ44">
            <v>950</v>
          </cell>
          <cell r="EK44">
            <v>60</v>
          </cell>
          <cell r="EL44">
            <v>2273</v>
          </cell>
          <cell r="EM44">
            <v>606</v>
          </cell>
          <cell r="EN44">
            <v>1232</v>
          </cell>
          <cell r="EO44">
            <v>1063</v>
          </cell>
          <cell r="EP44">
            <v>169</v>
          </cell>
          <cell r="EQ44">
            <v>1514</v>
          </cell>
          <cell r="ER44">
            <v>4254</v>
          </cell>
          <cell r="ES44">
            <v>2835</v>
          </cell>
          <cell r="ET44">
            <v>292</v>
          </cell>
          <cell r="EU44">
            <v>377</v>
          </cell>
          <cell r="EV44">
            <v>359</v>
          </cell>
          <cell r="EW44">
            <v>391</v>
          </cell>
          <cell r="EX44">
            <v>7037</v>
          </cell>
          <cell r="EY44">
            <v>3323</v>
          </cell>
          <cell r="EZ44">
            <v>3714</v>
          </cell>
          <cell r="FA44">
            <v>2309</v>
          </cell>
          <cell r="FB44">
            <v>171597</v>
          </cell>
          <cell r="FC44">
            <v>131909</v>
          </cell>
          <cell r="FD44">
            <v>18931</v>
          </cell>
          <cell r="FE44">
            <v>4810</v>
          </cell>
          <cell r="FF44">
            <v>506</v>
          </cell>
          <cell r="FG44">
            <v>8466</v>
          </cell>
          <cell r="FH44">
            <v>626</v>
          </cell>
          <cell r="FI44">
            <v>3460</v>
          </cell>
          <cell r="FJ44">
            <v>1063</v>
          </cell>
          <cell r="FK44">
            <v>73494</v>
          </cell>
          <cell r="FL44">
            <v>13710</v>
          </cell>
          <cell r="FM44">
            <v>8123</v>
          </cell>
          <cell r="FN44">
            <v>7994</v>
          </cell>
          <cell r="FO44">
            <v>4385</v>
          </cell>
          <cell r="FP44">
            <v>8490</v>
          </cell>
          <cell r="FQ44">
            <v>1065</v>
          </cell>
          <cell r="FR44">
            <v>14354</v>
          </cell>
          <cell r="FS44">
            <v>626</v>
          </cell>
          <cell r="FT44">
            <v>11182</v>
          </cell>
          <cell r="FU44">
            <v>3565</v>
          </cell>
          <cell r="FV44">
            <v>38329</v>
          </cell>
          <cell r="FW44">
            <v>13710</v>
          </cell>
          <cell r="FX44">
            <v>8123</v>
          </cell>
          <cell r="FY44">
            <v>4385</v>
          </cell>
          <cell r="FZ44">
            <v>828</v>
          </cell>
          <cell r="GA44">
            <v>559</v>
          </cell>
          <cell r="GB44">
            <v>4898</v>
          </cell>
          <cell r="GC44">
            <v>3553</v>
          </cell>
          <cell r="GD44">
            <v>2273</v>
          </cell>
          <cell r="GE44">
            <v>1607</v>
          </cell>
          <cell r="GF44">
            <v>-3780</v>
          </cell>
          <cell r="GG44">
            <v>5387</v>
          </cell>
          <cell r="GH44">
            <v>96496</v>
          </cell>
          <cell r="GI44">
            <v>213</v>
          </cell>
          <cell r="GJ44">
            <v>39642</v>
          </cell>
          <cell r="GK44">
            <v>675</v>
          </cell>
          <cell r="GL44">
            <v>1392</v>
          </cell>
          <cell r="GM44">
            <v>9416</v>
          </cell>
          <cell r="GN44">
            <v>3523</v>
          </cell>
          <cell r="GO44">
            <v>6239</v>
          </cell>
          <cell r="GP44">
            <v>1591</v>
          </cell>
          <cell r="GQ44">
            <v>17135</v>
          </cell>
          <cell r="GR44">
            <v>16670</v>
          </cell>
          <cell r="GS44">
            <v>16234</v>
          </cell>
          <cell r="GT44">
            <v>7994</v>
          </cell>
          <cell r="GU44">
            <v>2852</v>
          </cell>
          <cell r="GV44">
            <v>990</v>
          </cell>
          <cell r="GW44">
            <v>4169</v>
          </cell>
          <cell r="GX44">
            <v>229</v>
          </cell>
        </row>
        <row r="45">
          <cell r="A45" t="str">
            <v>2000 Q1</v>
          </cell>
          <cell r="B45">
            <v>173061</v>
          </cell>
          <cell r="C45">
            <v>14298</v>
          </cell>
          <cell r="D45">
            <v>12689</v>
          </cell>
          <cell r="E45">
            <v>2399</v>
          </cell>
          <cell r="F45">
            <v>2857</v>
          </cell>
          <cell r="G45">
            <v>510</v>
          </cell>
          <cell r="H45">
            <v>1820</v>
          </cell>
          <cell r="I45">
            <v>388</v>
          </cell>
          <cell r="J45">
            <v>924</v>
          </cell>
          <cell r="K45">
            <v>1849</v>
          </cell>
          <cell r="L45">
            <v>1344</v>
          </cell>
          <cell r="M45">
            <v>598</v>
          </cell>
          <cell r="N45">
            <v>1609</v>
          </cell>
          <cell r="O45">
            <v>330</v>
          </cell>
          <cell r="P45">
            <v>1279</v>
          </cell>
          <cell r="Q45">
            <v>8091</v>
          </cell>
          <cell r="R45">
            <v>2676</v>
          </cell>
          <cell r="S45">
            <v>724</v>
          </cell>
          <cell r="T45">
            <v>1179</v>
          </cell>
          <cell r="U45">
            <v>773</v>
          </cell>
          <cell r="V45">
            <v>3523</v>
          </cell>
          <cell r="W45">
            <v>1892</v>
          </cell>
          <cell r="X45">
            <v>8274</v>
          </cell>
          <cell r="Y45">
            <v>7178</v>
          </cell>
          <cell r="Z45">
            <v>38</v>
          </cell>
          <cell r="AA45">
            <v>6607</v>
          </cell>
          <cell r="AB45">
            <v>337</v>
          </cell>
          <cell r="AC45">
            <v>196</v>
          </cell>
          <cell r="AD45">
            <v>1096</v>
          </cell>
          <cell r="AE45">
            <v>1083</v>
          </cell>
          <cell r="AF45">
            <v>13</v>
          </cell>
          <cell r="AG45">
            <v>44455</v>
          </cell>
          <cell r="AH45">
            <v>6666</v>
          </cell>
          <cell r="AI45">
            <v>6642</v>
          </cell>
          <cell r="AJ45">
            <v>24</v>
          </cell>
          <cell r="AK45">
            <v>32353</v>
          </cell>
          <cell r="AL45">
            <v>31223</v>
          </cell>
          <cell r="AM45">
            <v>1130</v>
          </cell>
          <cell r="AN45">
            <v>368</v>
          </cell>
          <cell r="AO45">
            <v>203</v>
          </cell>
          <cell r="AP45">
            <v>165</v>
          </cell>
          <cell r="AQ45">
            <v>1367</v>
          </cell>
          <cell r="AR45">
            <v>652</v>
          </cell>
          <cell r="AS45">
            <v>14</v>
          </cell>
          <cell r="AT45">
            <v>701</v>
          </cell>
          <cell r="AU45">
            <v>0</v>
          </cell>
          <cell r="AV45">
            <v>3701</v>
          </cell>
          <cell r="AW45">
            <v>1898</v>
          </cell>
          <cell r="AX45">
            <v>1547</v>
          </cell>
          <cell r="AY45">
            <v>136</v>
          </cell>
          <cell r="AZ45">
            <v>120</v>
          </cell>
          <cell r="BA45">
            <v>0</v>
          </cell>
          <cell r="BB45">
            <v>9191</v>
          </cell>
          <cell r="BC45">
            <v>3603</v>
          </cell>
          <cell r="BD45">
            <v>2796</v>
          </cell>
          <cell r="BE45">
            <v>796</v>
          </cell>
          <cell r="BF45">
            <v>11</v>
          </cell>
          <cell r="BG45">
            <v>934</v>
          </cell>
          <cell r="BH45">
            <v>1405</v>
          </cell>
          <cell r="BI45">
            <v>1134</v>
          </cell>
          <cell r="BJ45">
            <v>174</v>
          </cell>
          <cell r="BK45">
            <v>97</v>
          </cell>
          <cell r="BL45">
            <v>1100</v>
          </cell>
          <cell r="BM45">
            <v>755</v>
          </cell>
          <cell r="BN45">
            <v>98</v>
          </cell>
          <cell r="BO45">
            <v>657</v>
          </cell>
          <cell r="BP45">
            <v>1394</v>
          </cell>
          <cell r="BQ45">
            <v>837</v>
          </cell>
          <cell r="BR45">
            <v>557</v>
          </cell>
          <cell r="BS45">
            <v>2391</v>
          </cell>
          <cell r="BT45">
            <v>1045</v>
          </cell>
          <cell r="BU45">
            <v>475</v>
          </cell>
          <cell r="BV45">
            <v>67</v>
          </cell>
          <cell r="BW45">
            <v>503</v>
          </cell>
          <cell r="BX45">
            <v>753</v>
          </cell>
          <cell r="BY45">
            <v>408</v>
          </cell>
          <cell r="BZ45">
            <v>291</v>
          </cell>
          <cell r="CA45">
            <v>54</v>
          </cell>
          <cell r="CB45">
            <v>593</v>
          </cell>
          <cell r="CC45">
            <v>23705</v>
          </cell>
          <cell r="CD45">
            <v>8438</v>
          </cell>
          <cell r="CE45">
            <v>8069</v>
          </cell>
          <cell r="CF45">
            <v>227</v>
          </cell>
          <cell r="CG45">
            <v>142</v>
          </cell>
          <cell r="CH45">
            <v>9454</v>
          </cell>
          <cell r="CI45">
            <v>892</v>
          </cell>
          <cell r="CJ45">
            <v>4788</v>
          </cell>
          <cell r="CK45">
            <v>2841</v>
          </cell>
          <cell r="CL45">
            <v>933</v>
          </cell>
          <cell r="CM45">
            <v>5813</v>
          </cell>
          <cell r="CN45">
            <v>1054</v>
          </cell>
          <cell r="CO45">
            <v>1637</v>
          </cell>
          <cell r="CP45">
            <v>2628</v>
          </cell>
          <cell r="CQ45">
            <v>185</v>
          </cell>
          <cell r="CR45">
            <v>309</v>
          </cell>
          <cell r="CS45">
            <v>4363</v>
          </cell>
          <cell r="CT45">
            <v>166</v>
          </cell>
          <cell r="CU45">
            <v>731</v>
          </cell>
          <cell r="CV45">
            <v>3466</v>
          </cell>
          <cell r="CW45">
            <v>17900</v>
          </cell>
          <cell r="CX45">
            <v>4122</v>
          </cell>
          <cell r="CY45">
            <v>1228</v>
          </cell>
          <cell r="CZ45">
            <v>318</v>
          </cell>
          <cell r="DA45">
            <v>993</v>
          </cell>
          <cell r="DB45">
            <v>1525</v>
          </cell>
          <cell r="DC45">
            <v>58</v>
          </cell>
          <cell r="DD45">
            <v>1240</v>
          </cell>
          <cell r="DE45">
            <v>843</v>
          </cell>
          <cell r="DF45">
            <v>64</v>
          </cell>
          <cell r="DG45">
            <v>333</v>
          </cell>
          <cell r="DH45">
            <v>4119</v>
          </cell>
          <cell r="DI45">
            <v>1414</v>
          </cell>
          <cell r="DJ45">
            <v>895</v>
          </cell>
          <cell r="DK45">
            <v>912</v>
          </cell>
          <cell r="DL45">
            <v>640</v>
          </cell>
          <cell r="DM45">
            <v>258</v>
          </cell>
          <cell r="DN45">
            <v>5637</v>
          </cell>
          <cell r="DO45">
            <v>1153</v>
          </cell>
          <cell r="DP45">
            <v>2738</v>
          </cell>
          <cell r="DQ45">
            <v>1746</v>
          </cell>
          <cell r="DR45">
            <v>2782</v>
          </cell>
          <cell r="DS45">
            <v>624</v>
          </cell>
          <cell r="DT45">
            <v>1114</v>
          </cell>
          <cell r="DU45">
            <v>601</v>
          </cell>
          <cell r="DV45">
            <v>443</v>
          </cell>
          <cell r="DW45">
            <v>0</v>
          </cell>
          <cell r="DX45">
            <v>1400</v>
          </cell>
          <cell r="DY45">
            <v>17355</v>
          </cell>
          <cell r="DZ45">
            <v>14213</v>
          </cell>
          <cell r="EA45">
            <v>12880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1333</v>
          </cell>
          <cell r="EG45">
            <v>3142</v>
          </cell>
          <cell r="EH45">
            <v>21638</v>
          </cell>
          <cell r="EI45">
            <v>3312</v>
          </cell>
          <cell r="EJ45">
            <v>977</v>
          </cell>
          <cell r="EK45">
            <v>60</v>
          </cell>
          <cell r="EL45">
            <v>2275</v>
          </cell>
          <cell r="EM45">
            <v>618</v>
          </cell>
          <cell r="EN45">
            <v>1221</v>
          </cell>
          <cell r="EO45">
            <v>1043</v>
          </cell>
          <cell r="EP45">
            <v>178</v>
          </cell>
          <cell r="EQ45">
            <v>1490</v>
          </cell>
          <cell r="ER45">
            <v>4026</v>
          </cell>
          <cell r="ES45">
            <v>2766</v>
          </cell>
          <cell r="ET45">
            <v>234</v>
          </cell>
          <cell r="EU45">
            <v>334</v>
          </cell>
          <cell r="EV45">
            <v>328</v>
          </cell>
          <cell r="EW45">
            <v>364</v>
          </cell>
          <cell r="EX45">
            <v>8518</v>
          </cell>
          <cell r="EY45">
            <v>4627</v>
          </cell>
          <cell r="EZ45">
            <v>3891</v>
          </cell>
          <cell r="FA45">
            <v>2453</v>
          </cell>
          <cell r="FB45">
            <v>174676</v>
          </cell>
          <cell r="FC45">
            <v>135144</v>
          </cell>
          <cell r="FD45">
            <v>18985</v>
          </cell>
          <cell r="FE45">
            <v>4824</v>
          </cell>
          <cell r="FF45">
            <v>503</v>
          </cell>
          <cell r="FG45">
            <v>8438</v>
          </cell>
          <cell r="FH45">
            <v>731</v>
          </cell>
          <cell r="FI45">
            <v>3446</v>
          </cell>
          <cell r="FJ45">
            <v>1043</v>
          </cell>
          <cell r="FK45">
            <v>74600</v>
          </cell>
          <cell r="FL45">
            <v>14298</v>
          </cell>
          <cell r="FM45">
            <v>8091</v>
          </cell>
          <cell r="FN45">
            <v>8065</v>
          </cell>
          <cell r="FO45">
            <v>4556</v>
          </cell>
          <cell r="FP45">
            <v>8526</v>
          </cell>
          <cell r="FQ45">
            <v>1045</v>
          </cell>
          <cell r="FR45">
            <v>14118</v>
          </cell>
          <cell r="FS45">
            <v>731</v>
          </cell>
          <cell r="FT45">
            <v>11614</v>
          </cell>
          <cell r="FU45">
            <v>3556</v>
          </cell>
          <cell r="FV45">
            <v>39097</v>
          </cell>
          <cell r="FW45">
            <v>14298</v>
          </cell>
          <cell r="FX45">
            <v>8091</v>
          </cell>
          <cell r="FY45">
            <v>4556</v>
          </cell>
          <cell r="FZ45">
            <v>837</v>
          </cell>
          <cell r="GA45">
            <v>542</v>
          </cell>
          <cell r="GB45">
            <v>4788</v>
          </cell>
          <cell r="GC45">
            <v>3710</v>
          </cell>
          <cell r="GD45">
            <v>2275</v>
          </cell>
          <cell r="GE45">
            <v>1615</v>
          </cell>
          <cell r="GF45">
            <v>-3801</v>
          </cell>
          <cell r="GG45">
            <v>5416</v>
          </cell>
          <cell r="GH45">
            <v>98461</v>
          </cell>
          <cell r="GI45">
            <v>209</v>
          </cell>
          <cell r="GJ45">
            <v>39899</v>
          </cell>
          <cell r="GK45">
            <v>665</v>
          </cell>
          <cell r="GL45">
            <v>1346</v>
          </cell>
          <cell r="GM45">
            <v>9587</v>
          </cell>
          <cell r="GN45">
            <v>3632</v>
          </cell>
          <cell r="GO45">
            <v>6286</v>
          </cell>
          <cell r="GP45">
            <v>1400</v>
          </cell>
          <cell r="GQ45">
            <v>17355</v>
          </cell>
          <cell r="GR45">
            <v>18082</v>
          </cell>
          <cell r="GS45">
            <v>16518</v>
          </cell>
          <cell r="GT45">
            <v>8065</v>
          </cell>
          <cell r="GU45">
            <v>2865</v>
          </cell>
          <cell r="GV45">
            <v>892</v>
          </cell>
          <cell r="GW45">
            <v>4458</v>
          </cell>
          <cell r="GX45">
            <v>238</v>
          </cell>
        </row>
        <row r="46">
          <cell r="A46" t="str">
            <v>2000 Q2</v>
          </cell>
          <cell r="B46">
            <v>174470</v>
          </cell>
          <cell r="C46">
            <v>14098</v>
          </cell>
          <cell r="D46">
            <v>12458</v>
          </cell>
          <cell r="E46">
            <v>2392</v>
          </cell>
          <cell r="F46">
            <v>2739</v>
          </cell>
          <cell r="G46">
            <v>511</v>
          </cell>
          <cell r="H46">
            <v>1809</v>
          </cell>
          <cell r="I46">
            <v>386</v>
          </cell>
          <cell r="J46">
            <v>952</v>
          </cell>
          <cell r="K46">
            <v>1829</v>
          </cell>
          <cell r="L46">
            <v>1271</v>
          </cell>
          <cell r="M46">
            <v>569</v>
          </cell>
          <cell r="N46">
            <v>1640</v>
          </cell>
          <cell r="O46">
            <v>335</v>
          </cell>
          <cell r="P46">
            <v>1305</v>
          </cell>
          <cell r="Q46">
            <v>8154</v>
          </cell>
          <cell r="R46">
            <v>2699</v>
          </cell>
          <cell r="S46">
            <v>717</v>
          </cell>
          <cell r="T46">
            <v>1183</v>
          </cell>
          <cell r="U46">
            <v>799</v>
          </cell>
          <cell r="V46">
            <v>3558</v>
          </cell>
          <cell r="W46">
            <v>1897</v>
          </cell>
          <cell r="X46">
            <v>8531</v>
          </cell>
          <cell r="Y46">
            <v>7443</v>
          </cell>
          <cell r="Z46">
            <v>44</v>
          </cell>
          <cell r="AA46">
            <v>6821</v>
          </cell>
          <cell r="AB46">
            <v>376</v>
          </cell>
          <cell r="AC46">
            <v>202</v>
          </cell>
          <cell r="AD46">
            <v>1088</v>
          </cell>
          <cell r="AE46">
            <v>1075</v>
          </cell>
          <cell r="AF46">
            <v>13</v>
          </cell>
          <cell r="AG46">
            <v>44520</v>
          </cell>
          <cell r="AH46">
            <v>6826</v>
          </cell>
          <cell r="AI46">
            <v>6802</v>
          </cell>
          <cell r="AJ46">
            <v>24</v>
          </cell>
          <cell r="AK46">
            <v>32371</v>
          </cell>
          <cell r="AL46">
            <v>31243</v>
          </cell>
          <cell r="AM46">
            <v>1128</v>
          </cell>
          <cell r="AN46">
            <v>388</v>
          </cell>
          <cell r="AO46">
            <v>205</v>
          </cell>
          <cell r="AP46">
            <v>183</v>
          </cell>
          <cell r="AQ46">
            <v>1216</v>
          </cell>
          <cell r="AR46">
            <v>598</v>
          </cell>
          <cell r="AS46">
            <v>16</v>
          </cell>
          <cell r="AT46">
            <v>602</v>
          </cell>
          <cell r="AU46">
            <v>0</v>
          </cell>
          <cell r="AV46">
            <v>3719</v>
          </cell>
          <cell r="AW46">
            <v>1881</v>
          </cell>
          <cell r="AX46">
            <v>1551</v>
          </cell>
          <cell r="AY46">
            <v>165</v>
          </cell>
          <cell r="AZ46">
            <v>122</v>
          </cell>
          <cell r="BA46">
            <v>0</v>
          </cell>
          <cell r="BB46">
            <v>9369</v>
          </cell>
          <cell r="BC46">
            <v>3666</v>
          </cell>
          <cell r="BD46">
            <v>2838</v>
          </cell>
          <cell r="BE46">
            <v>817</v>
          </cell>
          <cell r="BF46">
            <v>11</v>
          </cell>
          <cell r="BG46">
            <v>946</v>
          </cell>
          <cell r="BH46">
            <v>1432</v>
          </cell>
          <cell r="BI46">
            <v>1146</v>
          </cell>
          <cell r="BJ46">
            <v>175</v>
          </cell>
          <cell r="BK46">
            <v>111</v>
          </cell>
          <cell r="BL46">
            <v>1093</v>
          </cell>
          <cell r="BM46">
            <v>790</v>
          </cell>
          <cell r="BN46">
            <v>95</v>
          </cell>
          <cell r="BO46">
            <v>695</v>
          </cell>
          <cell r="BP46">
            <v>1442</v>
          </cell>
          <cell r="BQ46">
            <v>822</v>
          </cell>
          <cell r="BR46">
            <v>620</v>
          </cell>
          <cell r="BS46">
            <v>2414</v>
          </cell>
          <cell r="BT46">
            <v>1069</v>
          </cell>
          <cell r="BU46">
            <v>466</v>
          </cell>
          <cell r="BV46">
            <v>70</v>
          </cell>
          <cell r="BW46">
            <v>533</v>
          </cell>
          <cell r="BX46">
            <v>751</v>
          </cell>
          <cell r="BY46">
            <v>399</v>
          </cell>
          <cell r="BZ46">
            <v>299</v>
          </cell>
          <cell r="CA46">
            <v>53</v>
          </cell>
          <cell r="CB46">
            <v>594</v>
          </cell>
          <cell r="CC46">
            <v>25022</v>
          </cell>
          <cell r="CD46">
            <v>8559</v>
          </cell>
          <cell r="CE46">
            <v>8195</v>
          </cell>
          <cell r="CF46">
            <v>220</v>
          </cell>
          <cell r="CG46">
            <v>144</v>
          </cell>
          <cell r="CH46">
            <v>9863</v>
          </cell>
          <cell r="CI46">
            <v>974</v>
          </cell>
          <cell r="CJ46">
            <v>5084</v>
          </cell>
          <cell r="CK46">
            <v>2867</v>
          </cell>
          <cell r="CL46">
            <v>938</v>
          </cell>
          <cell r="CM46">
            <v>6600</v>
          </cell>
          <cell r="CN46">
            <v>1071</v>
          </cell>
          <cell r="CO46">
            <v>1709</v>
          </cell>
          <cell r="CP46">
            <v>2756</v>
          </cell>
          <cell r="CQ46">
            <v>746</v>
          </cell>
          <cell r="CR46">
            <v>318</v>
          </cell>
          <cell r="CS46">
            <v>4378</v>
          </cell>
          <cell r="CT46">
            <v>169</v>
          </cell>
          <cell r="CU46">
            <v>695</v>
          </cell>
          <cell r="CV46">
            <v>3514</v>
          </cell>
          <cell r="CW46">
            <v>17905</v>
          </cell>
          <cell r="CX46">
            <v>3959</v>
          </cell>
          <cell r="CY46">
            <v>1180</v>
          </cell>
          <cell r="CZ46">
            <v>346</v>
          </cell>
          <cell r="DA46">
            <v>970</v>
          </cell>
          <cell r="DB46">
            <v>1406</v>
          </cell>
          <cell r="DC46">
            <v>57</v>
          </cell>
          <cell r="DD46">
            <v>1213</v>
          </cell>
          <cell r="DE46">
            <v>817</v>
          </cell>
          <cell r="DF46">
            <v>62</v>
          </cell>
          <cell r="DG46">
            <v>334</v>
          </cell>
          <cell r="DH46">
            <v>4204</v>
          </cell>
          <cell r="DI46">
            <v>1464</v>
          </cell>
          <cell r="DJ46">
            <v>875</v>
          </cell>
          <cell r="DK46">
            <v>925</v>
          </cell>
          <cell r="DL46">
            <v>676</v>
          </cell>
          <cell r="DM46">
            <v>264</v>
          </cell>
          <cell r="DN46">
            <v>5742</v>
          </cell>
          <cell r="DO46">
            <v>1182</v>
          </cell>
          <cell r="DP46">
            <v>2824</v>
          </cell>
          <cell r="DQ46">
            <v>1736</v>
          </cell>
          <cell r="DR46">
            <v>2787</v>
          </cell>
          <cell r="DS46">
            <v>598</v>
          </cell>
          <cell r="DT46">
            <v>1117</v>
          </cell>
          <cell r="DU46">
            <v>606</v>
          </cell>
          <cell r="DV46">
            <v>466</v>
          </cell>
          <cell r="DW46">
            <v>0</v>
          </cell>
          <cell r="DX46">
            <v>1643</v>
          </cell>
          <cell r="DY46">
            <v>17588</v>
          </cell>
          <cell r="DZ46">
            <v>14317</v>
          </cell>
          <cell r="EA46">
            <v>13012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1305</v>
          </cell>
          <cell r="EG46">
            <v>3271</v>
          </cell>
          <cell r="EH46">
            <v>20848</v>
          </cell>
          <cell r="EI46">
            <v>3312</v>
          </cell>
          <cell r="EJ46">
            <v>995</v>
          </cell>
          <cell r="EK46">
            <v>58</v>
          </cell>
          <cell r="EL46">
            <v>2259</v>
          </cell>
          <cell r="EM46">
            <v>628</v>
          </cell>
          <cell r="EN46">
            <v>1228</v>
          </cell>
          <cell r="EO46">
            <v>1059</v>
          </cell>
          <cell r="EP46">
            <v>169</v>
          </cell>
          <cell r="EQ46">
            <v>1524</v>
          </cell>
          <cell r="ER46">
            <v>3784</v>
          </cell>
          <cell r="ES46">
            <v>2814</v>
          </cell>
          <cell r="ET46">
            <v>200</v>
          </cell>
          <cell r="EU46">
            <v>250</v>
          </cell>
          <cell r="EV46">
            <v>225</v>
          </cell>
          <cell r="EW46">
            <v>295</v>
          </cell>
          <cell r="EX46">
            <v>8418</v>
          </cell>
          <cell r="EY46">
            <v>4593</v>
          </cell>
          <cell r="EZ46">
            <v>3825</v>
          </cell>
          <cell r="FA46">
            <v>1954</v>
          </cell>
          <cell r="FB46">
            <v>176192</v>
          </cell>
          <cell r="FC46">
            <v>135436</v>
          </cell>
          <cell r="FD46">
            <v>19117</v>
          </cell>
          <cell r="FE46">
            <v>4896</v>
          </cell>
          <cell r="FF46">
            <v>533</v>
          </cell>
          <cell r="FG46">
            <v>8559</v>
          </cell>
          <cell r="FH46">
            <v>695</v>
          </cell>
          <cell r="FI46">
            <v>3375</v>
          </cell>
          <cell r="FJ46">
            <v>1059</v>
          </cell>
          <cell r="FK46">
            <v>75151</v>
          </cell>
          <cell r="FL46">
            <v>14098</v>
          </cell>
          <cell r="FM46">
            <v>8154</v>
          </cell>
          <cell r="FN46">
            <v>8316</v>
          </cell>
          <cell r="FO46">
            <v>4522</v>
          </cell>
          <cell r="FP46">
            <v>8627</v>
          </cell>
          <cell r="FQ46">
            <v>1069</v>
          </cell>
          <cell r="FR46">
            <v>14617</v>
          </cell>
          <cell r="FS46">
            <v>695</v>
          </cell>
          <cell r="FT46">
            <v>11508</v>
          </cell>
          <cell r="FU46">
            <v>3545</v>
          </cell>
          <cell r="FV46">
            <v>39265</v>
          </cell>
          <cell r="FW46">
            <v>14098</v>
          </cell>
          <cell r="FX46">
            <v>8154</v>
          </cell>
          <cell r="FY46">
            <v>4522</v>
          </cell>
          <cell r="FZ46">
            <v>822</v>
          </cell>
          <cell r="GA46">
            <v>536</v>
          </cell>
          <cell r="GB46">
            <v>5084</v>
          </cell>
          <cell r="GC46">
            <v>3790</v>
          </cell>
          <cell r="GD46">
            <v>2259</v>
          </cell>
          <cell r="GE46">
            <v>1722</v>
          </cell>
          <cell r="GF46">
            <v>-4013</v>
          </cell>
          <cell r="GG46">
            <v>5735</v>
          </cell>
          <cell r="GH46">
            <v>99319</v>
          </cell>
          <cell r="GI46">
            <v>215</v>
          </cell>
          <cell r="GJ46">
            <v>39998</v>
          </cell>
          <cell r="GK46">
            <v>742</v>
          </cell>
          <cell r="GL46">
            <v>1345</v>
          </cell>
          <cell r="GM46">
            <v>10405</v>
          </cell>
          <cell r="GN46">
            <v>3683</v>
          </cell>
          <cell r="GO46">
            <v>6397</v>
          </cell>
          <cell r="GP46">
            <v>1643</v>
          </cell>
          <cell r="GQ46">
            <v>17588</v>
          </cell>
          <cell r="GR46">
            <v>17303</v>
          </cell>
          <cell r="GS46">
            <v>16769</v>
          </cell>
          <cell r="GT46">
            <v>8316</v>
          </cell>
          <cell r="GU46">
            <v>2909</v>
          </cell>
          <cell r="GV46">
            <v>974</v>
          </cell>
          <cell r="GW46">
            <v>4343</v>
          </cell>
          <cell r="GX46">
            <v>227</v>
          </cell>
        </row>
        <row r="47">
          <cell r="A47" t="str">
            <v>2000 Q3</v>
          </cell>
          <cell r="B47">
            <v>176643</v>
          </cell>
          <cell r="C47">
            <v>14388</v>
          </cell>
          <cell r="D47">
            <v>12787</v>
          </cell>
          <cell r="E47">
            <v>2318</v>
          </cell>
          <cell r="F47">
            <v>2831</v>
          </cell>
          <cell r="G47">
            <v>519</v>
          </cell>
          <cell r="H47">
            <v>1845</v>
          </cell>
          <cell r="I47">
            <v>383</v>
          </cell>
          <cell r="J47">
            <v>962</v>
          </cell>
          <cell r="K47">
            <v>1935</v>
          </cell>
          <cell r="L47">
            <v>1452</v>
          </cell>
          <cell r="M47">
            <v>542</v>
          </cell>
          <cell r="N47">
            <v>1601</v>
          </cell>
          <cell r="O47">
            <v>335</v>
          </cell>
          <cell r="P47">
            <v>1266</v>
          </cell>
          <cell r="Q47">
            <v>8201</v>
          </cell>
          <cell r="R47">
            <v>2767</v>
          </cell>
          <cell r="S47">
            <v>740</v>
          </cell>
          <cell r="T47">
            <v>1231</v>
          </cell>
          <cell r="U47">
            <v>796</v>
          </cell>
          <cell r="V47">
            <v>3537</v>
          </cell>
          <cell r="W47">
            <v>1897</v>
          </cell>
          <cell r="X47">
            <v>8704</v>
          </cell>
          <cell r="Y47">
            <v>7586</v>
          </cell>
          <cell r="Z47">
            <v>46</v>
          </cell>
          <cell r="AA47">
            <v>6945</v>
          </cell>
          <cell r="AB47">
            <v>386</v>
          </cell>
          <cell r="AC47">
            <v>209</v>
          </cell>
          <cell r="AD47">
            <v>1118</v>
          </cell>
          <cell r="AE47">
            <v>1105</v>
          </cell>
          <cell r="AF47">
            <v>13</v>
          </cell>
          <cell r="AG47">
            <v>44800</v>
          </cell>
          <cell r="AH47">
            <v>6919</v>
          </cell>
          <cell r="AI47">
            <v>6896</v>
          </cell>
          <cell r="AJ47">
            <v>23</v>
          </cell>
          <cell r="AK47">
            <v>32601</v>
          </cell>
          <cell r="AL47">
            <v>31475</v>
          </cell>
          <cell r="AM47">
            <v>1126</v>
          </cell>
          <cell r="AN47">
            <v>368</v>
          </cell>
          <cell r="AO47">
            <v>205</v>
          </cell>
          <cell r="AP47">
            <v>163</v>
          </cell>
          <cell r="AQ47">
            <v>1235</v>
          </cell>
          <cell r="AR47">
            <v>602</v>
          </cell>
          <cell r="AS47">
            <v>18</v>
          </cell>
          <cell r="AT47">
            <v>615</v>
          </cell>
          <cell r="AU47">
            <v>0</v>
          </cell>
          <cell r="AV47">
            <v>3677</v>
          </cell>
          <cell r="AW47">
            <v>1854</v>
          </cell>
          <cell r="AX47">
            <v>1519</v>
          </cell>
          <cell r="AY47">
            <v>182</v>
          </cell>
          <cell r="AZ47">
            <v>122</v>
          </cell>
          <cell r="BA47">
            <v>0</v>
          </cell>
          <cell r="BB47">
            <v>9450</v>
          </cell>
          <cell r="BC47">
            <v>3724</v>
          </cell>
          <cell r="BD47">
            <v>2904</v>
          </cell>
          <cell r="BE47">
            <v>808</v>
          </cell>
          <cell r="BF47">
            <v>12</v>
          </cell>
          <cell r="BG47">
            <v>961</v>
          </cell>
          <cell r="BH47">
            <v>1438</v>
          </cell>
          <cell r="BI47">
            <v>1138</v>
          </cell>
          <cell r="BJ47">
            <v>189</v>
          </cell>
          <cell r="BK47">
            <v>111</v>
          </cell>
          <cell r="BL47">
            <v>1084</v>
          </cell>
          <cell r="BM47">
            <v>756</v>
          </cell>
          <cell r="BN47">
            <v>95</v>
          </cell>
          <cell r="BO47">
            <v>661</v>
          </cell>
          <cell r="BP47">
            <v>1487</v>
          </cell>
          <cell r="BQ47">
            <v>857</v>
          </cell>
          <cell r="BR47">
            <v>630</v>
          </cell>
          <cell r="BS47">
            <v>2606</v>
          </cell>
          <cell r="BT47">
            <v>1118</v>
          </cell>
          <cell r="BU47">
            <v>489</v>
          </cell>
          <cell r="BV47">
            <v>76</v>
          </cell>
          <cell r="BW47">
            <v>553</v>
          </cell>
          <cell r="BX47">
            <v>853</v>
          </cell>
          <cell r="BY47">
            <v>474</v>
          </cell>
          <cell r="BZ47">
            <v>316</v>
          </cell>
          <cell r="CA47">
            <v>63</v>
          </cell>
          <cell r="CB47">
            <v>635</v>
          </cell>
          <cell r="CC47">
            <v>25144</v>
          </cell>
          <cell r="CD47">
            <v>8512</v>
          </cell>
          <cell r="CE47">
            <v>8133</v>
          </cell>
          <cell r="CF47">
            <v>233</v>
          </cell>
          <cell r="CG47">
            <v>146</v>
          </cell>
          <cell r="CH47">
            <v>9825</v>
          </cell>
          <cell r="CI47">
            <v>845</v>
          </cell>
          <cell r="CJ47">
            <v>5108</v>
          </cell>
          <cell r="CK47">
            <v>2925</v>
          </cell>
          <cell r="CL47">
            <v>947</v>
          </cell>
          <cell r="CM47">
            <v>6807</v>
          </cell>
          <cell r="CN47">
            <v>1096</v>
          </cell>
          <cell r="CO47">
            <v>1748</v>
          </cell>
          <cell r="CP47">
            <v>2835</v>
          </cell>
          <cell r="CQ47">
            <v>801</v>
          </cell>
          <cell r="CR47">
            <v>327</v>
          </cell>
          <cell r="CS47">
            <v>4473</v>
          </cell>
          <cell r="CT47">
            <v>182</v>
          </cell>
          <cell r="CU47">
            <v>734</v>
          </cell>
          <cell r="CV47">
            <v>3557</v>
          </cell>
          <cell r="CW47">
            <v>18290</v>
          </cell>
          <cell r="CX47">
            <v>4007</v>
          </cell>
          <cell r="CY47">
            <v>1200</v>
          </cell>
          <cell r="CZ47">
            <v>378</v>
          </cell>
          <cell r="DA47">
            <v>1003</v>
          </cell>
          <cell r="DB47">
            <v>1374</v>
          </cell>
          <cell r="DC47">
            <v>52</v>
          </cell>
          <cell r="DD47">
            <v>1230</v>
          </cell>
          <cell r="DE47">
            <v>834</v>
          </cell>
          <cell r="DF47">
            <v>60</v>
          </cell>
          <cell r="DG47">
            <v>336</v>
          </cell>
          <cell r="DH47">
            <v>4311</v>
          </cell>
          <cell r="DI47">
            <v>1525</v>
          </cell>
          <cell r="DJ47">
            <v>887</v>
          </cell>
          <cell r="DK47">
            <v>911</v>
          </cell>
          <cell r="DL47">
            <v>714</v>
          </cell>
          <cell r="DM47">
            <v>274</v>
          </cell>
          <cell r="DN47">
            <v>5935</v>
          </cell>
          <cell r="DO47">
            <v>1227</v>
          </cell>
          <cell r="DP47">
            <v>2902</v>
          </cell>
          <cell r="DQ47">
            <v>1806</v>
          </cell>
          <cell r="DR47">
            <v>2807</v>
          </cell>
          <cell r="DS47">
            <v>599</v>
          </cell>
          <cell r="DT47">
            <v>1117</v>
          </cell>
          <cell r="DU47">
            <v>635</v>
          </cell>
          <cell r="DV47">
            <v>456</v>
          </cell>
          <cell r="DW47">
            <v>0</v>
          </cell>
          <cell r="DX47">
            <v>1789</v>
          </cell>
          <cell r="DY47">
            <v>17820</v>
          </cell>
          <cell r="DZ47">
            <v>14593</v>
          </cell>
          <cell r="EA47">
            <v>13278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1315</v>
          </cell>
          <cell r="EG47">
            <v>3227</v>
          </cell>
          <cell r="EH47">
            <v>20978</v>
          </cell>
          <cell r="EI47">
            <v>3359</v>
          </cell>
          <cell r="EJ47">
            <v>1015</v>
          </cell>
          <cell r="EK47">
            <v>68</v>
          </cell>
          <cell r="EL47">
            <v>2276</v>
          </cell>
          <cell r="EM47">
            <v>640</v>
          </cell>
          <cell r="EN47">
            <v>1275</v>
          </cell>
          <cell r="EO47">
            <v>1101</v>
          </cell>
          <cell r="EP47">
            <v>174</v>
          </cell>
          <cell r="EQ47">
            <v>1589</v>
          </cell>
          <cell r="ER47">
            <v>3842</v>
          </cell>
          <cell r="ES47">
            <v>2850</v>
          </cell>
          <cell r="ET47">
            <v>253</v>
          </cell>
          <cell r="EU47">
            <v>271</v>
          </cell>
          <cell r="EV47">
            <v>231</v>
          </cell>
          <cell r="EW47">
            <v>237</v>
          </cell>
          <cell r="EX47">
            <v>8180</v>
          </cell>
          <cell r="EY47">
            <v>4353</v>
          </cell>
          <cell r="EZ47">
            <v>3827</v>
          </cell>
          <cell r="FA47">
            <v>2093</v>
          </cell>
          <cell r="FB47">
            <v>178514</v>
          </cell>
          <cell r="FC47">
            <v>136654</v>
          </cell>
          <cell r="FD47">
            <v>19320</v>
          </cell>
          <cell r="FE47">
            <v>4945</v>
          </cell>
          <cell r="FF47">
            <v>553</v>
          </cell>
          <cell r="FG47">
            <v>8512</v>
          </cell>
          <cell r="FH47">
            <v>734</v>
          </cell>
          <cell r="FI47">
            <v>3475</v>
          </cell>
          <cell r="FJ47">
            <v>1101</v>
          </cell>
          <cell r="FK47">
            <v>75881</v>
          </cell>
          <cell r="FL47">
            <v>14388</v>
          </cell>
          <cell r="FM47">
            <v>8201</v>
          </cell>
          <cell r="FN47">
            <v>8482</v>
          </cell>
          <cell r="FO47">
            <v>4484</v>
          </cell>
          <cell r="FP47">
            <v>8697</v>
          </cell>
          <cell r="FQ47">
            <v>1118</v>
          </cell>
          <cell r="FR47">
            <v>14465</v>
          </cell>
          <cell r="FS47">
            <v>734</v>
          </cell>
          <cell r="FT47">
            <v>11693</v>
          </cell>
          <cell r="FU47">
            <v>3619</v>
          </cell>
          <cell r="FV47">
            <v>39712</v>
          </cell>
          <cell r="FW47">
            <v>14388</v>
          </cell>
          <cell r="FX47">
            <v>8201</v>
          </cell>
          <cell r="FY47">
            <v>4484</v>
          </cell>
          <cell r="FZ47">
            <v>857</v>
          </cell>
          <cell r="GA47">
            <v>565</v>
          </cell>
          <cell r="GB47">
            <v>5108</v>
          </cell>
          <cell r="GC47">
            <v>3833</v>
          </cell>
          <cell r="GD47">
            <v>2276</v>
          </cell>
          <cell r="GE47">
            <v>1871</v>
          </cell>
          <cell r="GF47">
            <v>-4000</v>
          </cell>
          <cell r="GG47">
            <v>5871</v>
          </cell>
          <cell r="GH47">
            <v>100762</v>
          </cell>
          <cell r="GI47">
            <v>222</v>
          </cell>
          <cell r="GJ47">
            <v>40316</v>
          </cell>
          <cell r="GK47">
            <v>753</v>
          </cell>
          <cell r="GL47">
            <v>1488</v>
          </cell>
          <cell r="GM47">
            <v>10679</v>
          </cell>
          <cell r="GN47">
            <v>3739</v>
          </cell>
          <cell r="GO47">
            <v>6597</v>
          </cell>
          <cell r="GP47">
            <v>1789</v>
          </cell>
          <cell r="GQ47">
            <v>17820</v>
          </cell>
          <cell r="GR47">
            <v>17359</v>
          </cell>
          <cell r="GS47">
            <v>16849</v>
          </cell>
          <cell r="GT47">
            <v>8482</v>
          </cell>
          <cell r="GU47">
            <v>2895</v>
          </cell>
          <cell r="GV47">
            <v>845</v>
          </cell>
          <cell r="GW47">
            <v>4385</v>
          </cell>
          <cell r="GX47">
            <v>242</v>
          </cell>
        </row>
        <row r="48">
          <cell r="A48" t="str">
            <v>2000 Q4</v>
          </cell>
          <cell r="B48">
            <v>177901</v>
          </cell>
          <cell r="C48">
            <v>14414</v>
          </cell>
          <cell r="D48">
            <v>12780</v>
          </cell>
          <cell r="E48">
            <v>2351</v>
          </cell>
          <cell r="F48">
            <v>2885</v>
          </cell>
          <cell r="G48">
            <v>564</v>
          </cell>
          <cell r="H48">
            <v>1849</v>
          </cell>
          <cell r="I48">
            <v>393</v>
          </cell>
          <cell r="J48">
            <v>967</v>
          </cell>
          <cell r="K48">
            <v>1973</v>
          </cell>
          <cell r="L48">
            <v>1286</v>
          </cell>
          <cell r="M48">
            <v>512</v>
          </cell>
          <cell r="N48">
            <v>1634</v>
          </cell>
          <cell r="O48">
            <v>334</v>
          </cell>
          <cell r="P48">
            <v>1300</v>
          </cell>
          <cell r="Q48">
            <v>8195</v>
          </cell>
          <cell r="R48">
            <v>2782</v>
          </cell>
          <cell r="S48">
            <v>744</v>
          </cell>
          <cell r="T48">
            <v>1239</v>
          </cell>
          <cell r="U48">
            <v>799</v>
          </cell>
          <cell r="V48">
            <v>3521</v>
          </cell>
          <cell r="W48">
            <v>1892</v>
          </cell>
          <cell r="X48">
            <v>8958</v>
          </cell>
          <cell r="Y48">
            <v>7821</v>
          </cell>
          <cell r="Z48">
            <v>62</v>
          </cell>
          <cell r="AA48">
            <v>7158</v>
          </cell>
          <cell r="AB48">
            <v>390</v>
          </cell>
          <cell r="AC48">
            <v>211</v>
          </cell>
          <cell r="AD48">
            <v>1137</v>
          </cell>
          <cell r="AE48">
            <v>1124</v>
          </cell>
          <cell r="AF48">
            <v>13</v>
          </cell>
          <cell r="AG48">
            <v>45352</v>
          </cell>
          <cell r="AH48">
            <v>6947</v>
          </cell>
          <cell r="AI48">
            <v>6924</v>
          </cell>
          <cell r="AJ48">
            <v>23</v>
          </cell>
          <cell r="AK48">
            <v>32999</v>
          </cell>
          <cell r="AL48">
            <v>31874</v>
          </cell>
          <cell r="AM48">
            <v>1125</v>
          </cell>
          <cell r="AN48">
            <v>411</v>
          </cell>
          <cell r="AO48">
            <v>210</v>
          </cell>
          <cell r="AP48">
            <v>201</v>
          </cell>
          <cell r="AQ48">
            <v>1244</v>
          </cell>
          <cell r="AR48">
            <v>601</v>
          </cell>
          <cell r="AS48">
            <v>25</v>
          </cell>
          <cell r="AT48">
            <v>618</v>
          </cell>
          <cell r="AU48">
            <v>0</v>
          </cell>
          <cell r="AV48">
            <v>3751</v>
          </cell>
          <cell r="AW48">
            <v>1873</v>
          </cell>
          <cell r="AX48">
            <v>1567</v>
          </cell>
          <cell r="AY48">
            <v>187</v>
          </cell>
          <cell r="AZ48">
            <v>124</v>
          </cell>
          <cell r="BA48">
            <v>0</v>
          </cell>
          <cell r="BB48">
            <v>9533</v>
          </cell>
          <cell r="BC48">
            <v>3850</v>
          </cell>
          <cell r="BD48">
            <v>3019</v>
          </cell>
          <cell r="BE48">
            <v>817</v>
          </cell>
          <cell r="BF48">
            <v>14</v>
          </cell>
          <cell r="BG48">
            <v>994</v>
          </cell>
          <cell r="BH48">
            <v>1367</v>
          </cell>
          <cell r="BI48">
            <v>1095</v>
          </cell>
          <cell r="BJ48">
            <v>178</v>
          </cell>
          <cell r="BK48">
            <v>94</v>
          </cell>
          <cell r="BL48">
            <v>1094</v>
          </cell>
          <cell r="BM48">
            <v>731</v>
          </cell>
          <cell r="BN48">
            <v>86</v>
          </cell>
          <cell r="BO48">
            <v>645</v>
          </cell>
          <cell r="BP48">
            <v>1497</v>
          </cell>
          <cell r="BQ48">
            <v>855</v>
          </cell>
          <cell r="BR48">
            <v>642</v>
          </cell>
          <cell r="BS48">
            <v>2611</v>
          </cell>
          <cell r="BT48">
            <v>1171</v>
          </cell>
          <cell r="BU48">
            <v>543</v>
          </cell>
          <cell r="BV48">
            <v>75</v>
          </cell>
          <cell r="BW48">
            <v>553</v>
          </cell>
          <cell r="BX48">
            <v>838</v>
          </cell>
          <cell r="BY48">
            <v>445</v>
          </cell>
          <cell r="BZ48">
            <v>319</v>
          </cell>
          <cell r="CA48">
            <v>74</v>
          </cell>
          <cell r="CB48">
            <v>602</v>
          </cell>
          <cell r="CC48">
            <v>25333</v>
          </cell>
          <cell r="CD48">
            <v>8952</v>
          </cell>
          <cell r="CE48">
            <v>8573</v>
          </cell>
          <cell r="CF48">
            <v>231</v>
          </cell>
          <cell r="CG48">
            <v>148</v>
          </cell>
          <cell r="CH48">
            <v>9948</v>
          </cell>
          <cell r="CI48">
            <v>899</v>
          </cell>
          <cell r="CJ48">
            <v>5091</v>
          </cell>
          <cell r="CK48">
            <v>2995</v>
          </cell>
          <cell r="CL48">
            <v>963</v>
          </cell>
          <cell r="CM48">
            <v>6433</v>
          </cell>
          <cell r="CN48">
            <v>1017</v>
          </cell>
          <cell r="CO48">
            <v>1750</v>
          </cell>
          <cell r="CP48">
            <v>2884</v>
          </cell>
          <cell r="CQ48">
            <v>455</v>
          </cell>
          <cell r="CR48">
            <v>327</v>
          </cell>
          <cell r="CS48">
            <v>4475</v>
          </cell>
          <cell r="CT48">
            <v>181</v>
          </cell>
          <cell r="CU48">
            <v>753</v>
          </cell>
          <cell r="CV48">
            <v>3541</v>
          </cell>
          <cell r="CW48">
            <v>18319</v>
          </cell>
          <cell r="CX48">
            <v>4010</v>
          </cell>
          <cell r="CY48">
            <v>1191</v>
          </cell>
          <cell r="CZ48">
            <v>393</v>
          </cell>
          <cell r="DA48">
            <v>1018</v>
          </cell>
          <cell r="DB48">
            <v>1350</v>
          </cell>
          <cell r="DC48">
            <v>58</v>
          </cell>
          <cell r="DD48">
            <v>1281</v>
          </cell>
          <cell r="DE48">
            <v>871</v>
          </cell>
          <cell r="DF48">
            <v>71</v>
          </cell>
          <cell r="DG48">
            <v>339</v>
          </cell>
          <cell r="DH48">
            <v>4355</v>
          </cell>
          <cell r="DI48">
            <v>1560</v>
          </cell>
          <cell r="DJ48">
            <v>905</v>
          </cell>
          <cell r="DK48">
            <v>920</v>
          </cell>
          <cell r="DL48">
            <v>708</v>
          </cell>
          <cell r="DM48">
            <v>262</v>
          </cell>
          <cell r="DN48">
            <v>5821</v>
          </cell>
          <cell r="DO48">
            <v>1266</v>
          </cell>
          <cell r="DP48">
            <v>2819</v>
          </cell>
          <cell r="DQ48">
            <v>1736</v>
          </cell>
          <cell r="DR48">
            <v>2852</v>
          </cell>
          <cell r="DS48">
            <v>620</v>
          </cell>
          <cell r="DT48">
            <v>1115</v>
          </cell>
          <cell r="DU48">
            <v>616</v>
          </cell>
          <cell r="DV48">
            <v>501</v>
          </cell>
          <cell r="DW48">
            <v>0</v>
          </cell>
          <cell r="DX48">
            <v>1845</v>
          </cell>
          <cell r="DY48">
            <v>18269</v>
          </cell>
          <cell r="DZ48">
            <v>14885</v>
          </cell>
          <cell r="EA48">
            <v>13562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1323</v>
          </cell>
          <cell r="EG48">
            <v>3384</v>
          </cell>
          <cell r="EH48">
            <v>20597</v>
          </cell>
          <cell r="EI48">
            <v>3462</v>
          </cell>
          <cell r="EJ48">
            <v>1039</v>
          </cell>
          <cell r="EK48">
            <v>59</v>
          </cell>
          <cell r="EL48">
            <v>2364</v>
          </cell>
          <cell r="EM48">
            <v>652</v>
          </cell>
          <cell r="EN48">
            <v>1334</v>
          </cell>
          <cell r="EO48">
            <v>1148</v>
          </cell>
          <cell r="EP48">
            <v>186</v>
          </cell>
          <cell r="EQ48">
            <v>1661</v>
          </cell>
          <cell r="ER48">
            <v>3577</v>
          </cell>
          <cell r="ES48">
            <v>2874</v>
          </cell>
          <cell r="ET48">
            <v>177</v>
          </cell>
          <cell r="EU48">
            <v>196</v>
          </cell>
          <cell r="EV48">
            <v>144</v>
          </cell>
          <cell r="EW48">
            <v>186</v>
          </cell>
          <cell r="EX48">
            <v>7010</v>
          </cell>
          <cell r="EY48">
            <v>3236</v>
          </cell>
          <cell r="EZ48">
            <v>3774</v>
          </cell>
          <cell r="FA48">
            <v>2901</v>
          </cell>
          <cell r="FB48">
            <v>180012</v>
          </cell>
          <cell r="FC48">
            <v>138201</v>
          </cell>
          <cell r="FD48">
            <v>19967</v>
          </cell>
          <cell r="FE48">
            <v>5017</v>
          </cell>
          <cell r="FF48">
            <v>553</v>
          </cell>
          <cell r="FG48">
            <v>8952</v>
          </cell>
          <cell r="FH48">
            <v>753</v>
          </cell>
          <cell r="FI48">
            <v>3544</v>
          </cell>
          <cell r="FJ48">
            <v>1148</v>
          </cell>
          <cell r="FK48">
            <v>77150</v>
          </cell>
          <cell r="FL48">
            <v>14414</v>
          </cell>
          <cell r="FM48">
            <v>8195</v>
          </cell>
          <cell r="FN48">
            <v>8734</v>
          </cell>
          <cell r="FO48">
            <v>4562</v>
          </cell>
          <cell r="FP48">
            <v>8783</v>
          </cell>
          <cell r="FQ48">
            <v>1171</v>
          </cell>
          <cell r="FR48">
            <v>14942</v>
          </cell>
          <cell r="FS48">
            <v>753</v>
          </cell>
          <cell r="FT48">
            <v>11839</v>
          </cell>
          <cell r="FU48">
            <v>3757</v>
          </cell>
          <cell r="FV48">
            <v>39959</v>
          </cell>
          <cell r="FW48">
            <v>14414</v>
          </cell>
          <cell r="FX48">
            <v>8195</v>
          </cell>
          <cell r="FY48">
            <v>4562</v>
          </cell>
          <cell r="FZ48">
            <v>855</v>
          </cell>
          <cell r="GA48">
            <v>618</v>
          </cell>
          <cell r="GB48">
            <v>5091</v>
          </cell>
          <cell r="GC48">
            <v>3860</v>
          </cell>
          <cell r="GD48">
            <v>2364</v>
          </cell>
          <cell r="GE48">
            <v>2111</v>
          </cell>
          <cell r="GF48">
            <v>-3965</v>
          </cell>
          <cell r="GG48">
            <v>6076</v>
          </cell>
          <cell r="GH48">
            <v>100751</v>
          </cell>
          <cell r="GI48">
            <v>224</v>
          </cell>
          <cell r="GJ48">
            <v>40790</v>
          </cell>
          <cell r="GK48">
            <v>750</v>
          </cell>
          <cell r="GL48">
            <v>1440</v>
          </cell>
          <cell r="GM48">
            <v>10391</v>
          </cell>
          <cell r="GN48">
            <v>3722</v>
          </cell>
          <cell r="GO48">
            <v>6480</v>
          </cell>
          <cell r="GP48">
            <v>1845</v>
          </cell>
          <cell r="GQ48">
            <v>18269</v>
          </cell>
          <cell r="GR48">
            <v>16840</v>
          </cell>
          <cell r="GS48">
            <v>17224</v>
          </cell>
          <cell r="GT48">
            <v>8734</v>
          </cell>
          <cell r="GU48">
            <v>2911</v>
          </cell>
          <cell r="GV48">
            <v>899</v>
          </cell>
          <cell r="GW48">
            <v>4435</v>
          </cell>
          <cell r="GX48">
            <v>245</v>
          </cell>
        </row>
        <row r="49">
          <cell r="A49" t="str">
            <v>2001 Q1</v>
          </cell>
          <cell r="B49">
            <v>180313</v>
          </cell>
          <cell r="C49">
            <v>14575</v>
          </cell>
          <cell r="D49">
            <v>12856</v>
          </cell>
          <cell r="E49">
            <v>2343</v>
          </cell>
          <cell r="F49">
            <v>2844</v>
          </cell>
          <cell r="G49">
            <v>540</v>
          </cell>
          <cell r="H49">
            <v>1873</v>
          </cell>
          <cell r="I49">
            <v>433</v>
          </cell>
          <cell r="J49">
            <v>955</v>
          </cell>
          <cell r="K49">
            <v>1941</v>
          </cell>
          <cell r="L49">
            <v>1362</v>
          </cell>
          <cell r="M49">
            <v>565</v>
          </cell>
          <cell r="N49">
            <v>1719</v>
          </cell>
          <cell r="O49">
            <v>359</v>
          </cell>
          <cell r="P49">
            <v>1360</v>
          </cell>
          <cell r="Q49">
            <v>8205</v>
          </cell>
          <cell r="R49">
            <v>2780</v>
          </cell>
          <cell r="S49">
            <v>733</v>
          </cell>
          <cell r="T49">
            <v>1238</v>
          </cell>
          <cell r="U49">
            <v>809</v>
          </cell>
          <cell r="V49">
            <v>3542</v>
          </cell>
          <cell r="W49">
            <v>1883</v>
          </cell>
          <cell r="X49">
            <v>8746</v>
          </cell>
          <cell r="Y49">
            <v>7618</v>
          </cell>
          <cell r="Z49">
            <v>36</v>
          </cell>
          <cell r="AA49">
            <v>7069</v>
          </cell>
          <cell r="AB49">
            <v>315</v>
          </cell>
          <cell r="AC49">
            <v>198</v>
          </cell>
          <cell r="AD49">
            <v>1128</v>
          </cell>
          <cell r="AE49">
            <v>1114</v>
          </cell>
          <cell r="AF49">
            <v>14</v>
          </cell>
          <cell r="AG49">
            <v>45828</v>
          </cell>
          <cell r="AH49">
            <v>6979</v>
          </cell>
          <cell r="AI49">
            <v>6956</v>
          </cell>
          <cell r="AJ49">
            <v>23</v>
          </cell>
          <cell r="AK49">
            <v>33472</v>
          </cell>
          <cell r="AL49">
            <v>32332</v>
          </cell>
          <cell r="AM49">
            <v>1140</v>
          </cell>
          <cell r="AN49">
            <v>415</v>
          </cell>
          <cell r="AO49">
            <v>218</v>
          </cell>
          <cell r="AP49">
            <v>197</v>
          </cell>
          <cell r="AQ49">
            <v>1264</v>
          </cell>
          <cell r="AR49">
            <v>610</v>
          </cell>
          <cell r="AS49">
            <v>32</v>
          </cell>
          <cell r="AT49">
            <v>622</v>
          </cell>
          <cell r="AU49">
            <v>0</v>
          </cell>
          <cell r="AV49">
            <v>3698</v>
          </cell>
          <cell r="AW49">
            <v>1827</v>
          </cell>
          <cell r="AX49">
            <v>1548</v>
          </cell>
          <cell r="AY49">
            <v>158</v>
          </cell>
          <cell r="AZ49">
            <v>165</v>
          </cell>
          <cell r="BA49">
            <v>0</v>
          </cell>
          <cell r="BB49">
            <v>9916</v>
          </cell>
          <cell r="BC49">
            <v>3866</v>
          </cell>
          <cell r="BD49">
            <v>3006</v>
          </cell>
          <cell r="BE49">
            <v>845</v>
          </cell>
          <cell r="BF49">
            <v>15</v>
          </cell>
          <cell r="BG49">
            <v>1014</v>
          </cell>
          <cell r="BH49">
            <v>1609</v>
          </cell>
          <cell r="BI49">
            <v>1302</v>
          </cell>
          <cell r="BJ49">
            <v>206</v>
          </cell>
          <cell r="BK49">
            <v>101</v>
          </cell>
          <cell r="BL49">
            <v>1107</v>
          </cell>
          <cell r="BM49">
            <v>782</v>
          </cell>
          <cell r="BN49">
            <v>105</v>
          </cell>
          <cell r="BO49">
            <v>677</v>
          </cell>
          <cell r="BP49">
            <v>1538</v>
          </cell>
          <cell r="BQ49">
            <v>877</v>
          </cell>
          <cell r="BR49">
            <v>661</v>
          </cell>
          <cell r="BS49">
            <v>2992</v>
          </cell>
          <cell r="BT49">
            <v>1223</v>
          </cell>
          <cell r="BU49">
            <v>619</v>
          </cell>
          <cell r="BV49">
            <v>69</v>
          </cell>
          <cell r="BW49">
            <v>535</v>
          </cell>
          <cell r="BX49">
            <v>1052</v>
          </cell>
          <cell r="BY49">
            <v>665</v>
          </cell>
          <cell r="BZ49">
            <v>308</v>
          </cell>
          <cell r="CA49">
            <v>79</v>
          </cell>
          <cell r="CB49">
            <v>717</v>
          </cell>
          <cell r="CC49">
            <v>25857</v>
          </cell>
          <cell r="CD49">
            <v>9512</v>
          </cell>
          <cell r="CE49">
            <v>9134</v>
          </cell>
          <cell r="CF49">
            <v>227</v>
          </cell>
          <cell r="CG49">
            <v>151</v>
          </cell>
          <cell r="CH49">
            <v>9807</v>
          </cell>
          <cell r="CI49">
            <v>842</v>
          </cell>
          <cell r="CJ49">
            <v>5087</v>
          </cell>
          <cell r="CK49">
            <v>2930</v>
          </cell>
          <cell r="CL49">
            <v>948</v>
          </cell>
          <cell r="CM49">
            <v>6538</v>
          </cell>
          <cell r="CN49">
            <v>996</v>
          </cell>
          <cell r="CO49">
            <v>1765</v>
          </cell>
          <cell r="CP49">
            <v>2895</v>
          </cell>
          <cell r="CQ49">
            <v>559</v>
          </cell>
          <cell r="CR49">
            <v>323</v>
          </cell>
          <cell r="CS49">
            <v>4491</v>
          </cell>
          <cell r="CT49">
            <v>222</v>
          </cell>
          <cell r="CU49">
            <v>709</v>
          </cell>
          <cell r="CV49">
            <v>3560</v>
          </cell>
          <cell r="CW49">
            <v>18352</v>
          </cell>
          <cell r="CX49">
            <v>4080</v>
          </cell>
          <cell r="CY49">
            <v>1294</v>
          </cell>
          <cell r="CZ49">
            <v>386</v>
          </cell>
          <cell r="DA49">
            <v>1037</v>
          </cell>
          <cell r="DB49">
            <v>1305</v>
          </cell>
          <cell r="DC49">
            <v>58</v>
          </cell>
          <cell r="DD49">
            <v>1340</v>
          </cell>
          <cell r="DE49">
            <v>931</v>
          </cell>
          <cell r="DF49">
            <v>69</v>
          </cell>
          <cell r="DG49">
            <v>340</v>
          </cell>
          <cell r="DH49">
            <v>4372</v>
          </cell>
          <cell r="DI49">
            <v>1606</v>
          </cell>
          <cell r="DJ49">
            <v>911</v>
          </cell>
          <cell r="DK49">
            <v>888</v>
          </cell>
          <cell r="DL49">
            <v>720</v>
          </cell>
          <cell r="DM49">
            <v>247</v>
          </cell>
          <cell r="DN49">
            <v>5757</v>
          </cell>
          <cell r="DO49">
            <v>1343</v>
          </cell>
          <cell r="DP49">
            <v>2597</v>
          </cell>
          <cell r="DQ49">
            <v>1817</v>
          </cell>
          <cell r="DR49">
            <v>2803</v>
          </cell>
          <cell r="DS49">
            <v>639</v>
          </cell>
          <cell r="DT49">
            <v>1132</v>
          </cell>
          <cell r="DU49">
            <v>598</v>
          </cell>
          <cell r="DV49">
            <v>434</v>
          </cell>
          <cell r="DW49">
            <v>0</v>
          </cell>
          <cell r="DX49">
            <v>1802</v>
          </cell>
          <cell r="DY49">
            <v>18168</v>
          </cell>
          <cell r="DZ49">
            <v>14715</v>
          </cell>
          <cell r="EA49">
            <v>13506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1209</v>
          </cell>
          <cell r="EG49">
            <v>3453</v>
          </cell>
          <cell r="EH49">
            <v>21381</v>
          </cell>
          <cell r="EI49">
            <v>3445</v>
          </cell>
          <cell r="EJ49">
            <v>1088</v>
          </cell>
          <cell r="EK49">
            <v>72</v>
          </cell>
          <cell r="EL49">
            <v>2285</v>
          </cell>
          <cell r="EM49">
            <v>665</v>
          </cell>
          <cell r="EN49">
            <v>1354</v>
          </cell>
          <cell r="EO49">
            <v>1129</v>
          </cell>
          <cell r="EP49">
            <v>225</v>
          </cell>
          <cell r="EQ49">
            <v>1543</v>
          </cell>
          <cell r="ER49">
            <v>3919</v>
          </cell>
          <cell r="ES49">
            <v>2417</v>
          </cell>
          <cell r="ET49">
            <v>369</v>
          </cell>
          <cell r="EU49">
            <v>454</v>
          </cell>
          <cell r="EV49">
            <v>379</v>
          </cell>
          <cell r="EW49">
            <v>300</v>
          </cell>
          <cell r="EX49">
            <v>8158</v>
          </cell>
          <cell r="EY49">
            <v>4321</v>
          </cell>
          <cell r="EZ49">
            <v>3837</v>
          </cell>
          <cell r="FA49">
            <v>2297</v>
          </cell>
          <cell r="FB49">
            <v>182314</v>
          </cell>
          <cell r="FC49">
            <v>139690</v>
          </cell>
          <cell r="FD49">
            <v>20860</v>
          </cell>
          <cell r="FE49">
            <v>5258</v>
          </cell>
          <cell r="FF49">
            <v>535</v>
          </cell>
          <cell r="FG49">
            <v>9512</v>
          </cell>
          <cell r="FH49">
            <v>709</v>
          </cell>
          <cell r="FI49">
            <v>3717</v>
          </cell>
          <cell r="FJ49">
            <v>1129</v>
          </cell>
          <cell r="FK49">
            <v>78013</v>
          </cell>
          <cell r="FL49">
            <v>14575</v>
          </cell>
          <cell r="FM49">
            <v>8205</v>
          </cell>
          <cell r="FN49">
            <v>8534</v>
          </cell>
          <cell r="FO49">
            <v>4526</v>
          </cell>
          <cell r="FP49">
            <v>9139</v>
          </cell>
          <cell r="FQ49">
            <v>1223</v>
          </cell>
          <cell r="FR49">
            <v>15441</v>
          </cell>
          <cell r="FS49">
            <v>709</v>
          </cell>
          <cell r="FT49">
            <v>11950</v>
          </cell>
          <cell r="FU49">
            <v>3711</v>
          </cell>
          <cell r="FV49">
            <v>40015</v>
          </cell>
          <cell r="FW49">
            <v>14575</v>
          </cell>
          <cell r="FX49">
            <v>8205</v>
          </cell>
          <cell r="FY49">
            <v>4526</v>
          </cell>
          <cell r="FZ49">
            <v>877</v>
          </cell>
          <cell r="GA49">
            <v>688</v>
          </cell>
          <cell r="GB49">
            <v>5087</v>
          </cell>
          <cell r="GC49">
            <v>3772</v>
          </cell>
          <cell r="GD49">
            <v>2285</v>
          </cell>
          <cell r="GE49">
            <v>2001</v>
          </cell>
          <cell r="GF49">
            <v>-3919</v>
          </cell>
          <cell r="GG49">
            <v>5920</v>
          </cell>
          <cell r="GH49">
            <v>102300</v>
          </cell>
          <cell r="GI49">
            <v>212</v>
          </cell>
          <cell r="GJ49">
            <v>41302</v>
          </cell>
          <cell r="GK49">
            <v>777</v>
          </cell>
          <cell r="GL49">
            <v>1769</v>
          </cell>
          <cell r="GM49">
            <v>10416</v>
          </cell>
          <cell r="GN49">
            <v>3782</v>
          </cell>
          <cell r="GO49">
            <v>6402</v>
          </cell>
          <cell r="GP49">
            <v>1802</v>
          </cell>
          <cell r="GQ49">
            <v>18168</v>
          </cell>
          <cell r="GR49">
            <v>17670</v>
          </cell>
          <cell r="GS49">
            <v>17138</v>
          </cell>
          <cell r="GT49">
            <v>8534</v>
          </cell>
          <cell r="GU49">
            <v>3004</v>
          </cell>
          <cell r="GV49">
            <v>842</v>
          </cell>
          <cell r="GW49">
            <v>4461</v>
          </cell>
          <cell r="GX49">
            <v>297</v>
          </cell>
        </row>
        <row r="50">
          <cell r="A50" t="str">
            <v>2001 Q2</v>
          </cell>
          <cell r="B50">
            <v>181108</v>
          </cell>
          <cell r="C50">
            <v>14546</v>
          </cell>
          <cell r="D50">
            <v>12865</v>
          </cell>
          <cell r="E50">
            <v>2340</v>
          </cell>
          <cell r="F50">
            <v>2855</v>
          </cell>
          <cell r="G50">
            <v>556</v>
          </cell>
          <cell r="H50">
            <v>1722</v>
          </cell>
          <cell r="I50">
            <v>427</v>
          </cell>
          <cell r="J50">
            <v>986</v>
          </cell>
          <cell r="K50">
            <v>2078</v>
          </cell>
          <cell r="L50">
            <v>1332</v>
          </cell>
          <cell r="M50">
            <v>569</v>
          </cell>
          <cell r="N50">
            <v>1681</v>
          </cell>
          <cell r="O50">
            <v>332</v>
          </cell>
          <cell r="P50">
            <v>1349</v>
          </cell>
          <cell r="Q50">
            <v>8207</v>
          </cell>
          <cell r="R50">
            <v>2774</v>
          </cell>
          <cell r="S50">
            <v>734</v>
          </cell>
          <cell r="T50">
            <v>1256</v>
          </cell>
          <cell r="U50">
            <v>784</v>
          </cell>
          <cell r="V50">
            <v>3566</v>
          </cell>
          <cell r="W50">
            <v>1867</v>
          </cell>
          <cell r="X50">
            <v>8802</v>
          </cell>
          <cell r="Y50">
            <v>7616</v>
          </cell>
          <cell r="Z50">
            <v>51</v>
          </cell>
          <cell r="AA50">
            <v>7094</v>
          </cell>
          <cell r="AB50">
            <v>302</v>
          </cell>
          <cell r="AC50">
            <v>169</v>
          </cell>
          <cell r="AD50">
            <v>1186</v>
          </cell>
          <cell r="AE50">
            <v>1170</v>
          </cell>
          <cell r="AF50">
            <v>16</v>
          </cell>
          <cell r="AG50">
            <v>46183</v>
          </cell>
          <cell r="AH50">
            <v>6937</v>
          </cell>
          <cell r="AI50">
            <v>6914</v>
          </cell>
          <cell r="AJ50">
            <v>23</v>
          </cell>
          <cell r="AK50">
            <v>33856</v>
          </cell>
          <cell r="AL50">
            <v>32699</v>
          </cell>
          <cell r="AM50">
            <v>1157</v>
          </cell>
          <cell r="AN50">
            <v>442</v>
          </cell>
          <cell r="AO50">
            <v>233</v>
          </cell>
          <cell r="AP50">
            <v>209</v>
          </cell>
          <cell r="AQ50">
            <v>1275</v>
          </cell>
          <cell r="AR50">
            <v>614</v>
          </cell>
          <cell r="AS50">
            <v>34</v>
          </cell>
          <cell r="AT50">
            <v>627</v>
          </cell>
          <cell r="AU50">
            <v>0</v>
          </cell>
          <cell r="AV50">
            <v>3673</v>
          </cell>
          <cell r="AW50">
            <v>1786</v>
          </cell>
          <cell r="AX50">
            <v>1567</v>
          </cell>
          <cell r="AY50">
            <v>155</v>
          </cell>
          <cell r="AZ50">
            <v>165</v>
          </cell>
          <cell r="BA50">
            <v>0</v>
          </cell>
          <cell r="BB50">
            <v>10080</v>
          </cell>
          <cell r="BC50">
            <v>3876</v>
          </cell>
          <cell r="BD50">
            <v>3009</v>
          </cell>
          <cell r="BE50">
            <v>851</v>
          </cell>
          <cell r="BF50">
            <v>16</v>
          </cell>
          <cell r="BG50">
            <v>1038</v>
          </cell>
          <cell r="BH50">
            <v>1649</v>
          </cell>
          <cell r="BI50">
            <v>1336</v>
          </cell>
          <cell r="BJ50">
            <v>211</v>
          </cell>
          <cell r="BK50">
            <v>102</v>
          </cell>
          <cell r="BL50">
            <v>1120</v>
          </cell>
          <cell r="BM50">
            <v>815</v>
          </cell>
          <cell r="BN50">
            <v>161</v>
          </cell>
          <cell r="BO50">
            <v>654</v>
          </cell>
          <cell r="BP50">
            <v>1582</v>
          </cell>
          <cell r="BQ50">
            <v>948</v>
          </cell>
          <cell r="BR50">
            <v>634</v>
          </cell>
          <cell r="BS50">
            <v>2908</v>
          </cell>
          <cell r="BT50">
            <v>1199</v>
          </cell>
          <cell r="BU50">
            <v>683</v>
          </cell>
          <cell r="BV50">
            <v>55</v>
          </cell>
          <cell r="BW50">
            <v>461</v>
          </cell>
          <cell r="BX50">
            <v>1037</v>
          </cell>
          <cell r="BY50">
            <v>662</v>
          </cell>
          <cell r="BZ50">
            <v>293</v>
          </cell>
          <cell r="CA50">
            <v>82</v>
          </cell>
          <cell r="CB50">
            <v>672</v>
          </cell>
          <cell r="CC50">
            <v>26104</v>
          </cell>
          <cell r="CD50">
            <v>9536</v>
          </cell>
          <cell r="CE50">
            <v>9155</v>
          </cell>
          <cell r="CF50">
            <v>231</v>
          </cell>
          <cell r="CG50">
            <v>150</v>
          </cell>
          <cell r="CH50">
            <v>9846</v>
          </cell>
          <cell r="CI50">
            <v>1014</v>
          </cell>
          <cell r="CJ50">
            <v>4951</v>
          </cell>
          <cell r="CK50">
            <v>2926</v>
          </cell>
          <cell r="CL50">
            <v>955</v>
          </cell>
          <cell r="CM50">
            <v>6722</v>
          </cell>
          <cell r="CN50">
            <v>1028</v>
          </cell>
          <cell r="CO50">
            <v>1723</v>
          </cell>
          <cell r="CP50">
            <v>2934</v>
          </cell>
          <cell r="CQ50">
            <v>706</v>
          </cell>
          <cell r="CR50">
            <v>331</v>
          </cell>
          <cell r="CS50">
            <v>4477</v>
          </cell>
          <cell r="CT50">
            <v>213</v>
          </cell>
          <cell r="CU50">
            <v>765</v>
          </cell>
          <cell r="CV50">
            <v>3499</v>
          </cell>
          <cell r="CW50">
            <v>18880</v>
          </cell>
          <cell r="CX50">
            <v>4119</v>
          </cell>
          <cell r="CY50">
            <v>1306</v>
          </cell>
          <cell r="CZ50">
            <v>377</v>
          </cell>
          <cell r="DA50">
            <v>1046</v>
          </cell>
          <cell r="DB50">
            <v>1335</v>
          </cell>
          <cell r="DC50">
            <v>55</v>
          </cell>
          <cell r="DD50">
            <v>1377</v>
          </cell>
          <cell r="DE50">
            <v>952</v>
          </cell>
          <cell r="DF50">
            <v>82</v>
          </cell>
          <cell r="DG50">
            <v>343</v>
          </cell>
          <cell r="DH50">
            <v>4464</v>
          </cell>
          <cell r="DI50">
            <v>1631</v>
          </cell>
          <cell r="DJ50">
            <v>935</v>
          </cell>
          <cell r="DK50">
            <v>925</v>
          </cell>
          <cell r="DL50">
            <v>744</v>
          </cell>
          <cell r="DM50">
            <v>229</v>
          </cell>
          <cell r="DN50">
            <v>6060</v>
          </cell>
          <cell r="DO50">
            <v>1385</v>
          </cell>
          <cell r="DP50">
            <v>2817</v>
          </cell>
          <cell r="DQ50">
            <v>1858</v>
          </cell>
          <cell r="DR50">
            <v>2860</v>
          </cell>
          <cell r="DS50">
            <v>654</v>
          </cell>
          <cell r="DT50">
            <v>1169</v>
          </cell>
          <cell r="DU50">
            <v>590</v>
          </cell>
          <cell r="DV50">
            <v>447</v>
          </cell>
          <cell r="DW50">
            <v>0</v>
          </cell>
          <cell r="DX50">
            <v>1862</v>
          </cell>
          <cell r="DY50">
            <v>17937</v>
          </cell>
          <cell r="DZ50">
            <v>14749</v>
          </cell>
          <cell r="EA50">
            <v>13618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1131</v>
          </cell>
          <cell r="EG50">
            <v>3188</v>
          </cell>
          <cell r="EH50">
            <v>21122</v>
          </cell>
          <cell r="EI50">
            <v>3553</v>
          </cell>
          <cell r="EJ50">
            <v>1123</v>
          </cell>
          <cell r="EK50">
            <v>65</v>
          </cell>
          <cell r="EL50">
            <v>2365</v>
          </cell>
          <cell r="EM50">
            <v>677</v>
          </cell>
          <cell r="EN50">
            <v>1409</v>
          </cell>
          <cell r="EO50">
            <v>1172</v>
          </cell>
          <cell r="EP50">
            <v>237</v>
          </cell>
          <cell r="EQ50">
            <v>1635</v>
          </cell>
          <cell r="ER50">
            <v>4258</v>
          </cell>
          <cell r="ES50">
            <v>2415</v>
          </cell>
          <cell r="ET50">
            <v>397</v>
          </cell>
          <cell r="EU50">
            <v>504</v>
          </cell>
          <cell r="EV50">
            <v>452</v>
          </cell>
          <cell r="EW50">
            <v>490</v>
          </cell>
          <cell r="EX50">
            <v>7378</v>
          </cell>
          <cell r="EY50">
            <v>3537</v>
          </cell>
          <cell r="EZ50">
            <v>3841</v>
          </cell>
          <cell r="FA50">
            <v>2212</v>
          </cell>
          <cell r="FB50">
            <v>183509</v>
          </cell>
          <cell r="FC50">
            <v>140643</v>
          </cell>
          <cell r="FD50">
            <v>21054</v>
          </cell>
          <cell r="FE50">
            <v>5357</v>
          </cell>
          <cell r="FF50">
            <v>461</v>
          </cell>
          <cell r="FG50">
            <v>9536</v>
          </cell>
          <cell r="FH50">
            <v>765</v>
          </cell>
          <cell r="FI50">
            <v>3763</v>
          </cell>
          <cell r="FJ50">
            <v>1172</v>
          </cell>
          <cell r="FK50">
            <v>78715</v>
          </cell>
          <cell r="FL50">
            <v>14546</v>
          </cell>
          <cell r="FM50">
            <v>8207</v>
          </cell>
          <cell r="FN50">
            <v>8617</v>
          </cell>
          <cell r="FO50">
            <v>4520</v>
          </cell>
          <cell r="FP50">
            <v>9328</v>
          </cell>
          <cell r="FQ50">
            <v>1199</v>
          </cell>
          <cell r="FR50">
            <v>15501</v>
          </cell>
          <cell r="FS50">
            <v>765</v>
          </cell>
          <cell r="FT50">
            <v>12193</v>
          </cell>
          <cell r="FU50">
            <v>3839</v>
          </cell>
          <cell r="FV50">
            <v>40150</v>
          </cell>
          <cell r="FW50">
            <v>14546</v>
          </cell>
          <cell r="FX50">
            <v>8207</v>
          </cell>
          <cell r="FY50">
            <v>4520</v>
          </cell>
          <cell r="FZ50">
            <v>948</v>
          </cell>
          <cell r="GA50">
            <v>738</v>
          </cell>
          <cell r="GB50">
            <v>4951</v>
          </cell>
          <cell r="GC50">
            <v>3875</v>
          </cell>
          <cell r="GD50">
            <v>2365</v>
          </cell>
          <cell r="GE50">
            <v>2401</v>
          </cell>
          <cell r="GF50">
            <v>-3626</v>
          </cell>
          <cell r="GG50">
            <v>6027</v>
          </cell>
          <cell r="GH50">
            <v>102393</v>
          </cell>
          <cell r="GI50">
            <v>185</v>
          </cell>
          <cell r="GJ50">
            <v>41663</v>
          </cell>
          <cell r="GK50">
            <v>752</v>
          </cell>
          <cell r="GL50">
            <v>1709</v>
          </cell>
          <cell r="GM50">
            <v>10603</v>
          </cell>
          <cell r="GN50">
            <v>3712</v>
          </cell>
          <cell r="GO50">
            <v>6687</v>
          </cell>
          <cell r="GP50">
            <v>1862</v>
          </cell>
          <cell r="GQ50">
            <v>17937</v>
          </cell>
          <cell r="GR50">
            <v>17283</v>
          </cell>
          <cell r="GS50">
            <v>17511</v>
          </cell>
          <cell r="GT50">
            <v>8617</v>
          </cell>
          <cell r="GU50">
            <v>3023</v>
          </cell>
          <cell r="GV50">
            <v>1014</v>
          </cell>
          <cell r="GW50">
            <v>4555</v>
          </cell>
          <cell r="GX50">
            <v>302</v>
          </cell>
        </row>
        <row r="51">
          <cell r="A51" t="str">
            <v>2001 Q3</v>
          </cell>
          <cell r="B51">
            <v>183742</v>
          </cell>
          <cell r="C51">
            <v>14911</v>
          </cell>
          <cell r="D51">
            <v>13199</v>
          </cell>
          <cell r="E51">
            <v>2482</v>
          </cell>
          <cell r="F51">
            <v>2996</v>
          </cell>
          <cell r="G51">
            <v>601</v>
          </cell>
          <cell r="H51">
            <v>1756</v>
          </cell>
          <cell r="I51">
            <v>409</v>
          </cell>
          <cell r="J51">
            <v>963</v>
          </cell>
          <cell r="K51">
            <v>2056</v>
          </cell>
          <cell r="L51">
            <v>1364</v>
          </cell>
          <cell r="M51">
            <v>572</v>
          </cell>
          <cell r="N51">
            <v>1712</v>
          </cell>
          <cell r="O51">
            <v>347</v>
          </cell>
          <cell r="P51">
            <v>1365</v>
          </cell>
          <cell r="Q51">
            <v>8198</v>
          </cell>
          <cell r="R51">
            <v>2790</v>
          </cell>
          <cell r="S51">
            <v>736</v>
          </cell>
          <cell r="T51">
            <v>1277</v>
          </cell>
          <cell r="U51">
            <v>777</v>
          </cell>
          <cell r="V51">
            <v>3562</v>
          </cell>
          <cell r="W51">
            <v>1846</v>
          </cell>
          <cell r="X51">
            <v>9048</v>
          </cell>
          <cell r="Y51">
            <v>7832</v>
          </cell>
          <cell r="Z51">
            <v>27</v>
          </cell>
          <cell r="AA51">
            <v>7332</v>
          </cell>
          <cell r="AB51">
            <v>326</v>
          </cell>
          <cell r="AC51">
            <v>147</v>
          </cell>
          <cell r="AD51">
            <v>1216</v>
          </cell>
          <cell r="AE51">
            <v>1198</v>
          </cell>
          <cell r="AF51">
            <v>18</v>
          </cell>
          <cell r="AG51">
            <v>46624</v>
          </cell>
          <cell r="AH51">
            <v>7023</v>
          </cell>
          <cell r="AI51">
            <v>7000</v>
          </cell>
          <cell r="AJ51">
            <v>23</v>
          </cell>
          <cell r="AK51">
            <v>34115</v>
          </cell>
          <cell r="AL51">
            <v>32940</v>
          </cell>
          <cell r="AM51">
            <v>1175</v>
          </cell>
          <cell r="AN51">
            <v>451</v>
          </cell>
          <cell r="AO51">
            <v>233</v>
          </cell>
          <cell r="AP51">
            <v>218</v>
          </cell>
          <cell r="AQ51">
            <v>1287</v>
          </cell>
          <cell r="AR51">
            <v>625</v>
          </cell>
          <cell r="AS51">
            <v>29</v>
          </cell>
          <cell r="AT51">
            <v>633</v>
          </cell>
          <cell r="AU51">
            <v>0</v>
          </cell>
          <cell r="AV51">
            <v>3748</v>
          </cell>
          <cell r="AW51">
            <v>1860</v>
          </cell>
          <cell r="AX51">
            <v>1539</v>
          </cell>
          <cell r="AY51">
            <v>181</v>
          </cell>
          <cell r="AZ51">
            <v>168</v>
          </cell>
          <cell r="BA51">
            <v>0</v>
          </cell>
          <cell r="BB51">
            <v>10222</v>
          </cell>
          <cell r="BC51">
            <v>3994</v>
          </cell>
          <cell r="BD51">
            <v>3059</v>
          </cell>
          <cell r="BE51">
            <v>920</v>
          </cell>
          <cell r="BF51">
            <v>15</v>
          </cell>
          <cell r="BG51">
            <v>1039</v>
          </cell>
          <cell r="BH51">
            <v>1666</v>
          </cell>
          <cell r="BI51">
            <v>1392</v>
          </cell>
          <cell r="BJ51">
            <v>171</v>
          </cell>
          <cell r="BK51">
            <v>103</v>
          </cell>
          <cell r="BL51">
            <v>1092</v>
          </cell>
          <cell r="BM51">
            <v>802</v>
          </cell>
          <cell r="BN51">
            <v>107</v>
          </cell>
          <cell r="BO51">
            <v>695</v>
          </cell>
          <cell r="BP51">
            <v>1629</v>
          </cell>
          <cell r="BQ51">
            <v>994</v>
          </cell>
          <cell r="BR51">
            <v>635</v>
          </cell>
          <cell r="BS51">
            <v>2877</v>
          </cell>
          <cell r="BT51">
            <v>1211</v>
          </cell>
          <cell r="BU51">
            <v>735</v>
          </cell>
          <cell r="BV51">
            <v>61</v>
          </cell>
          <cell r="BW51">
            <v>415</v>
          </cell>
          <cell r="BX51">
            <v>1016</v>
          </cell>
          <cell r="BY51">
            <v>657</v>
          </cell>
          <cell r="BZ51">
            <v>281</v>
          </cell>
          <cell r="CA51">
            <v>78</v>
          </cell>
          <cell r="CB51">
            <v>650</v>
          </cell>
          <cell r="CC51">
            <v>26069</v>
          </cell>
          <cell r="CD51">
            <v>9772</v>
          </cell>
          <cell r="CE51">
            <v>9390</v>
          </cell>
          <cell r="CF51">
            <v>233</v>
          </cell>
          <cell r="CG51">
            <v>149</v>
          </cell>
          <cell r="CH51">
            <v>9755</v>
          </cell>
          <cell r="CI51">
            <v>948</v>
          </cell>
          <cell r="CJ51">
            <v>4808</v>
          </cell>
          <cell r="CK51">
            <v>3012</v>
          </cell>
          <cell r="CL51">
            <v>987</v>
          </cell>
          <cell r="CM51">
            <v>6542</v>
          </cell>
          <cell r="CN51">
            <v>1040</v>
          </cell>
          <cell r="CO51">
            <v>1672</v>
          </cell>
          <cell r="CP51">
            <v>2927</v>
          </cell>
          <cell r="CQ51">
            <v>567</v>
          </cell>
          <cell r="CR51">
            <v>336</v>
          </cell>
          <cell r="CS51">
            <v>4513</v>
          </cell>
          <cell r="CT51">
            <v>218</v>
          </cell>
          <cell r="CU51">
            <v>781</v>
          </cell>
          <cell r="CV51">
            <v>3514</v>
          </cell>
          <cell r="CW51">
            <v>19351</v>
          </cell>
          <cell r="CX51">
            <v>4170</v>
          </cell>
          <cell r="CY51">
            <v>1323</v>
          </cell>
          <cell r="CZ51">
            <v>376</v>
          </cell>
          <cell r="DA51">
            <v>1045</v>
          </cell>
          <cell r="DB51">
            <v>1369</v>
          </cell>
          <cell r="DC51">
            <v>57</v>
          </cell>
          <cell r="DD51">
            <v>1422</v>
          </cell>
          <cell r="DE51">
            <v>970</v>
          </cell>
          <cell r="DF51">
            <v>105</v>
          </cell>
          <cell r="DG51">
            <v>347</v>
          </cell>
          <cell r="DH51">
            <v>4588</v>
          </cell>
          <cell r="DI51">
            <v>1625</v>
          </cell>
          <cell r="DJ51">
            <v>951</v>
          </cell>
          <cell r="DK51">
            <v>975</v>
          </cell>
          <cell r="DL51">
            <v>800</v>
          </cell>
          <cell r="DM51">
            <v>237</v>
          </cell>
          <cell r="DN51">
            <v>6239</v>
          </cell>
          <cell r="DO51">
            <v>1354</v>
          </cell>
          <cell r="DP51">
            <v>3014</v>
          </cell>
          <cell r="DQ51">
            <v>1871</v>
          </cell>
          <cell r="DR51">
            <v>2932</v>
          </cell>
          <cell r="DS51">
            <v>673</v>
          </cell>
          <cell r="DT51">
            <v>1204</v>
          </cell>
          <cell r="DU51">
            <v>585</v>
          </cell>
          <cell r="DV51">
            <v>470</v>
          </cell>
          <cell r="DW51">
            <v>0</v>
          </cell>
          <cell r="DX51">
            <v>1906</v>
          </cell>
          <cell r="DY51">
            <v>18441</v>
          </cell>
          <cell r="DZ51">
            <v>15080</v>
          </cell>
          <cell r="EA51">
            <v>13932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1148</v>
          </cell>
          <cell r="EG51">
            <v>3361</v>
          </cell>
          <cell r="EH51">
            <v>21582</v>
          </cell>
          <cell r="EI51">
            <v>3610</v>
          </cell>
          <cell r="EJ51">
            <v>1139</v>
          </cell>
          <cell r="EK51">
            <v>48</v>
          </cell>
          <cell r="EL51">
            <v>2423</v>
          </cell>
          <cell r="EM51">
            <v>690</v>
          </cell>
          <cell r="EN51">
            <v>1418</v>
          </cell>
          <cell r="EO51">
            <v>1179</v>
          </cell>
          <cell r="EP51">
            <v>239</v>
          </cell>
          <cell r="EQ51">
            <v>1726</v>
          </cell>
          <cell r="ER51">
            <v>4334</v>
          </cell>
          <cell r="ES51">
            <v>2400</v>
          </cell>
          <cell r="ET51">
            <v>400</v>
          </cell>
          <cell r="EU51">
            <v>462</v>
          </cell>
          <cell r="EV51">
            <v>413</v>
          </cell>
          <cell r="EW51">
            <v>659</v>
          </cell>
          <cell r="EX51">
            <v>7481</v>
          </cell>
          <cell r="EY51">
            <v>3622</v>
          </cell>
          <cell r="EZ51">
            <v>3859</v>
          </cell>
          <cell r="FA51">
            <v>2323</v>
          </cell>
          <cell r="FB51">
            <v>186440</v>
          </cell>
          <cell r="FC51">
            <v>142581</v>
          </cell>
          <cell r="FD51">
            <v>21444</v>
          </cell>
          <cell r="FE51">
            <v>5478</v>
          </cell>
          <cell r="FF51">
            <v>415</v>
          </cell>
          <cell r="FG51">
            <v>9772</v>
          </cell>
          <cell r="FH51">
            <v>781</v>
          </cell>
          <cell r="FI51">
            <v>3819</v>
          </cell>
          <cell r="FJ51">
            <v>1179</v>
          </cell>
          <cell r="FK51">
            <v>79947</v>
          </cell>
          <cell r="FL51">
            <v>14911</v>
          </cell>
          <cell r="FM51">
            <v>8198</v>
          </cell>
          <cell r="FN51">
            <v>8883</v>
          </cell>
          <cell r="FO51">
            <v>4606</v>
          </cell>
          <cell r="FP51">
            <v>9469</v>
          </cell>
          <cell r="FQ51">
            <v>1211</v>
          </cell>
          <cell r="FR51">
            <v>15528</v>
          </cell>
          <cell r="FS51">
            <v>781</v>
          </cell>
          <cell r="FT51">
            <v>12471</v>
          </cell>
          <cell r="FU51">
            <v>3889</v>
          </cell>
          <cell r="FV51">
            <v>40770</v>
          </cell>
          <cell r="FW51">
            <v>14911</v>
          </cell>
          <cell r="FX51">
            <v>8198</v>
          </cell>
          <cell r="FY51">
            <v>4606</v>
          </cell>
          <cell r="FZ51">
            <v>994</v>
          </cell>
          <cell r="GA51">
            <v>796</v>
          </cell>
          <cell r="GB51">
            <v>4808</v>
          </cell>
          <cell r="GC51">
            <v>4034</v>
          </cell>
          <cell r="GD51">
            <v>2423</v>
          </cell>
          <cell r="GE51">
            <v>2698</v>
          </cell>
          <cell r="GF51">
            <v>-3652</v>
          </cell>
          <cell r="GG51">
            <v>6350</v>
          </cell>
          <cell r="GH51">
            <v>103795</v>
          </cell>
          <cell r="GI51">
            <v>165</v>
          </cell>
          <cell r="GJ51">
            <v>42018</v>
          </cell>
          <cell r="GK51">
            <v>753</v>
          </cell>
          <cell r="GL51">
            <v>1666</v>
          </cell>
          <cell r="GM51">
            <v>10541</v>
          </cell>
          <cell r="GN51">
            <v>3732</v>
          </cell>
          <cell r="GO51">
            <v>6880</v>
          </cell>
          <cell r="GP51">
            <v>1906</v>
          </cell>
          <cell r="GQ51">
            <v>18441</v>
          </cell>
          <cell r="GR51">
            <v>17693</v>
          </cell>
          <cell r="GS51">
            <v>17733</v>
          </cell>
          <cell r="GT51">
            <v>8883</v>
          </cell>
          <cell r="GU51">
            <v>2997</v>
          </cell>
          <cell r="GV51">
            <v>948</v>
          </cell>
          <cell r="GW51">
            <v>4618</v>
          </cell>
          <cell r="GX51">
            <v>287</v>
          </cell>
        </row>
        <row r="52">
          <cell r="A52" t="str">
            <v>2001 Q4</v>
          </cell>
          <cell r="B52">
            <v>183019</v>
          </cell>
          <cell r="C52">
            <v>15289</v>
          </cell>
          <cell r="D52">
            <v>13480</v>
          </cell>
          <cell r="E52">
            <v>2511</v>
          </cell>
          <cell r="F52">
            <v>2947</v>
          </cell>
          <cell r="G52">
            <v>609</v>
          </cell>
          <cell r="H52">
            <v>1802</v>
          </cell>
          <cell r="I52">
            <v>412</v>
          </cell>
          <cell r="J52">
            <v>1033</v>
          </cell>
          <cell r="K52">
            <v>2052</v>
          </cell>
          <cell r="L52">
            <v>1464</v>
          </cell>
          <cell r="M52">
            <v>650</v>
          </cell>
          <cell r="N52">
            <v>1809</v>
          </cell>
          <cell r="O52">
            <v>342</v>
          </cell>
          <cell r="P52">
            <v>1467</v>
          </cell>
          <cell r="Q52">
            <v>8116</v>
          </cell>
          <cell r="R52">
            <v>2767</v>
          </cell>
          <cell r="S52">
            <v>722</v>
          </cell>
          <cell r="T52">
            <v>1266</v>
          </cell>
          <cell r="U52">
            <v>779</v>
          </cell>
          <cell r="V52">
            <v>3531</v>
          </cell>
          <cell r="W52">
            <v>1818</v>
          </cell>
          <cell r="X52">
            <v>9277</v>
          </cell>
          <cell r="Y52">
            <v>8023</v>
          </cell>
          <cell r="Z52">
            <v>37</v>
          </cell>
          <cell r="AA52">
            <v>7523</v>
          </cell>
          <cell r="AB52">
            <v>322</v>
          </cell>
          <cell r="AC52">
            <v>141</v>
          </cell>
          <cell r="AD52">
            <v>1254</v>
          </cell>
          <cell r="AE52">
            <v>1236</v>
          </cell>
          <cell r="AF52">
            <v>18</v>
          </cell>
          <cell r="AG52">
            <v>46919</v>
          </cell>
          <cell r="AH52">
            <v>7115</v>
          </cell>
          <cell r="AI52">
            <v>7091</v>
          </cell>
          <cell r="AJ52">
            <v>24</v>
          </cell>
          <cell r="AK52">
            <v>34493</v>
          </cell>
          <cell r="AL52">
            <v>33299</v>
          </cell>
          <cell r="AM52">
            <v>1194</v>
          </cell>
          <cell r="AN52">
            <v>460</v>
          </cell>
          <cell r="AO52">
            <v>239</v>
          </cell>
          <cell r="AP52">
            <v>221</v>
          </cell>
          <cell r="AQ52">
            <v>1307</v>
          </cell>
          <cell r="AR52">
            <v>641</v>
          </cell>
          <cell r="AS52">
            <v>23</v>
          </cell>
          <cell r="AT52">
            <v>643</v>
          </cell>
          <cell r="AU52">
            <v>0</v>
          </cell>
          <cell r="AV52">
            <v>3544</v>
          </cell>
          <cell r="AW52">
            <v>1809</v>
          </cell>
          <cell r="AX52">
            <v>1492</v>
          </cell>
          <cell r="AY52">
            <v>106</v>
          </cell>
          <cell r="AZ52">
            <v>137</v>
          </cell>
          <cell r="BA52">
            <v>0</v>
          </cell>
          <cell r="BB52">
            <v>10314</v>
          </cell>
          <cell r="BC52">
            <v>4009</v>
          </cell>
          <cell r="BD52">
            <v>3108</v>
          </cell>
          <cell r="BE52">
            <v>896</v>
          </cell>
          <cell r="BF52">
            <v>5</v>
          </cell>
          <cell r="BG52">
            <v>1036</v>
          </cell>
          <cell r="BH52">
            <v>1671</v>
          </cell>
          <cell r="BI52">
            <v>1385</v>
          </cell>
          <cell r="BJ52">
            <v>181</v>
          </cell>
          <cell r="BK52">
            <v>105</v>
          </cell>
          <cell r="BL52">
            <v>1087</v>
          </cell>
          <cell r="BM52">
            <v>856</v>
          </cell>
          <cell r="BN52">
            <v>83</v>
          </cell>
          <cell r="BO52">
            <v>773</v>
          </cell>
          <cell r="BP52">
            <v>1655</v>
          </cell>
          <cell r="BQ52">
            <v>1042</v>
          </cell>
          <cell r="BR52">
            <v>613</v>
          </cell>
          <cell r="BS52">
            <v>2910</v>
          </cell>
          <cell r="BT52">
            <v>1232</v>
          </cell>
          <cell r="BU52">
            <v>778</v>
          </cell>
          <cell r="BV52">
            <v>63</v>
          </cell>
          <cell r="BW52">
            <v>391</v>
          </cell>
          <cell r="BX52">
            <v>1032</v>
          </cell>
          <cell r="BY52">
            <v>655</v>
          </cell>
          <cell r="BZ52">
            <v>289</v>
          </cell>
          <cell r="CA52">
            <v>88</v>
          </cell>
          <cell r="CB52">
            <v>646</v>
          </cell>
          <cell r="CC52">
            <v>25955</v>
          </cell>
          <cell r="CD52">
            <v>10055</v>
          </cell>
          <cell r="CE52">
            <v>9678</v>
          </cell>
          <cell r="CF52">
            <v>231</v>
          </cell>
          <cell r="CG52">
            <v>146</v>
          </cell>
          <cell r="CH52">
            <v>9672</v>
          </cell>
          <cell r="CI52">
            <v>781</v>
          </cell>
          <cell r="CJ52">
            <v>4787</v>
          </cell>
          <cell r="CK52">
            <v>3088</v>
          </cell>
          <cell r="CL52">
            <v>1016</v>
          </cell>
          <cell r="CM52">
            <v>6228</v>
          </cell>
          <cell r="CN52">
            <v>1032</v>
          </cell>
          <cell r="CO52">
            <v>1686</v>
          </cell>
          <cell r="CP52">
            <v>2648</v>
          </cell>
          <cell r="CQ52">
            <v>533</v>
          </cell>
          <cell r="CR52">
            <v>329</v>
          </cell>
          <cell r="CS52">
            <v>4613</v>
          </cell>
          <cell r="CT52">
            <v>199</v>
          </cell>
          <cell r="CU52">
            <v>850</v>
          </cell>
          <cell r="CV52">
            <v>3564</v>
          </cell>
          <cell r="CW52">
            <v>19131</v>
          </cell>
          <cell r="CX52">
            <v>4257</v>
          </cell>
          <cell r="CY52">
            <v>1356</v>
          </cell>
          <cell r="CZ52">
            <v>398</v>
          </cell>
          <cell r="DA52">
            <v>1047</v>
          </cell>
          <cell r="DB52">
            <v>1397</v>
          </cell>
          <cell r="DC52">
            <v>59</v>
          </cell>
          <cell r="DD52">
            <v>1418</v>
          </cell>
          <cell r="DE52">
            <v>1000</v>
          </cell>
          <cell r="DF52">
            <v>65</v>
          </cell>
          <cell r="DG52">
            <v>353</v>
          </cell>
          <cell r="DH52">
            <v>4644</v>
          </cell>
          <cell r="DI52">
            <v>1651</v>
          </cell>
          <cell r="DJ52">
            <v>996</v>
          </cell>
          <cell r="DK52">
            <v>934</v>
          </cell>
          <cell r="DL52">
            <v>828</v>
          </cell>
          <cell r="DM52">
            <v>235</v>
          </cell>
          <cell r="DN52">
            <v>5903</v>
          </cell>
          <cell r="DO52">
            <v>1390</v>
          </cell>
          <cell r="DP52">
            <v>2643</v>
          </cell>
          <cell r="DQ52">
            <v>1870</v>
          </cell>
          <cell r="DR52">
            <v>2909</v>
          </cell>
          <cell r="DS52">
            <v>679</v>
          </cell>
          <cell r="DT52">
            <v>1219</v>
          </cell>
          <cell r="DU52">
            <v>640</v>
          </cell>
          <cell r="DV52">
            <v>371</v>
          </cell>
          <cell r="DW52">
            <v>0</v>
          </cell>
          <cell r="DX52">
            <v>1930</v>
          </cell>
          <cell r="DY52">
            <v>18442</v>
          </cell>
          <cell r="DZ52">
            <v>15317</v>
          </cell>
          <cell r="EA52">
            <v>14173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1144</v>
          </cell>
          <cell r="EG52">
            <v>3125</v>
          </cell>
          <cell r="EH52">
            <v>20123</v>
          </cell>
          <cell r="EI52">
            <v>3637</v>
          </cell>
          <cell r="EJ52">
            <v>1125</v>
          </cell>
          <cell r="EK52">
            <v>54</v>
          </cell>
          <cell r="EL52">
            <v>2458</v>
          </cell>
          <cell r="EM52">
            <v>701</v>
          </cell>
          <cell r="EN52">
            <v>1416</v>
          </cell>
          <cell r="EO52">
            <v>1175</v>
          </cell>
          <cell r="EP52">
            <v>241</v>
          </cell>
          <cell r="EQ52">
            <v>1647</v>
          </cell>
          <cell r="ER52">
            <v>4112</v>
          </cell>
          <cell r="ES52">
            <v>2370</v>
          </cell>
          <cell r="ET52">
            <v>389</v>
          </cell>
          <cell r="EU52">
            <v>470</v>
          </cell>
          <cell r="EV52">
            <v>382</v>
          </cell>
          <cell r="EW52">
            <v>501</v>
          </cell>
          <cell r="EX52">
            <v>6492</v>
          </cell>
          <cell r="EY52">
            <v>2502</v>
          </cell>
          <cell r="EZ52">
            <v>3990</v>
          </cell>
          <cell r="FA52">
            <v>2118</v>
          </cell>
          <cell r="FB52">
            <v>185591</v>
          </cell>
          <cell r="FC52">
            <v>143284</v>
          </cell>
          <cell r="FD52">
            <v>21809</v>
          </cell>
          <cell r="FE52">
            <v>5472</v>
          </cell>
          <cell r="FF52">
            <v>391</v>
          </cell>
          <cell r="FG52">
            <v>10055</v>
          </cell>
          <cell r="FH52">
            <v>850</v>
          </cell>
          <cell r="FI52">
            <v>3866</v>
          </cell>
          <cell r="FJ52">
            <v>1175</v>
          </cell>
          <cell r="FK52">
            <v>80752</v>
          </cell>
          <cell r="FL52">
            <v>15289</v>
          </cell>
          <cell r="FM52">
            <v>8116</v>
          </cell>
          <cell r="FN52">
            <v>9118</v>
          </cell>
          <cell r="FO52">
            <v>4424</v>
          </cell>
          <cell r="FP52">
            <v>9591</v>
          </cell>
          <cell r="FQ52">
            <v>1232</v>
          </cell>
          <cell r="FR52">
            <v>15623</v>
          </cell>
          <cell r="FS52">
            <v>850</v>
          </cell>
          <cell r="FT52">
            <v>12581</v>
          </cell>
          <cell r="FU52">
            <v>3928</v>
          </cell>
          <cell r="FV52">
            <v>40949</v>
          </cell>
          <cell r="FW52">
            <v>15289</v>
          </cell>
          <cell r="FX52">
            <v>8116</v>
          </cell>
          <cell r="FY52">
            <v>4424</v>
          </cell>
          <cell r="FZ52">
            <v>1042</v>
          </cell>
          <cell r="GA52">
            <v>841</v>
          </cell>
          <cell r="GB52">
            <v>4787</v>
          </cell>
          <cell r="GC52">
            <v>3992</v>
          </cell>
          <cell r="GD52">
            <v>2458</v>
          </cell>
          <cell r="GE52">
            <v>2572</v>
          </cell>
          <cell r="GF52">
            <v>-3383</v>
          </cell>
          <cell r="GG52">
            <v>5955</v>
          </cell>
          <cell r="GH52">
            <v>102267</v>
          </cell>
          <cell r="GI52">
            <v>159</v>
          </cell>
          <cell r="GJ52">
            <v>42495</v>
          </cell>
          <cell r="GK52">
            <v>723</v>
          </cell>
          <cell r="GL52">
            <v>1678</v>
          </cell>
          <cell r="GM52">
            <v>10332</v>
          </cell>
          <cell r="GN52">
            <v>3763</v>
          </cell>
          <cell r="GO52">
            <v>6550</v>
          </cell>
          <cell r="GP52">
            <v>1930</v>
          </cell>
          <cell r="GQ52">
            <v>18442</v>
          </cell>
          <cell r="GR52">
            <v>16195</v>
          </cell>
          <cell r="GS52">
            <v>17994</v>
          </cell>
          <cell r="GT52">
            <v>9118</v>
          </cell>
          <cell r="GU52">
            <v>3077</v>
          </cell>
          <cell r="GV52">
            <v>781</v>
          </cell>
          <cell r="GW52">
            <v>4723</v>
          </cell>
          <cell r="GX52">
            <v>295</v>
          </cell>
        </row>
        <row r="53">
          <cell r="A53" t="str">
            <v>2002 Q1</v>
          </cell>
          <cell r="B53">
            <v>185389</v>
          </cell>
          <cell r="C53">
            <v>14790</v>
          </cell>
          <cell r="D53">
            <v>13100</v>
          </cell>
          <cell r="E53">
            <v>2426</v>
          </cell>
          <cell r="F53">
            <v>2885</v>
          </cell>
          <cell r="G53">
            <v>626</v>
          </cell>
          <cell r="H53">
            <v>1696</v>
          </cell>
          <cell r="I53">
            <v>409</v>
          </cell>
          <cell r="J53">
            <v>1039</v>
          </cell>
          <cell r="K53">
            <v>2045</v>
          </cell>
          <cell r="L53">
            <v>1425</v>
          </cell>
          <cell r="M53">
            <v>549</v>
          </cell>
          <cell r="N53">
            <v>1690</v>
          </cell>
          <cell r="O53">
            <v>331</v>
          </cell>
          <cell r="P53">
            <v>1359</v>
          </cell>
          <cell r="Q53">
            <v>8108</v>
          </cell>
          <cell r="R53">
            <v>2844</v>
          </cell>
          <cell r="S53">
            <v>721</v>
          </cell>
          <cell r="T53">
            <v>1320</v>
          </cell>
          <cell r="U53">
            <v>803</v>
          </cell>
          <cell r="V53">
            <v>3484</v>
          </cell>
          <cell r="W53">
            <v>1780</v>
          </cell>
          <cell r="X53">
            <v>9547</v>
          </cell>
          <cell r="Y53">
            <v>8236</v>
          </cell>
          <cell r="Z53">
            <v>43</v>
          </cell>
          <cell r="AA53">
            <v>7743</v>
          </cell>
          <cell r="AB53">
            <v>303</v>
          </cell>
          <cell r="AC53">
            <v>147</v>
          </cell>
          <cell r="AD53">
            <v>1311</v>
          </cell>
          <cell r="AE53">
            <v>1293</v>
          </cell>
          <cell r="AF53">
            <v>18</v>
          </cell>
          <cell r="AG53">
            <v>47308</v>
          </cell>
          <cell r="AH53">
            <v>7256</v>
          </cell>
          <cell r="AI53">
            <v>7231</v>
          </cell>
          <cell r="AJ53">
            <v>25</v>
          </cell>
          <cell r="AK53">
            <v>34591</v>
          </cell>
          <cell r="AL53">
            <v>33374</v>
          </cell>
          <cell r="AM53">
            <v>1217</v>
          </cell>
          <cell r="AN53">
            <v>484</v>
          </cell>
          <cell r="AO53">
            <v>241</v>
          </cell>
          <cell r="AP53">
            <v>243</v>
          </cell>
          <cell r="AQ53">
            <v>1370</v>
          </cell>
          <cell r="AR53">
            <v>657</v>
          </cell>
          <cell r="AS53">
            <v>45</v>
          </cell>
          <cell r="AT53">
            <v>668</v>
          </cell>
          <cell r="AU53">
            <v>0</v>
          </cell>
          <cell r="AV53">
            <v>3607</v>
          </cell>
          <cell r="AW53">
            <v>1880</v>
          </cell>
          <cell r="AX53">
            <v>1463</v>
          </cell>
          <cell r="AY53">
            <v>137</v>
          </cell>
          <cell r="AZ53">
            <v>127</v>
          </cell>
          <cell r="BA53">
            <v>0</v>
          </cell>
          <cell r="BB53">
            <v>10512</v>
          </cell>
          <cell r="BC53">
            <v>4189</v>
          </cell>
          <cell r="BD53">
            <v>3268</v>
          </cell>
          <cell r="BE53">
            <v>913</v>
          </cell>
          <cell r="BF53">
            <v>8</v>
          </cell>
          <cell r="BG53">
            <v>1080</v>
          </cell>
          <cell r="BH53">
            <v>1584</v>
          </cell>
          <cell r="BI53">
            <v>1371</v>
          </cell>
          <cell r="BJ53">
            <v>112</v>
          </cell>
          <cell r="BK53">
            <v>101</v>
          </cell>
          <cell r="BL53">
            <v>1060</v>
          </cell>
          <cell r="BM53">
            <v>865</v>
          </cell>
          <cell r="BN53">
            <v>74</v>
          </cell>
          <cell r="BO53">
            <v>791</v>
          </cell>
          <cell r="BP53">
            <v>1734</v>
          </cell>
          <cell r="BQ53">
            <v>1052</v>
          </cell>
          <cell r="BR53">
            <v>682</v>
          </cell>
          <cell r="BS53">
            <v>3101</v>
          </cell>
          <cell r="BT53">
            <v>1278</v>
          </cell>
          <cell r="BU53">
            <v>769</v>
          </cell>
          <cell r="BV53">
            <v>61</v>
          </cell>
          <cell r="BW53">
            <v>448</v>
          </cell>
          <cell r="BX53">
            <v>1104</v>
          </cell>
          <cell r="BY53">
            <v>694</v>
          </cell>
          <cell r="BZ53">
            <v>306</v>
          </cell>
          <cell r="CA53">
            <v>104</v>
          </cell>
          <cell r="CB53">
            <v>719</v>
          </cell>
          <cell r="CC53">
            <v>26065</v>
          </cell>
          <cell r="CD53">
            <v>9699</v>
          </cell>
          <cell r="CE53">
            <v>9310</v>
          </cell>
          <cell r="CF53">
            <v>247</v>
          </cell>
          <cell r="CG53">
            <v>142</v>
          </cell>
          <cell r="CH53">
            <v>9958</v>
          </cell>
          <cell r="CI53">
            <v>838</v>
          </cell>
          <cell r="CJ53">
            <v>4791</v>
          </cell>
          <cell r="CK53">
            <v>3272</v>
          </cell>
          <cell r="CL53">
            <v>1057</v>
          </cell>
          <cell r="CM53">
            <v>6408</v>
          </cell>
          <cell r="CN53">
            <v>1026</v>
          </cell>
          <cell r="CO53">
            <v>1677</v>
          </cell>
          <cell r="CP53">
            <v>2836</v>
          </cell>
          <cell r="CQ53">
            <v>539</v>
          </cell>
          <cell r="CR53">
            <v>330</v>
          </cell>
          <cell r="CS53">
            <v>4437</v>
          </cell>
          <cell r="CT53">
            <v>165</v>
          </cell>
          <cell r="CU53">
            <v>738</v>
          </cell>
          <cell r="CV53">
            <v>3534</v>
          </cell>
          <cell r="CW53">
            <v>20079</v>
          </cell>
          <cell r="CX53">
            <v>4352</v>
          </cell>
          <cell r="CY53">
            <v>1371</v>
          </cell>
          <cell r="CZ53">
            <v>489</v>
          </cell>
          <cell r="DA53">
            <v>974</v>
          </cell>
          <cell r="DB53">
            <v>1461</v>
          </cell>
          <cell r="DC53">
            <v>57</v>
          </cell>
          <cell r="DD53">
            <v>1400</v>
          </cell>
          <cell r="DE53">
            <v>1010</v>
          </cell>
          <cell r="DF53">
            <v>31</v>
          </cell>
          <cell r="DG53">
            <v>359</v>
          </cell>
          <cell r="DH53">
            <v>4758</v>
          </cell>
          <cell r="DI53">
            <v>1705</v>
          </cell>
          <cell r="DJ53">
            <v>987</v>
          </cell>
          <cell r="DK53">
            <v>974</v>
          </cell>
          <cell r="DL53">
            <v>843</v>
          </cell>
          <cell r="DM53">
            <v>249</v>
          </cell>
          <cell r="DN53">
            <v>6630</v>
          </cell>
          <cell r="DO53">
            <v>1473</v>
          </cell>
          <cell r="DP53">
            <v>3209</v>
          </cell>
          <cell r="DQ53">
            <v>1948</v>
          </cell>
          <cell r="DR53">
            <v>2939</v>
          </cell>
          <cell r="DS53">
            <v>664</v>
          </cell>
          <cell r="DT53">
            <v>1234</v>
          </cell>
          <cell r="DU53">
            <v>586</v>
          </cell>
          <cell r="DV53">
            <v>455</v>
          </cell>
          <cell r="DW53">
            <v>0</v>
          </cell>
          <cell r="DX53">
            <v>1942</v>
          </cell>
          <cell r="DY53">
            <v>18811</v>
          </cell>
          <cell r="DZ53">
            <v>15487</v>
          </cell>
          <cell r="EA53">
            <v>14353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1134</v>
          </cell>
          <cell r="EG53">
            <v>3324</v>
          </cell>
          <cell r="EH53">
            <v>20689</v>
          </cell>
          <cell r="EI53">
            <v>3732</v>
          </cell>
          <cell r="EJ53">
            <v>1130</v>
          </cell>
          <cell r="EK53">
            <v>53</v>
          </cell>
          <cell r="EL53">
            <v>2549</v>
          </cell>
          <cell r="EM53">
            <v>712</v>
          </cell>
          <cell r="EN53">
            <v>1562</v>
          </cell>
          <cell r="EO53">
            <v>1298</v>
          </cell>
          <cell r="EP53">
            <v>264</v>
          </cell>
          <cell r="EQ53">
            <v>1608</v>
          </cell>
          <cell r="ER53">
            <v>3316</v>
          </cell>
          <cell r="ES53">
            <v>1645</v>
          </cell>
          <cell r="ET53">
            <v>391</v>
          </cell>
          <cell r="EU53">
            <v>443</v>
          </cell>
          <cell r="EV53">
            <v>328</v>
          </cell>
          <cell r="EW53">
            <v>509</v>
          </cell>
          <cell r="EX53">
            <v>7601</v>
          </cell>
          <cell r="EY53">
            <v>3593</v>
          </cell>
          <cell r="EZ53">
            <v>4008</v>
          </cell>
          <cell r="FA53">
            <v>2158</v>
          </cell>
          <cell r="FB53">
            <v>187974</v>
          </cell>
          <cell r="FC53">
            <v>145153</v>
          </cell>
          <cell r="FD53">
            <v>21684</v>
          </cell>
          <cell r="FE53">
            <v>5626</v>
          </cell>
          <cell r="FF53">
            <v>448</v>
          </cell>
          <cell r="FG53">
            <v>9699</v>
          </cell>
          <cell r="FH53">
            <v>738</v>
          </cell>
          <cell r="FI53">
            <v>3875</v>
          </cell>
          <cell r="FJ53">
            <v>1298</v>
          </cell>
          <cell r="FK53">
            <v>80798</v>
          </cell>
          <cell r="FL53">
            <v>14790</v>
          </cell>
          <cell r="FM53">
            <v>8108</v>
          </cell>
          <cell r="FN53">
            <v>9382</v>
          </cell>
          <cell r="FO53">
            <v>4505</v>
          </cell>
          <cell r="FP53">
            <v>9721</v>
          </cell>
          <cell r="FQ53">
            <v>1278</v>
          </cell>
          <cell r="FR53">
            <v>15328</v>
          </cell>
          <cell r="FS53">
            <v>738</v>
          </cell>
          <cell r="FT53">
            <v>12784</v>
          </cell>
          <cell r="FU53">
            <v>4164</v>
          </cell>
          <cell r="FV53">
            <v>40717</v>
          </cell>
          <cell r="FW53">
            <v>14790</v>
          </cell>
          <cell r="FX53">
            <v>8108</v>
          </cell>
          <cell r="FY53">
            <v>4505</v>
          </cell>
          <cell r="FZ53">
            <v>1052</v>
          </cell>
          <cell r="GA53">
            <v>830</v>
          </cell>
          <cell r="GB53">
            <v>4791</v>
          </cell>
          <cell r="GC53">
            <v>4092</v>
          </cell>
          <cell r="GD53">
            <v>2549</v>
          </cell>
          <cell r="GE53">
            <v>2585</v>
          </cell>
          <cell r="GF53">
            <v>-3680</v>
          </cell>
          <cell r="GG53">
            <v>6265</v>
          </cell>
          <cell r="GH53">
            <v>104591</v>
          </cell>
          <cell r="GI53">
            <v>165</v>
          </cell>
          <cell r="GJ53">
            <v>42803</v>
          </cell>
          <cell r="GK53">
            <v>791</v>
          </cell>
          <cell r="GL53">
            <v>1823</v>
          </cell>
          <cell r="GM53">
            <v>10737</v>
          </cell>
          <cell r="GN53">
            <v>3699</v>
          </cell>
          <cell r="GO53">
            <v>7295</v>
          </cell>
          <cell r="GP53">
            <v>1942</v>
          </cell>
          <cell r="GQ53">
            <v>18811</v>
          </cell>
          <cell r="GR53">
            <v>16525</v>
          </cell>
          <cell r="GS53">
            <v>18397</v>
          </cell>
          <cell r="GT53">
            <v>9382</v>
          </cell>
          <cell r="GU53">
            <v>3043</v>
          </cell>
          <cell r="GV53">
            <v>838</v>
          </cell>
          <cell r="GW53">
            <v>4817</v>
          </cell>
          <cell r="GX53">
            <v>317</v>
          </cell>
        </row>
        <row r="54">
          <cell r="A54" t="str">
            <v>2002 Q2</v>
          </cell>
          <cell r="B54">
            <v>186503</v>
          </cell>
          <cell r="C54">
            <v>14822</v>
          </cell>
          <cell r="D54">
            <v>13145</v>
          </cell>
          <cell r="E54">
            <v>2454</v>
          </cell>
          <cell r="F54">
            <v>2855</v>
          </cell>
          <cell r="G54">
            <v>599</v>
          </cell>
          <cell r="H54">
            <v>1804</v>
          </cell>
          <cell r="I54">
            <v>405</v>
          </cell>
          <cell r="J54">
            <v>1021</v>
          </cell>
          <cell r="K54">
            <v>1978</v>
          </cell>
          <cell r="L54">
            <v>1438</v>
          </cell>
          <cell r="M54">
            <v>591</v>
          </cell>
          <cell r="N54">
            <v>1677</v>
          </cell>
          <cell r="O54">
            <v>346</v>
          </cell>
          <cell r="P54">
            <v>1331</v>
          </cell>
          <cell r="Q54">
            <v>8078</v>
          </cell>
          <cell r="R54">
            <v>2840</v>
          </cell>
          <cell r="S54">
            <v>724</v>
          </cell>
          <cell r="T54">
            <v>1315</v>
          </cell>
          <cell r="U54">
            <v>801</v>
          </cell>
          <cell r="V54">
            <v>3507</v>
          </cell>
          <cell r="W54">
            <v>1731</v>
          </cell>
          <cell r="X54">
            <v>9593</v>
          </cell>
          <cell r="Y54">
            <v>8272</v>
          </cell>
          <cell r="Z54">
            <v>40</v>
          </cell>
          <cell r="AA54">
            <v>7768</v>
          </cell>
          <cell r="AB54">
            <v>313</v>
          </cell>
          <cell r="AC54">
            <v>151</v>
          </cell>
          <cell r="AD54">
            <v>1321</v>
          </cell>
          <cell r="AE54">
            <v>1303</v>
          </cell>
          <cell r="AF54">
            <v>18</v>
          </cell>
          <cell r="AG54">
            <v>47588</v>
          </cell>
          <cell r="AH54">
            <v>7520</v>
          </cell>
          <cell r="AI54">
            <v>7495</v>
          </cell>
          <cell r="AJ54">
            <v>25</v>
          </cell>
          <cell r="AK54">
            <v>34522</v>
          </cell>
          <cell r="AL54">
            <v>33289</v>
          </cell>
          <cell r="AM54">
            <v>1233</v>
          </cell>
          <cell r="AN54">
            <v>460</v>
          </cell>
          <cell r="AO54">
            <v>230</v>
          </cell>
          <cell r="AP54">
            <v>230</v>
          </cell>
          <cell r="AQ54">
            <v>1375</v>
          </cell>
          <cell r="AR54">
            <v>658</v>
          </cell>
          <cell r="AS54">
            <v>50</v>
          </cell>
          <cell r="AT54">
            <v>667</v>
          </cell>
          <cell r="AU54">
            <v>0</v>
          </cell>
          <cell r="AV54">
            <v>3711</v>
          </cell>
          <cell r="AW54">
            <v>1924</v>
          </cell>
          <cell r="AX54">
            <v>1535</v>
          </cell>
          <cell r="AY54">
            <v>130</v>
          </cell>
          <cell r="AZ54">
            <v>122</v>
          </cell>
          <cell r="BA54">
            <v>0</v>
          </cell>
          <cell r="BB54">
            <v>10215</v>
          </cell>
          <cell r="BC54">
            <v>4079</v>
          </cell>
          <cell r="BD54">
            <v>3213</v>
          </cell>
          <cell r="BE54">
            <v>864</v>
          </cell>
          <cell r="BF54">
            <v>2</v>
          </cell>
          <cell r="BG54">
            <v>1056</v>
          </cell>
          <cell r="BH54">
            <v>1552</v>
          </cell>
          <cell r="BI54">
            <v>1205</v>
          </cell>
          <cell r="BJ54">
            <v>255</v>
          </cell>
          <cell r="BK54">
            <v>92</v>
          </cell>
          <cell r="BL54">
            <v>1023</v>
          </cell>
          <cell r="BM54">
            <v>849</v>
          </cell>
          <cell r="BN54">
            <v>97</v>
          </cell>
          <cell r="BO54">
            <v>752</v>
          </cell>
          <cell r="BP54">
            <v>1656</v>
          </cell>
          <cell r="BQ54">
            <v>1079</v>
          </cell>
          <cell r="BR54">
            <v>577</v>
          </cell>
          <cell r="BS54">
            <v>3139</v>
          </cell>
          <cell r="BT54">
            <v>1337</v>
          </cell>
          <cell r="BU54">
            <v>776</v>
          </cell>
          <cell r="BV54">
            <v>61</v>
          </cell>
          <cell r="BW54">
            <v>500</v>
          </cell>
          <cell r="BX54">
            <v>1109</v>
          </cell>
          <cell r="BY54">
            <v>668</v>
          </cell>
          <cell r="BZ54">
            <v>322</v>
          </cell>
          <cell r="CA54">
            <v>119</v>
          </cell>
          <cell r="CB54">
            <v>693</v>
          </cell>
          <cell r="CC54">
            <v>26363</v>
          </cell>
          <cell r="CD54">
            <v>9758</v>
          </cell>
          <cell r="CE54">
            <v>9386</v>
          </cell>
          <cell r="CF54">
            <v>233</v>
          </cell>
          <cell r="CG54">
            <v>139</v>
          </cell>
          <cell r="CH54">
            <v>10073</v>
          </cell>
          <cell r="CI54">
            <v>986</v>
          </cell>
          <cell r="CJ54">
            <v>4680</v>
          </cell>
          <cell r="CK54">
            <v>3365</v>
          </cell>
          <cell r="CL54">
            <v>1042</v>
          </cell>
          <cell r="CM54">
            <v>6532</v>
          </cell>
          <cell r="CN54">
            <v>963</v>
          </cell>
          <cell r="CO54">
            <v>1658</v>
          </cell>
          <cell r="CP54">
            <v>2857</v>
          </cell>
          <cell r="CQ54">
            <v>711</v>
          </cell>
          <cell r="CR54">
            <v>343</v>
          </cell>
          <cell r="CS54">
            <v>4542</v>
          </cell>
          <cell r="CT54">
            <v>142</v>
          </cell>
          <cell r="CU54">
            <v>752</v>
          </cell>
          <cell r="CV54">
            <v>3648</v>
          </cell>
          <cell r="CW54">
            <v>20151</v>
          </cell>
          <cell r="CX54">
            <v>4289</v>
          </cell>
          <cell r="CY54">
            <v>1384</v>
          </cell>
          <cell r="CZ54">
            <v>438</v>
          </cell>
          <cell r="DA54">
            <v>924</v>
          </cell>
          <cell r="DB54">
            <v>1496</v>
          </cell>
          <cell r="DC54">
            <v>47</v>
          </cell>
          <cell r="DD54">
            <v>1403</v>
          </cell>
          <cell r="DE54">
            <v>984</v>
          </cell>
          <cell r="DF54">
            <v>54</v>
          </cell>
          <cell r="DG54">
            <v>365</v>
          </cell>
          <cell r="DH54">
            <v>4853</v>
          </cell>
          <cell r="DI54">
            <v>1716</v>
          </cell>
          <cell r="DJ54">
            <v>946</v>
          </cell>
          <cell r="DK54">
            <v>1096</v>
          </cell>
          <cell r="DL54">
            <v>857</v>
          </cell>
          <cell r="DM54">
            <v>238</v>
          </cell>
          <cell r="DN54">
            <v>6673</v>
          </cell>
          <cell r="DO54">
            <v>1458</v>
          </cell>
          <cell r="DP54">
            <v>3265</v>
          </cell>
          <cell r="DQ54">
            <v>1950</v>
          </cell>
          <cell r="DR54">
            <v>2933</v>
          </cell>
          <cell r="DS54">
            <v>702</v>
          </cell>
          <cell r="DT54">
            <v>1214</v>
          </cell>
          <cell r="DU54">
            <v>586</v>
          </cell>
          <cell r="DV54">
            <v>431</v>
          </cell>
          <cell r="DW54">
            <v>0</v>
          </cell>
          <cell r="DX54">
            <v>1944</v>
          </cell>
          <cell r="DY54">
            <v>18838</v>
          </cell>
          <cell r="DZ54">
            <v>15332</v>
          </cell>
          <cell r="EA54">
            <v>14298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1034</v>
          </cell>
          <cell r="EG54">
            <v>3506</v>
          </cell>
          <cell r="EH54">
            <v>21230</v>
          </cell>
          <cell r="EI54">
            <v>3768</v>
          </cell>
          <cell r="EJ54">
            <v>1153</v>
          </cell>
          <cell r="EK54">
            <v>86</v>
          </cell>
          <cell r="EL54">
            <v>2529</v>
          </cell>
          <cell r="EM54">
            <v>723</v>
          </cell>
          <cell r="EN54">
            <v>1507</v>
          </cell>
          <cell r="EO54">
            <v>1253</v>
          </cell>
          <cell r="EP54">
            <v>254</v>
          </cell>
          <cell r="EQ54">
            <v>1765</v>
          </cell>
          <cell r="ER54">
            <v>3399</v>
          </cell>
          <cell r="ES54">
            <v>1615</v>
          </cell>
          <cell r="ET54">
            <v>405</v>
          </cell>
          <cell r="EU54">
            <v>491</v>
          </cell>
          <cell r="EV54">
            <v>390</v>
          </cell>
          <cell r="EW54">
            <v>498</v>
          </cell>
          <cell r="EX54">
            <v>7704</v>
          </cell>
          <cell r="EY54">
            <v>3488</v>
          </cell>
          <cell r="EZ54">
            <v>4216</v>
          </cell>
          <cell r="FA54">
            <v>2364</v>
          </cell>
          <cell r="FB54">
            <v>189064</v>
          </cell>
          <cell r="FC54">
            <v>147483</v>
          </cell>
          <cell r="FD54">
            <v>21426</v>
          </cell>
          <cell r="FE54">
            <v>5379</v>
          </cell>
          <cell r="FF54">
            <v>500</v>
          </cell>
          <cell r="FG54">
            <v>9758</v>
          </cell>
          <cell r="FH54">
            <v>752</v>
          </cell>
          <cell r="FI54">
            <v>3784</v>
          </cell>
          <cell r="FJ54">
            <v>1253</v>
          </cell>
          <cell r="FK54">
            <v>80930</v>
          </cell>
          <cell r="FL54">
            <v>14822</v>
          </cell>
          <cell r="FM54">
            <v>8078</v>
          </cell>
          <cell r="FN54">
            <v>9424</v>
          </cell>
          <cell r="FO54">
            <v>4599</v>
          </cell>
          <cell r="FP54">
            <v>9544</v>
          </cell>
          <cell r="FQ54">
            <v>1337</v>
          </cell>
          <cell r="FR54">
            <v>15424</v>
          </cell>
          <cell r="FS54">
            <v>752</v>
          </cell>
          <cell r="FT54">
            <v>12828</v>
          </cell>
          <cell r="FU54">
            <v>4122</v>
          </cell>
          <cell r="FV54">
            <v>40808</v>
          </cell>
          <cell r="FW54">
            <v>14822</v>
          </cell>
          <cell r="FX54">
            <v>8078</v>
          </cell>
          <cell r="FY54">
            <v>4599</v>
          </cell>
          <cell r="FZ54">
            <v>1079</v>
          </cell>
          <cell r="GA54">
            <v>837</v>
          </cell>
          <cell r="GB54">
            <v>4680</v>
          </cell>
          <cell r="GC54">
            <v>4184</v>
          </cell>
          <cell r="GD54">
            <v>2529</v>
          </cell>
          <cell r="GE54">
            <v>2561</v>
          </cell>
          <cell r="GF54">
            <v>-3911</v>
          </cell>
          <cell r="GG54">
            <v>6472</v>
          </cell>
          <cell r="GH54">
            <v>105573</v>
          </cell>
          <cell r="GI54">
            <v>169</v>
          </cell>
          <cell r="GJ54">
            <v>42989</v>
          </cell>
          <cell r="GK54">
            <v>671</v>
          </cell>
          <cell r="GL54">
            <v>1802</v>
          </cell>
          <cell r="GM54">
            <v>10939</v>
          </cell>
          <cell r="GN54">
            <v>3790</v>
          </cell>
          <cell r="GO54">
            <v>7323</v>
          </cell>
          <cell r="GP54">
            <v>1944</v>
          </cell>
          <cell r="GQ54">
            <v>18838</v>
          </cell>
          <cell r="GR54">
            <v>17108</v>
          </cell>
          <cell r="GS54">
            <v>18696</v>
          </cell>
          <cell r="GT54">
            <v>9424</v>
          </cell>
          <cell r="GU54">
            <v>3086</v>
          </cell>
          <cell r="GV54">
            <v>986</v>
          </cell>
          <cell r="GW54">
            <v>4860</v>
          </cell>
          <cell r="GX54">
            <v>340</v>
          </cell>
        </row>
        <row r="55">
          <cell r="A55" t="str">
            <v>2002 Q3</v>
          </cell>
          <cell r="B55">
            <v>188660</v>
          </cell>
          <cell r="C55">
            <v>15182</v>
          </cell>
          <cell r="D55">
            <v>13474</v>
          </cell>
          <cell r="E55">
            <v>2603</v>
          </cell>
          <cell r="F55">
            <v>2886</v>
          </cell>
          <cell r="G55">
            <v>598</v>
          </cell>
          <cell r="H55">
            <v>1788</v>
          </cell>
          <cell r="I55">
            <v>435</v>
          </cell>
          <cell r="J55">
            <v>1064</v>
          </cell>
          <cell r="K55">
            <v>2073</v>
          </cell>
          <cell r="L55">
            <v>1413</v>
          </cell>
          <cell r="M55">
            <v>614</v>
          </cell>
          <cell r="N55">
            <v>1708</v>
          </cell>
          <cell r="O55">
            <v>323</v>
          </cell>
          <cell r="P55">
            <v>1385</v>
          </cell>
          <cell r="Q55">
            <v>8116</v>
          </cell>
          <cell r="R55">
            <v>2886</v>
          </cell>
          <cell r="S55">
            <v>726</v>
          </cell>
          <cell r="T55">
            <v>1353</v>
          </cell>
          <cell r="U55">
            <v>807</v>
          </cell>
          <cell r="V55">
            <v>3564</v>
          </cell>
          <cell r="W55">
            <v>1666</v>
          </cell>
          <cell r="X55">
            <v>9743</v>
          </cell>
          <cell r="Y55">
            <v>8416</v>
          </cell>
          <cell r="Z55">
            <v>36</v>
          </cell>
          <cell r="AA55">
            <v>7914</v>
          </cell>
          <cell r="AB55">
            <v>317</v>
          </cell>
          <cell r="AC55">
            <v>149</v>
          </cell>
          <cell r="AD55">
            <v>1327</v>
          </cell>
          <cell r="AE55">
            <v>1310</v>
          </cell>
          <cell r="AF55">
            <v>17</v>
          </cell>
          <cell r="AG55">
            <v>48011</v>
          </cell>
          <cell r="AH55">
            <v>7787</v>
          </cell>
          <cell r="AI55">
            <v>7761</v>
          </cell>
          <cell r="AJ55">
            <v>26</v>
          </cell>
          <cell r="AK55">
            <v>34636</v>
          </cell>
          <cell r="AL55">
            <v>33386</v>
          </cell>
          <cell r="AM55">
            <v>1250</v>
          </cell>
          <cell r="AN55">
            <v>470</v>
          </cell>
          <cell r="AO55">
            <v>236</v>
          </cell>
          <cell r="AP55">
            <v>234</v>
          </cell>
          <cell r="AQ55">
            <v>1398</v>
          </cell>
          <cell r="AR55">
            <v>679</v>
          </cell>
          <cell r="AS55">
            <v>45</v>
          </cell>
          <cell r="AT55">
            <v>674</v>
          </cell>
          <cell r="AU55">
            <v>0</v>
          </cell>
          <cell r="AV55">
            <v>3720</v>
          </cell>
          <cell r="AW55">
            <v>1972</v>
          </cell>
          <cell r="AX55">
            <v>1480</v>
          </cell>
          <cell r="AY55">
            <v>154</v>
          </cell>
          <cell r="AZ55">
            <v>114</v>
          </cell>
          <cell r="BA55">
            <v>0</v>
          </cell>
          <cell r="BB55">
            <v>10353</v>
          </cell>
          <cell r="BC55">
            <v>4138</v>
          </cell>
          <cell r="BD55">
            <v>3283</v>
          </cell>
          <cell r="BE55">
            <v>853</v>
          </cell>
          <cell r="BF55">
            <v>2</v>
          </cell>
          <cell r="BG55">
            <v>1078</v>
          </cell>
          <cell r="BH55">
            <v>1583</v>
          </cell>
          <cell r="BI55">
            <v>1259</v>
          </cell>
          <cell r="BJ55">
            <v>241</v>
          </cell>
          <cell r="BK55">
            <v>83</v>
          </cell>
          <cell r="BL55">
            <v>1002</v>
          </cell>
          <cell r="BM55">
            <v>892</v>
          </cell>
          <cell r="BN55">
            <v>80</v>
          </cell>
          <cell r="BO55">
            <v>812</v>
          </cell>
          <cell r="BP55">
            <v>1660</v>
          </cell>
          <cell r="BQ55">
            <v>1096</v>
          </cell>
          <cell r="BR55">
            <v>564</v>
          </cell>
          <cell r="BS55">
            <v>3117</v>
          </cell>
          <cell r="BT55">
            <v>1372</v>
          </cell>
          <cell r="BU55">
            <v>764</v>
          </cell>
          <cell r="BV55">
            <v>59</v>
          </cell>
          <cell r="BW55">
            <v>549</v>
          </cell>
          <cell r="BX55">
            <v>1063</v>
          </cell>
          <cell r="BY55">
            <v>635</v>
          </cell>
          <cell r="BZ55">
            <v>324</v>
          </cell>
          <cell r="CA55">
            <v>104</v>
          </cell>
          <cell r="CB55">
            <v>682</v>
          </cell>
          <cell r="CC55">
            <v>26710</v>
          </cell>
          <cell r="CD55">
            <v>9794</v>
          </cell>
          <cell r="CE55">
            <v>9428</v>
          </cell>
          <cell r="CF55">
            <v>228</v>
          </cell>
          <cell r="CG55">
            <v>138</v>
          </cell>
          <cell r="CH55">
            <v>10268</v>
          </cell>
          <cell r="CI55">
            <v>850</v>
          </cell>
          <cell r="CJ55">
            <v>4909</v>
          </cell>
          <cell r="CK55">
            <v>3442</v>
          </cell>
          <cell r="CL55">
            <v>1067</v>
          </cell>
          <cell r="CM55">
            <v>6648</v>
          </cell>
          <cell r="CN55">
            <v>969</v>
          </cell>
          <cell r="CO55">
            <v>1679</v>
          </cell>
          <cell r="CP55">
            <v>2900</v>
          </cell>
          <cell r="CQ55">
            <v>759</v>
          </cell>
          <cell r="CR55">
            <v>341</v>
          </cell>
          <cell r="CS55">
            <v>4542</v>
          </cell>
          <cell r="CT55">
            <v>131</v>
          </cell>
          <cell r="CU55">
            <v>742</v>
          </cell>
          <cell r="CV55">
            <v>3669</v>
          </cell>
          <cell r="CW55">
            <v>20194</v>
          </cell>
          <cell r="CX55">
            <v>4206</v>
          </cell>
          <cell r="CY55">
            <v>1363</v>
          </cell>
          <cell r="CZ55">
            <v>395</v>
          </cell>
          <cell r="DA55">
            <v>884</v>
          </cell>
          <cell r="DB55">
            <v>1522</v>
          </cell>
          <cell r="DC55">
            <v>42</v>
          </cell>
          <cell r="DD55">
            <v>1435</v>
          </cell>
          <cell r="DE55">
            <v>1007</v>
          </cell>
          <cell r="DF55">
            <v>58</v>
          </cell>
          <cell r="DG55">
            <v>370</v>
          </cell>
          <cell r="DH55">
            <v>4741</v>
          </cell>
          <cell r="DI55">
            <v>1726</v>
          </cell>
          <cell r="DJ55">
            <v>892</v>
          </cell>
          <cell r="DK55">
            <v>1014</v>
          </cell>
          <cell r="DL55">
            <v>861</v>
          </cell>
          <cell r="DM55">
            <v>248</v>
          </cell>
          <cell r="DN55">
            <v>6879</v>
          </cell>
          <cell r="DO55">
            <v>1655</v>
          </cell>
          <cell r="DP55">
            <v>3265</v>
          </cell>
          <cell r="DQ55">
            <v>1959</v>
          </cell>
          <cell r="DR55">
            <v>2933</v>
          </cell>
          <cell r="DS55">
            <v>713</v>
          </cell>
          <cell r="DT55">
            <v>1215</v>
          </cell>
          <cell r="DU55">
            <v>627</v>
          </cell>
          <cell r="DV55">
            <v>378</v>
          </cell>
          <cell r="DW55">
            <v>0</v>
          </cell>
          <cell r="DX55">
            <v>1947</v>
          </cell>
          <cell r="DY55">
            <v>19311</v>
          </cell>
          <cell r="DZ55">
            <v>15628</v>
          </cell>
          <cell r="EA55">
            <v>14553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1075</v>
          </cell>
          <cell r="EG55">
            <v>3683</v>
          </cell>
          <cell r="EH55">
            <v>21434</v>
          </cell>
          <cell r="EI55">
            <v>3790</v>
          </cell>
          <cell r="EJ55">
            <v>1176</v>
          </cell>
          <cell r="EK55">
            <v>87</v>
          </cell>
          <cell r="EL55">
            <v>2527</v>
          </cell>
          <cell r="EM55">
            <v>734</v>
          </cell>
          <cell r="EN55">
            <v>1452</v>
          </cell>
          <cell r="EO55">
            <v>1199</v>
          </cell>
          <cell r="EP55">
            <v>253</v>
          </cell>
          <cell r="EQ55">
            <v>1466</v>
          </cell>
          <cell r="ER55">
            <v>3629</v>
          </cell>
          <cell r="ES55">
            <v>1594</v>
          </cell>
          <cell r="ET55">
            <v>463</v>
          </cell>
          <cell r="EU55">
            <v>535</v>
          </cell>
          <cell r="EV55">
            <v>492</v>
          </cell>
          <cell r="EW55">
            <v>545</v>
          </cell>
          <cell r="EX55">
            <v>8131</v>
          </cell>
          <cell r="EY55">
            <v>3901</v>
          </cell>
          <cell r="EZ55">
            <v>4230</v>
          </cell>
          <cell r="FA55">
            <v>2232</v>
          </cell>
          <cell r="FB55">
            <v>191119</v>
          </cell>
          <cell r="FC55">
            <v>148723</v>
          </cell>
          <cell r="FD55">
            <v>21466</v>
          </cell>
          <cell r="FE55">
            <v>5475</v>
          </cell>
          <cell r="FF55">
            <v>549</v>
          </cell>
          <cell r="FG55">
            <v>9794</v>
          </cell>
          <cell r="FH55">
            <v>742</v>
          </cell>
          <cell r="FI55">
            <v>3707</v>
          </cell>
          <cell r="FJ55">
            <v>1199</v>
          </cell>
          <cell r="FK55">
            <v>81602</v>
          </cell>
          <cell r="FL55">
            <v>15182</v>
          </cell>
          <cell r="FM55">
            <v>8116</v>
          </cell>
          <cell r="FN55">
            <v>9577</v>
          </cell>
          <cell r="FO55">
            <v>4635</v>
          </cell>
          <cell r="FP55">
            <v>9704</v>
          </cell>
          <cell r="FQ55">
            <v>1372</v>
          </cell>
          <cell r="FR55">
            <v>15553</v>
          </cell>
          <cell r="FS55">
            <v>742</v>
          </cell>
          <cell r="FT55">
            <v>12655</v>
          </cell>
          <cell r="FU55">
            <v>4066</v>
          </cell>
          <cell r="FV55">
            <v>41383</v>
          </cell>
          <cell r="FW55">
            <v>15182</v>
          </cell>
          <cell r="FX55">
            <v>8116</v>
          </cell>
          <cell r="FY55">
            <v>4635</v>
          </cell>
          <cell r="FZ55">
            <v>1096</v>
          </cell>
          <cell r="GA55">
            <v>823</v>
          </cell>
          <cell r="GB55">
            <v>4909</v>
          </cell>
          <cell r="GC55">
            <v>4095</v>
          </cell>
          <cell r="GD55">
            <v>2527</v>
          </cell>
          <cell r="GE55">
            <v>2459</v>
          </cell>
          <cell r="GF55">
            <v>-4007</v>
          </cell>
          <cell r="GG55">
            <v>6466</v>
          </cell>
          <cell r="GH55">
            <v>107058</v>
          </cell>
          <cell r="GI55">
            <v>166</v>
          </cell>
          <cell r="GJ55">
            <v>43376</v>
          </cell>
          <cell r="GK55">
            <v>649</v>
          </cell>
          <cell r="GL55">
            <v>1745</v>
          </cell>
          <cell r="GM55">
            <v>11157</v>
          </cell>
          <cell r="GN55">
            <v>3800</v>
          </cell>
          <cell r="GO55">
            <v>7539</v>
          </cell>
          <cell r="GP55">
            <v>1947</v>
          </cell>
          <cell r="GQ55">
            <v>19311</v>
          </cell>
          <cell r="GR55">
            <v>17368</v>
          </cell>
          <cell r="GS55">
            <v>18753</v>
          </cell>
          <cell r="GT55">
            <v>9577</v>
          </cell>
          <cell r="GU55">
            <v>3133</v>
          </cell>
          <cell r="GV55">
            <v>850</v>
          </cell>
          <cell r="GW55">
            <v>4853</v>
          </cell>
          <cell r="GX55">
            <v>340</v>
          </cell>
        </row>
        <row r="56">
          <cell r="A56" t="str">
            <v>2002 Q4</v>
          </cell>
          <cell r="B56">
            <v>191369</v>
          </cell>
          <cell r="C56">
            <v>15783</v>
          </cell>
          <cell r="D56">
            <v>14007</v>
          </cell>
          <cell r="E56">
            <v>2668</v>
          </cell>
          <cell r="F56">
            <v>3048</v>
          </cell>
          <cell r="G56">
            <v>662</v>
          </cell>
          <cell r="H56">
            <v>1873</v>
          </cell>
          <cell r="I56">
            <v>414</v>
          </cell>
          <cell r="J56">
            <v>1140</v>
          </cell>
          <cell r="K56">
            <v>2107</v>
          </cell>
          <cell r="L56">
            <v>1482</v>
          </cell>
          <cell r="M56">
            <v>613</v>
          </cell>
          <cell r="N56">
            <v>1776</v>
          </cell>
          <cell r="O56">
            <v>344</v>
          </cell>
          <cell r="P56">
            <v>1432</v>
          </cell>
          <cell r="Q56">
            <v>8232</v>
          </cell>
          <cell r="R56">
            <v>2982</v>
          </cell>
          <cell r="S56">
            <v>751</v>
          </cell>
          <cell r="T56">
            <v>1378</v>
          </cell>
          <cell r="U56">
            <v>853</v>
          </cell>
          <cell r="V56">
            <v>3660</v>
          </cell>
          <cell r="W56">
            <v>1590</v>
          </cell>
          <cell r="X56">
            <v>9861</v>
          </cell>
          <cell r="Y56">
            <v>8539</v>
          </cell>
          <cell r="Z56">
            <v>10</v>
          </cell>
          <cell r="AA56">
            <v>8045</v>
          </cell>
          <cell r="AB56">
            <v>341</v>
          </cell>
          <cell r="AC56">
            <v>143</v>
          </cell>
          <cell r="AD56">
            <v>1322</v>
          </cell>
          <cell r="AE56">
            <v>1305</v>
          </cell>
          <cell r="AF56">
            <v>17</v>
          </cell>
          <cell r="AG56">
            <v>48700</v>
          </cell>
          <cell r="AH56">
            <v>8050</v>
          </cell>
          <cell r="AI56">
            <v>8024</v>
          </cell>
          <cell r="AJ56">
            <v>26</v>
          </cell>
          <cell r="AK56">
            <v>35061</v>
          </cell>
          <cell r="AL56">
            <v>33789</v>
          </cell>
          <cell r="AM56">
            <v>1272</v>
          </cell>
          <cell r="AN56">
            <v>453</v>
          </cell>
          <cell r="AO56">
            <v>228</v>
          </cell>
          <cell r="AP56">
            <v>225</v>
          </cell>
          <cell r="AQ56">
            <v>1422</v>
          </cell>
          <cell r="AR56">
            <v>704</v>
          </cell>
          <cell r="AS56">
            <v>39</v>
          </cell>
          <cell r="AT56">
            <v>679</v>
          </cell>
          <cell r="AU56">
            <v>0</v>
          </cell>
          <cell r="AV56">
            <v>3714</v>
          </cell>
          <cell r="AW56">
            <v>1914</v>
          </cell>
          <cell r="AX56">
            <v>1538</v>
          </cell>
          <cell r="AY56">
            <v>145</v>
          </cell>
          <cell r="AZ56">
            <v>117</v>
          </cell>
          <cell r="BA56">
            <v>0</v>
          </cell>
          <cell r="BB56">
            <v>10497</v>
          </cell>
          <cell r="BC56">
            <v>4115</v>
          </cell>
          <cell r="BD56">
            <v>3263</v>
          </cell>
          <cell r="BE56">
            <v>850</v>
          </cell>
          <cell r="BF56">
            <v>2</v>
          </cell>
          <cell r="BG56">
            <v>1062</v>
          </cell>
          <cell r="BH56">
            <v>1660</v>
          </cell>
          <cell r="BI56">
            <v>1367</v>
          </cell>
          <cell r="BJ56">
            <v>213</v>
          </cell>
          <cell r="BK56">
            <v>80</v>
          </cell>
          <cell r="BL56">
            <v>990</v>
          </cell>
          <cell r="BM56">
            <v>960</v>
          </cell>
          <cell r="BN56">
            <v>158</v>
          </cell>
          <cell r="BO56">
            <v>802</v>
          </cell>
          <cell r="BP56">
            <v>1710</v>
          </cell>
          <cell r="BQ56">
            <v>1090</v>
          </cell>
          <cell r="BR56">
            <v>620</v>
          </cell>
          <cell r="BS56">
            <v>3117</v>
          </cell>
          <cell r="BT56">
            <v>1397</v>
          </cell>
          <cell r="BU56">
            <v>741</v>
          </cell>
          <cell r="BV56">
            <v>62</v>
          </cell>
          <cell r="BW56">
            <v>594</v>
          </cell>
          <cell r="BX56">
            <v>1037</v>
          </cell>
          <cell r="BY56">
            <v>631</v>
          </cell>
          <cell r="BZ56">
            <v>313</v>
          </cell>
          <cell r="CA56">
            <v>93</v>
          </cell>
          <cell r="CB56">
            <v>683</v>
          </cell>
          <cell r="CC56">
            <v>26519</v>
          </cell>
          <cell r="CD56">
            <v>9896</v>
          </cell>
          <cell r="CE56">
            <v>9513</v>
          </cell>
          <cell r="CF56">
            <v>240</v>
          </cell>
          <cell r="CG56">
            <v>143</v>
          </cell>
          <cell r="CH56">
            <v>10051</v>
          </cell>
          <cell r="CI56">
            <v>795</v>
          </cell>
          <cell r="CJ56">
            <v>4708</v>
          </cell>
          <cell r="CK56">
            <v>3498</v>
          </cell>
          <cell r="CL56">
            <v>1050</v>
          </cell>
          <cell r="CM56">
            <v>6572</v>
          </cell>
          <cell r="CN56">
            <v>955</v>
          </cell>
          <cell r="CO56">
            <v>1652</v>
          </cell>
          <cell r="CP56">
            <v>2888</v>
          </cell>
          <cell r="CQ56">
            <v>744</v>
          </cell>
          <cell r="CR56">
            <v>333</v>
          </cell>
          <cell r="CS56">
            <v>4592</v>
          </cell>
          <cell r="CT56">
            <v>135</v>
          </cell>
          <cell r="CU56">
            <v>719</v>
          </cell>
          <cell r="CV56">
            <v>3738</v>
          </cell>
          <cell r="CW56">
            <v>19943</v>
          </cell>
          <cell r="CX56">
            <v>4368</v>
          </cell>
          <cell r="CY56">
            <v>1420</v>
          </cell>
          <cell r="CZ56">
            <v>370</v>
          </cell>
          <cell r="DA56">
            <v>889</v>
          </cell>
          <cell r="DB56">
            <v>1646</v>
          </cell>
          <cell r="DC56">
            <v>43</v>
          </cell>
          <cell r="DD56">
            <v>1448</v>
          </cell>
          <cell r="DE56">
            <v>1063</v>
          </cell>
          <cell r="DF56">
            <v>9</v>
          </cell>
          <cell r="DG56">
            <v>376</v>
          </cell>
          <cell r="DH56">
            <v>4733</v>
          </cell>
          <cell r="DI56">
            <v>1744</v>
          </cell>
          <cell r="DJ56">
            <v>873</v>
          </cell>
          <cell r="DK56">
            <v>1017</v>
          </cell>
          <cell r="DL56">
            <v>853</v>
          </cell>
          <cell r="DM56">
            <v>246</v>
          </cell>
          <cell r="DN56">
            <v>6431</v>
          </cell>
          <cell r="DO56">
            <v>1559</v>
          </cell>
          <cell r="DP56">
            <v>2930</v>
          </cell>
          <cell r="DQ56">
            <v>1942</v>
          </cell>
          <cell r="DR56">
            <v>2963</v>
          </cell>
          <cell r="DS56">
            <v>721</v>
          </cell>
          <cell r="DT56">
            <v>1246</v>
          </cell>
          <cell r="DU56">
            <v>609</v>
          </cell>
          <cell r="DV56">
            <v>387</v>
          </cell>
          <cell r="DW56">
            <v>0</v>
          </cell>
          <cell r="DX56">
            <v>1964</v>
          </cell>
          <cell r="DY56">
            <v>19763</v>
          </cell>
          <cell r="DZ56">
            <v>15916</v>
          </cell>
          <cell r="EA56">
            <v>14804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1112</v>
          </cell>
          <cell r="EG56">
            <v>3847</v>
          </cell>
          <cell r="EH56">
            <v>22398</v>
          </cell>
          <cell r="EI56">
            <v>3807</v>
          </cell>
          <cell r="EJ56">
            <v>1191</v>
          </cell>
          <cell r="EK56">
            <v>75</v>
          </cell>
          <cell r="EL56">
            <v>2541</v>
          </cell>
          <cell r="EM56">
            <v>746</v>
          </cell>
          <cell r="EN56">
            <v>1431</v>
          </cell>
          <cell r="EO56">
            <v>1168</v>
          </cell>
          <cell r="EP56">
            <v>263</v>
          </cell>
          <cell r="EQ56">
            <v>1550</v>
          </cell>
          <cell r="ER56">
            <v>4130</v>
          </cell>
          <cell r="ES56">
            <v>1596</v>
          </cell>
          <cell r="ET56">
            <v>519</v>
          </cell>
          <cell r="EU56">
            <v>692</v>
          </cell>
          <cell r="EV56">
            <v>646</v>
          </cell>
          <cell r="EW56">
            <v>677</v>
          </cell>
          <cell r="EX56">
            <v>8233</v>
          </cell>
          <cell r="EY56">
            <v>4128</v>
          </cell>
          <cell r="EZ56">
            <v>4105</v>
          </cell>
          <cell r="FA56">
            <v>2501</v>
          </cell>
          <cell r="FB56">
            <v>194018</v>
          </cell>
          <cell r="FC56">
            <v>151351</v>
          </cell>
          <cell r="FD56">
            <v>21766</v>
          </cell>
          <cell r="FE56">
            <v>5638</v>
          </cell>
          <cell r="FF56">
            <v>594</v>
          </cell>
          <cell r="FG56">
            <v>9896</v>
          </cell>
          <cell r="FH56">
            <v>719</v>
          </cell>
          <cell r="FI56">
            <v>3751</v>
          </cell>
          <cell r="FJ56">
            <v>1168</v>
          </cell>
          <cell r="FK56">
            <v>82566</v>
          </cell>
          <cell r="FL56">
            <v>15783</v>
          </cell>
          <cell r="FM56">
            <v>8232</v>
          </cell>
          <cell r="FN56">
            <v>9701</v>
          </cell>
          <cell r="FO56">
            <v>4646</v>
          </cell>
          <cell r="FP56">
            <v>9795</v>
          </cell>
          <cell r="FQ56">
            <v>1397</v>
          </cell>
          <cell r="FR56">
            <v>15399</v>
          </cell>
          <cell r="FS56">
            <v>719</v>
          </cell>
          <cell r="FT56">
            <v>12847</v>
          </cell>
          <cell r="FU56">
            <v>4047</v>
          </cell>
          <cell r="FV56">
            <v>41915</v>
          </cell>
          <cell r="FW56">
            <v>15783</v>
          </cell>
          <cell r="FX56">
            <v>8232</v>
          </cell>
          <cell r="FY56">
            <v>4646</v>
          </cell>
          <cell r="FZ56">
            <v>1090</v>
          </cell>
          <cell r="GA56">
            <v>803</v>
          </cell>
          <cell r="GB56">
            <v>4708</v>
          </cell>
          <cell r="GC56">
            <v>4112</v>
          </cell>
          <cell r="GD56">
            <v>2541</v>
          </cell>
          <cell r="GE56">
            <v>2649</v>
          </cell>
          <cell r="GF56">
            <v>-4068</v>
          </cell>
          <cell r="GG56">
            <v>6717</v>
          </cell>
          <cell r="GH56">
            <v>108803</v>
          </cell>
          <cell r="GI56">
            <v>160</v>
          </cell>
          <cell r="GJ56">
            <v>44054</v>
          </cell>
          <cell r="GK56">
            <v>702</v>
          </cell>
          <cell r="GL56">
            <v>1720</v>
          </cell>
          <cell r="GM56">
            <v>11120</v>
          </cell>
          <cell r="GN56">
            <v>3873</v>
          </cell>
          <cell r="GO56">
            <v>7096</v>
          </cell>
          <cell r="GP56">
            <v>1964</v>
          </cell>
          <cell r="GQ56">
            <v>19763</v>
          </cell>
          <cell r="GR56">
            <v>18351</v>
          </cell>
          <cell r="GS56">
            <v>18885</v>
          </cell>
          <cell r="GT56">
            <v>9701</v>
          </cell>
          <cell r="GU56">
            <v>3067</v>
          </cell>
          <cell r="GV56">
            <v>795</v>
          </cell>
          <cell r="GW56">
            <v>4984</v>
          </cell>
          <cell r="GX56">
            <v>338</v>
          </cell>
        </row>
        <row r="57">
          <cell r="A57" t="str">
            <v>2003 Q1</v>
          </cell>
          <cell r="B57">
            <v>192742</v>
          </cell>
          <cell r="C57">
            <v>15563</v>
          </cell>
          <cell r="D57">
            <v>13829</v>
          </cell>
          <cell r="E57">
            <v>2704</v>
          </cell>
          <cell r="F57">
            <v>3227</v>
          </cell>
          <cell r="G57">
            <v>569</v>
          </cell>
          <cell r="H57">
            <v>1846</v>
          </cell>
          <cell r="I57">
            <v>403</v>
          </cell>
          <cell r="J57">
            <v>1054</v>
          </cell>
          <cell r="K57">
            <v>2019</v>
          </cell>
          <cell r="L57">
            <v>1424</v>
          </cell>
          <cell r="M57">
            <v>583</v>
          </cell>
          <cell r="N57">
            <v>1734</v>
          </cell>
          <cell r="O57">
            <v>309</v>
          </cell>
          <cell r="P57">
            <v>1425</v>
          </cell>
          <cell r="Q57">
            <v>8312</v>
          </cell>
          <cell r="R57">
            <v>3046</v>
          </cell>
          <cell r="S57">
            <v>780</v>
          </cell>
          <cell r="T57">
            <v>1396</v>
          </cell>
          <cell r="U57">
            <v>870</v>
          </cell>
          <cell r="V57">
            <v>3758</v>
          </cell>
          <cell r="W57">
            <v>1508</v>
          </cell>
          <cell r="X57">
            <v>10084</v>
          </cell>
          <cell r="Y57">
            <v>8728</v>
          </cell>
          <cell r="Z57">
            <v>52</v>
          </cell>
          <cell r="AA57">
            <v>8185</v>
          </cell>
          <cell r="AB57">
            <v>352</v>
          </cell>
          <cell r="AC57">
            <v>139</v>
          </cell>
          <cell r="AD57">
            <v>1356</v>
          </cell>
          <cell r="AE57">
            <v>1339</v>
          </cell>
          <cell r="AF57">
            <v>17</v>
          </cell>
          <cell r="AG57">
            <v>48842</v>
          </cell>
          <cell r="AH57">
            <v>8206</v>
          </cell>
          <cell r="AI57">
            <v>8179</v>
          </cell>
          <cell r="AJ57">
            <v>27</v>
          </cell>
          <cell r="AK57">
            <v>35020</v>
          </cell>
          <cell r="AL57">
            <v>33719</v>
          </cell>
          <cell r="AM57">
            <v>1301</v>
          </cell>
          <cell r="AN57">
            <v>440</v>
          </cell>
          <cell r="AO57">
            <v>222</v>
          </cell>
          <cell r="AP57">
            <v>218</v>
          </cell>
          <cell r="AQ57">
            <v>1456</v>
          </cell>
          <cell r="AR57">
            <v>730</v>
          </cell>
          <cell r="AS57">
            <v>51</v>
          </cell>
          <cell r="AT57">
            <v>675</v>
          </cell>
          <cell r="AU57">
            <v>0</v>
          </cell>
          <cell r="AV57">
            <v>3720</v>
          </cell>
          <cell r="AW57">
            <v>1864</v>
          </cell>
          <cell r="AX57">
            <v>1570</v>
          </cell>
          <cell r="AY57">
            <v>195</v>
          </cell>
          <cell r="AZ57">
            <v>91</v>
          </cell>
          <cell r="BA57">
            <v>0</v>
          </cell>
          <cell r="BB57">
            <v>10377</v>
          </cell>
          <cell r="BC57">
            <v>4219</v>
          </cell>
          <cell r="BD57">
            <v>3353</v>
          </cell>
          <cell r="BE57">
            <v>858</v>
          </cell>
          <cell r="BF57">
            <v>8</v>
          </cell>
          <cell r="BG57">
            <v>1026</v>
          </cell>
          <cell r="BH57">
            <v>1556</v>
          </cell>
          <cell r="BI57">
            <v>1243</v>
          </cell>
          <cell r="BJ57">
            <v>237</v>
          </cell>
          <cell r="BK57">
            <v>76</v>
          </cell>
          <cell r="BL57">
            <v>995</v>
          </cell>
          <cell r="BM57">
            <v>905</v>
          </cell>
          <cell r="BN57">
            <v>133</v>
          </cell>
          <cell r="BO57">
            <v>772</v>
          </cell>
          <cell r="BP57">
            <v>1676</v>
          </cell>
          <cell r="BQ57">
            <v>1088</v>
          </cell>
          <cell r="BR57">
            <v>588</v>
          </cell>
          <cell r="BS57">
            <v>3250</v>
          </cell>
          <cell r="BT57">
            <v>1414</v>
          </cell>
          <cell r="BU57">
            <v>711</v>
          </cell>
          <cell r="BV57">
            <v>58</v>
          </cell>
          <cell r="BW57">
            <v>645</v>
          </cell>
          <cell r="BX57">
            <v>1068</v>
          </cell>
          <cell r="BY57">
            <v>684</v>
          </cell>
          <cell r="BZ57">
            <v>297</v>
          </cell>
          <cell r="CA57">
            <v>87</v>
          </cell>
          <cell r="CB57">
            <v>768</v>
          </cell>
          <cell r="CC57">
            <v>27305</v>
          </cell>
          <cell r="CD57">
            <v>10035</v>
          </cell>
          <cell r="CE57">
            <v>9640</v>
          </cell>
          <cell r="CF57">
            <v>248</v>
          </cell>
          <cell r="CG57">
            <v>147</v>
          </cell>
          <cell r="CH57">
            <v>10847</v>
          </cell>
          <cell r="CI57">
            <v>964</v>
          </cell>
          <cell r="CJ57">
            <v>5327</v>
          </cell>
          <cell r="CK57">
            <v>3497</v>
          </cell>
          <cell r="CL57">
            <v>1059</v>
          </cell>
          <cell r="CM57">
            <v>6423</v>
          </cell>
          <cell r="CN57">
            <v>931</v>
          </cell>
          <cell r="CO57">
            <v>1617</v>
          </cell>
          <cell r="CP57">
            <v>2921</v>
          </cell>
          <cell r="CQ57">
            <v>631</v>
          </cell>
          <cell r="CR57">
            <v>323</v>
          </cell>
          <cell r="CS57">
            <v>4675</v>
          </cell>
          <cell r="CT57">
            <v>159</v>
          </cell>
          <cell r="CU57">
            <v>815</v>
          </cell>
          <cell r="CV57">
            <v>3701</v>
          </cell>
          <cell r="CW57">
            <v>20555</v>
          </cell>
          <cell r="CX57">
            <v>4202</v>
          </cell>
          <cell r="CY57">
            <v>1305</v>
          </cell>
          <cell r="CZ57">
            <v>403</v>
          </cell>
          <cell r="DA57">
            <v>892</v>
          </cell>
          <cell r="DB57">
            <v>1555</v>
          </cell>
          <cell r="DC57">
            <v>47</v>
          </cell>
          <cell r="DD57">
            <v>1596</v>
          </cell>
          <cell r="DE57">
            <v>1114</v>
          </cell>
          <cell r="DF57">
            <v>101</v>
          </cell>
          <cell r="DG57">
            <v>381</v>
          </cell>
          <cell r="DH57">
            <v>4835</v>
          </cell>
          <cell r="DI57">
            <v>1824</v>
          </cell>
          <cell r="DJ57">
            <v>893</v>
          </cell>
          <cell r="DK57">
            <v>1025</v>
          </cell>
          <cell r="DL57">
            <v>824</v>
          </cell>
          <cell r="DM57">
            <v>269</v>
          </cell>
          <cell r="DN57">
            <v>6975</v>
          </cell>
          <cell r="DO57">
            <v>1708</v>
          </cell>
          <cell r="DP57">
            <v>3360</v>
          </cell>
          <cell r="DQ57">
            <v>1907</v>
          </cell>
          <cell r="DR57">
            <v>2947</v>
          </cell>
          <cell r="DS57">
            <v>724</v>
          </cell>
          <cell r="DT57">
            <v>1264</v>
          </cell>
          <cell r="DU57">
            <v>588</v>
          </cell>
          <cell r="DV57">
            <v>371</v>
          </cell>
          <cell r="DW57">
            <v>0</v>
          </cell>
          <cell r="DX57">
            <v>1978</v>
          </cell>
          <cell r="DY57">
            <v>19834</v>
          </cell>
          <cell r="DZ57">
            <v>16145</v>
          </cell>
          <cell r="EA57">
            <v>15065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1080</v>
          </cell>
          <cell r="EG57">
            <v>3689</v>
          </cell>
          <cell r="EH57">
            <v>21967</v>
          </cell>
          <cell r="EI57">
            <v>3932</v>
          </cell>
          <cell r="EJ57">
            <v>1185</v>
          </cell>
          <cell r="EK57">
            <v>74</v>
          </cell>
          <cell r="EL57">
            <v>2673</v>
          </cell>
          <cell r="EM57">
            <v>758</v>
          </cell>
          <cell r="EN57">
            <v>1438</v>
          </cell>
          <cell r="EO57">
            <v>1149</v>
          </cell>
          <cell r="EP57">
            <v>289</v>
          </cell>
          <cell r="EQ57">
            <v>1514</v>
          </cell>
          <cell r="ER57">
            <v>3724</v>
          </cell>
          <cell r="ES57">
            <v>1687</v>
          </cell>
          <cell r="ET57">
            <v>455</v>
          </cell>
          <cell r="EU57">
            <v>543</v>
          </cell>
          <cell r="EV57">
            <v>441</v>
          </cell>
          <cell r="EW57">
            <v>598</v>
          </cell>
          <cell r="EX57">
            <v>8159</v>
          </cell>
          <cell r="EY57">
            <v>4108</v>
          </cell>
          <cell r="EZ57">
            <v>4051</v>
          </cell>
          <cell r="FA57">
            <v>2442</v>
          </cell>
          <cell r="FB57">
            <v>195711</v>
          </cell>
          <cell r="FC57">
            <v>152054</v>
          </cell>
          <cell r="FD57">
            <v>22046</v>
          </cell>
          <cell r="FE57">
            <v>5587</v>
          </cell>
          <cell r="FF57">
            <v>645</v>
          </cell>
          <cell r="FG57">
            <v>10035</v>
          </cell>
          <cell r="FH57">
            <v>815</v>
          </cell>
          <cell r="FI57">
            <v>3815</v>
          </cell>
          <cell r="FJ57">
            <v>1149</v>
          </cell>
          <cell r="FK57">
            <v>83803</v>
          </cell>
          <cell r="FL57">
            <v>15563</v>
          </cell>
          <cell r="FM57">
            <v>8312</v>
          </cell>
          <cell r="FN57">
            <v>9928</v>
          </cell>
          <cell r="FO57">
            <v>4672</v>
          </cell>
          <cell r="FP57">
            <v>9705</v>
          </cell>
          <cell r="FQ57">
            <v>1414</v>
          </cell>
          <cell r="FR57">
            <v>16326</v>
          </cell>
          <cell r="FS57">
            <v>815</v>
          </cell>
          <cell r="FT57">
            <v>12883</v>
          </cell>
          <cell r="FU57">
            <v>4185</v>
          </cell>
          <cell r="FV57">
            <v>42476</v>
          </cell>
          <cell r="FW57">
            <v>15563</v>
          </cell>
          <cell r="FX57">
            <v>8312</v>
          </cell>
          <cell r="FY57">
            <v>4672</v>
          </cell>
          <cell r="FZ57">
            <v>1088</v>
          </cell>
          <cell r="GA57">
            <v>769</v>
          </cell>
          <cell r="GB57">
            <v>5327</v>
          </cell>
          <cell r="GC57">
            <v>4072</v>
          </cell>
          <cell r="GD57">
            <v>2673</v>
          </cell>
          <cell r="GE57">
            <v>2969</v>
          </cell>
          <cell r="GF57">
            <v>-3962</v>
          </cell>
          <cell r="GG57">
            <v>6931</v>
          </cell>
          <cell r="GH57">
            <v>108939</v>
          </cell>
          <cell r="GI57">
            <v>156</v>
          </cell>
          <cell r="GJ57">
            <v>44170</v>
          </cell>
          <cell r="GK57">
            <v>672</v>
          </cell>
          <cell r="GL57">
            <v>1836</v>
          </cell>
          <cell r="GM57">
            <v>10979</v>
          </cell>
          <cell r="GN57">
            <v>3860</v>
          </cell>
          <cell r="GO57">
            <v>7672</v>
          </cell>
          <cell r="GP57">
            <v>1978</v>
          </cell>
          <cell r="GQ57">
            <v>19834</v>
          </cell>
          <cell r="GR57">
            <v>17782</v>
          </cell>
          <cell r="GS57">
            <v>19281</v>
          </cell>
          <cell r="GT57">
            <v>9928</v>
          </cell>
          <cell r="GU57">
            <v>3030</v>
          </cell>
          <cell r="GV57">
            <v>964</v>
          </cell>
          <cell r="GW57">
            <v>4996</v>
          </cell>
          <cell r="GX57">
            <v>363</v>
          </cell>
        </row>
        <row r="58">
          <cell r="A58" t="str">
            <v>2003 Q2</v>
          </cell>
          <cell r="B58">
            <v>195157</v>
          </cell>
          <cell r="C58">
            <v>16296</v>
          </cell>
          <cell r="D58">
            <v>14468</v>
          </cell>
          <cell r="E58">
            <v>2689</v>
          </cell>
          <cell r="F58">
            <v>3333</v>
          </cell>
          <cell r="G58">
            <v>653</v>
          </cell>
          <cell r="H58">
            <v>1910</v>
          </cell>
          <cell r="I58">
            <v>398</v>
          </cell>
          <cell r="J58">
            <v>1125</v>
          </cell>
          <cell r="K58">
            <v>2121</v>
          </cell>
          <cell r="L58">
            <v>1627</v>
          </cell>
          <cell r="M58">
            <v>612</v>
          </cell>
          <cell r="N58">
            <v>1828</v>
          </cell>
          <cell r="O58">
            <v>325</v>
          </cell>
          <cell r="P58">
            <v>1503</v>
          </cell>
          <cell r="Q58">
            <v>8330</v>
          </cell>
          <cell r="R58">
            <v>3109</v>
          </cell>
          <cell r="S58">
            <v>791</v>
          </cell>
          <cell r="T58">
            <v>1412</v>
          </cell>
          <cell r="U58">
            <v>906</v>
          </cell>
          <cell r="V58">
            <v>3793</v>
          </cell>
          <cell r="W58">
            <v>1428</v>
          </cell>
          <cell r="X58">
            <v>10272</v>
          </cell>
          <cell r="Y58">
            <v>8880</v>
          </cell>
          <cell r="Z58">
            <v>31</v>
          </cell>
          <cell r="AA58">
            <v>8329</v>
          </cell>
          <cell r="AB58">
            <v>378</v>
          </cell>
          <cell r="AC58">
            <v>142</v>
          </cell>
          <cell r="AD58">
            <v>1392</v>
          </cell>
          <cell r="AE58">
            <v>1371</v>
          </cell>
          <cell r="AF58">
            <v>21</v>
          </cell>
          <cell r="AG58">
            <v>49046</v>
          </cell>
          <cell r="AH58">
            <v>8119</v>
          </cell>
          <cell r="AI58">
            <v>8092</v>
          </cell>
          <cell r="AJ58">
            <v>27</v>
          </cell>
          <cell r="AK58">
            <v>35403</v>
          </cell>
          <cell r="AL58">
            <v>34084</v>
          </cell>
          <cell r="AM58">
            <v>1319</v>
          </cell>
          <cell r="AN58">
            <v>458</v>
          </cell>
          <cell r="AO58">
            <v>227</v>
          </cell>
          <cell r="AP58">
            <v>231</v>
          </cell>
          <cell r="AQ58">
            <v>1476</v>
          </cell>
          <cell r="AR58">
            <v>744</v>
          </cell>
          <cell r="AS58">
            <v>52</v>
          </cell>
          <cell r="AT58">
            <v>680</v>
          </cell>
          <cell r="AU58">
            <v>0</v>
          </cell>
          <cell r="AV58">
            <v>3590</v>
          </cell>
          <cell r="AW58">
            <v>1859</v>
          </cell>
          <cell r="AX58">
            <v>1492</v>
          </cell>
          <cell r="AY58">
            <v>149</v>
          </cell>
          <cell r="AZ58">
            <v>90</v>
          </cell>
          <cell r="BA58">
            <v>0</v>
          </cell>
          <cell r="BB58">
            <v>10592</v>
          </cell>
          <cell r="BC58">
            <v>4320</v>
          </cell>
          <cell r="BD58">
            <v>3453</v>
          </cell>
          <cell r="BE58">
            <v>856</v>
          </cell>
          <cell r="BF58">
            <v>11</v>
          </cell>
          <cell r="BG58">
            <v>1012</v>
          </cell>
          <cell r="BH58">
            <v>1648</v>
          </cell>
          <cell r="BI58">
            <v>1388</v>
          </cell>
          <cell r="BJ58">
            <v>168</v>
          </cell>
          <cell r="BK58">
            <v>92</v>
          </cell>
          <cell r="BL58">
            <v>988</v>
          </cell>
          <cell r="BM58">
            <v>923</v>
          </cell>
          <cell r="BN58">
            <v>146</v>
          </cell>
          <cell r="BO58">
            <v>777</v>
          </cell>
          <cell r="BP58">
            <v>1701</v>
          </cell>
          <cell r="BQ58">
            <v>1135</v>
          </cell>
          <cell r="BR58">
            <v>566</v>
          </cell>
          <cell r="BS58">
            <v>3242</v>
          </cell>
          <cell r="BT58">
            <v>1412</v>
          </cell>
          <cell r="BU58">
            <v>690</v>
          </cell>
          <cell r="BV58">
            <v>54</v>
          </cell>
          <cell r="BW58">
            <v>668</v>
          </cell>
          <cell r="BX58">
            <v>1075</v>
          </cell>
          <cell r="BY58">
            <v>699</v>
          </cell>
          <cell r="BZ58">
            <v>277</v>
          </cell>
          <cell r="CA58">
            <v>99</v>
          </cell>
          <cell r="CB58">
            <v>755</v>
          </cell>
          <cell r="CC58">
            <v>27199</v>
          </cell>
          <cell r="CD58">
            <v>10173</v>
          </cell>
          <cell r="CE58">
            <v>9758</v>
          </cell>
          <cell r="CF58">
            <v>261</v>
          </cell>
          <cell r="CG58">
            <v>154</v>
          </cell>
          <cell r="CH58">
            <v>10544</v>
          </cell>
          <cell r="CI58">
            <v>969</v>
          </cell>
          <cell r="CJ58">
            <v>4983</v>
          </cell>
          <cell r="CK58">
            <v>3491</v>
          </cell>
          <cell r="CL58">
            <v>1101</v>
          </cell>
          <cell r="CM58">
            <v>6482</v>
          </cell>
          <cell r="CN58">
            <v>952</v>
          </cell>
          <cell r="CO58">
            <v>1561</v>
          </cell>
          <cell r="CP58">
            <v>2903</v>
          </cell>
          <cell r="CQ58">
            <v>752</v>
          </cell>
          <cell r="CR58">
            <v>314</v>
          </cell>
          <cell r="CS58">
            <v>4757</v>
          </cell>
          <cell r="CT58">
            <v>192</v>
          </cell>
          <cell r="CU58">
            <v>787</v>
          </cell>
          <cell r="CV58">
            <v>3778</v>
          </cell>
          <cell r="CW58">
            <v>20913</v>
          </cell>
          <cell r="CX58">
            <v>4366</v>
          </cell>
          <cell r="CY58">
            <v>1351</v>
          </cell>
          <cell r="CZ58">
            <v>424</v>
          </cell>
          <cell r="DA58">
            <v>917</v>
          </cell>
          <cell r="DB58">
            <v>1631</v>
          </cell>
          <cell r="DC58">
            <v>43</v>
          </cell>
          <cell r="DD58">
            <v>1619</v>
          </cell>
          <cell r="DE58">
            <v>1178</v>
          </cell>
          <cell r="DF58">
            <v>55</v>
          </cell>
          <cell r="DG58">
            <v>386</v>
          </cell>
          <cell r="DH58">
            <v>4853</v>
          </cell>
          <cell r="DI58">
            <v>1874</v>
          </cell>
          <cell r="DJ58">
            <v>877</v>
          </cell>
          <cell r="DK58">
            <v>1022</v>
          </cell>
          <cell r="DL58">
            <v>824</v>
          </cell>
          <cell r="DM58">
            <v>256</v>
          </cell>
          <cell r="DN58">
            <v>7024</v>
          </cell>
          <cell r="DO58">
            <v>1707</v>
          </cell>
          <cell r="DP58">
            <v>3396</v>
          </cell>
          <cell r="DQ58">
            <v>1921</v>
          </cell>
          <cell r="DR58">
            <v>3051</v>
          </cell>
          <cell r="DS58">
            <v>775</v>
          </cell>
          <cell r="DT58">
            <v>1290</v>
          </cell>
          <cell r="DU58">
            <v>610</v>
          </cell>
          <cell r="DV58">
            <v>376</v>
          </cell>
          <cell r="DW58">
            <v>0</v>
          </cell>
          <cell r="DX58">
            <v>2000</v>
          </cell>
          <cell r="DY58">
            <v>20034</v>
          </cell>
          <cell r="DZ58">
            <v>16363</v>
          </cell>
          <cell r="EA58">
            <v>15298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1065</v>
          </cell>
          <cell r="EG58">
            <v>3671</v>
          </cell>
          <cell r="EH58">
            <v>22476</v>
          </cell>
          <cell r="EI58">
            <v>4023</v>
          </cell>
          <cell r="EJ58">
            <v>1181</v>
          </cell>
          <cell r="EK58">
            <v>71</v>
          </cell>
          <cell r="EL58">
            <v>2771</v>
          </cell>
          <cell r="EM58">
            <v>770</v>
          </cell>
          <cell r="EN58">
            <v>1448</v>
          </cell>
          <cell r="EO58">
            <v>1141</v>
          </cell>
          <cell r="EP58">
            <v>307</v>
          </cell>
          <cell r="EQ58">
            <v>1532</v>
          </cell>
          <cell r="ER58">
            <v>3935</v>
          </cell>
          <cell r="ES58">
            <v>1711</v>
          </cell>
          <cell r="ET58">
            <v>478</v>
          </cell>
          <cell r="EU58">
            <v>626</v>
          </cell>
          <cell r="EV58">
            <v>524</v>
          </cell>
          <cell r="EW58">
            <v>596</v>
          </cell>
          <cell r="EX58">
            <v>8308</v>
          </cell>
          <cell r="EY58">
            <v>4099</v>
          </cell>
          <cell r="EZ58">
            <v>4209</v>
          </cell>
          <cell r="FA58">
            <v>2460</v>
          </cell>
          <cell r="FB58">
            <v>198107</v>
          </cell>
          <cell r="FC58">
            <v>154830</v>
          </cell>
          <cell r="FD58">
            <v>22537</v>
          </cell>
          <cell r="FE58">
            <v>5843</v>
          </cell>
          <cell r="FF58">
            <v>668</v>
          </cell>
          <cell r="FG58">
            <v>10173</v>
          </cell>
          <cell r="FH58">
            <v>787</v>
          </cell>
          <cell r="FI58">
            <v>3925</v>
          </cell>
          <cell r="FJ58">
            <v>1141</v>
          </cell>
          <cell r="FK58">
            <v>85037</v>
          </cell>
          <cell r="FL58">
            <v>16296</v>
          </cell>
          <cell r="FM58">
            <v>8330</v>
          </cell>
          <cell r="FN58">
            <v>10109</v>
          </cell>
          <cell r="FO58">
            <v>4561</v>
          </cell>
          <cell r="FP58">
            <v>9923</v>
          </cell>
          <cell r="FQ58">
            <v>1412</v>
          </cell>
          <cell r="FR58">
            <v>16125</v>
          </cell>
          <cell r="FS58">
            <v>787</v>
          </cell>
          <cell r="FT58">
            <v>13204</v>
          </cell>
          <cell r="FU58">
            <v>4290</v>
          </cell>
          <cell r="FV58">
            <v>42942</v>
          </cell>
          <cell r="FW58">
            <v>16296</v>
          </cell>
          <cell r="FX58">
            <v>8330</v>
          </cell>
          <cell r="FY58">
            <v>4561</v>
          </cell>
          <cell r="FZ58">
            <v>1135</v>
          </cell>
          <cell r="GA58">
            <v>744</v>
          </cell>
          <cell r="GB58">
            <v>4983</v>
          </cell>
          <cell r="GC58">
            <v>4122</v>
          </cell>
          <cell r="GD58">
            <v>2771</v>
          </cell>
          <cell r="GE58">
            <v>2950</v>
          </cell>
          <cell r="GF58">
            <v>-3932</v>
          </cell>
          <cell r="GG58">
            <v>6882</v>
          </cell>
          <cell r="GH58">
            <v>110120</v>
          </cell>
          <cell r="GI58">
            <v>163</v>
          </cell>
          <cell r="GJ58">
            <v>44485</v>
          </cell>
          <cell r="GK58">
            <v>669</v>
          </cell>
          <cell r="GL58">
            <v>1830</v>
          </cell>
          <cell r="GM58">
            <v>11074</v>
          </cell>
          <cell r="GN58">
            <v>3970</v>
          </cell>
          <cell r="GO58">
            <v>7709</v>
          </cell>
          <cell r="GP58">
            <v>2000</v>
          </cell>
          <cell r="GQ58">
            <v>20034</v>
          </cell>
          <cell r="GR58">
            <v>18186</v>
          </cell>
          <cell r="GS58">
            <v>19558</v>
          </cell>
          <cell r="GT58">
            <v>10109</v>
          </cell>
          <cell r="GU58">
            <v>2945</v>
          </cell>
          <cell r="GV58">
            <v>969</v>
          </cell>
          <cell r="GW58">
            <v>5157</v>
          </cell>
          <cell r="GX58">
            <v>378</v>
          </cell>
        </row>
        <row r="59">
          <cell r="A59" t="str">
            <v>2003 Q3</v>
          </cell>
          <cell r="B59">
            <v>197906</v>
          </cell>
          <cell r="C59">
            <v>16200</v>
          </cell>
          <cell r="D59">
            <v>14289</v>
          </cell>
          <cell r="E59">
            <v>2659</v>
          </cell>
          <cell r="F59">
            <v>3321</v>
          </cell>
          <cell r="G59">
            <v>629</v>
          </cell>
          <cell r="H59">
            <v>1942</v>
          </cell>
          <cell r="I59">
            <v>387</v>
          </cell>
          <cell r="J59">
            <v>1136</v>
          </cell>
          <cell r="K59">
            <v>2140</v>
          </cell>
          <cell r="L59">
            <v>1458</v>
          </cell>
          <cell r="M59">
            <v>617</v>
          </cell>
          <cell r="N59">
            <v>1911</v>
          </cell>
          <cell r="O59">
            <v>315</v>
          </cell>
          <cell r="P59">
            <v>1596</v>
          </cell>
          <cell r="Q59">
            <v>8402</v>
          </cell>
          <cell r="R59">
            <v>3161</v>
          </cell>
          <cell r="S59">
            <v>790</v>
          </cell>
          <cell r="T59">
            <v>1422</v>
          </cell>
          <cell r="U59">
            <v>949</v>
          </cell>
          <cell r="V59">
            <v>3885</v>
          </cell>
          <cell r="W59">
            <v>1356</v>
          </cell>
          <cell r="X59">
            <v>10373</v>
          </cell>
          <cell r="Y59">
            <v>8953</v>
          </cell>
          <cell r="Z59">
            <v>38</v>
          </cell>
          <cell r="AA59">
            <v>8409</v>
          </cell>
          <cell r="AB59">
            <v>363</v>
          </cell>
          <cell r="AC59">
            <v>143</v>
          </cell>
          <cell r="AD59">
            <v>1420</v>
          </cell>
          <cell r="AE59">
            <v>1394</v>
          </cell>
          <cell r="AF59">
            <v>26</v>
          </cell>
          <cell r="AG59">
            <v>49671</v>
          </cell>
          <cell r="AH59">
            <v>8136</v>
          </cell>
          <cell r="AI59">
            <v>8108</v>
          </cell>
          <cell r="AJ59">
            <v>28</v>
          </cell>
          <cell r="AK59">
            <v>35894</v>
          </cell>
          <cell r="AL59">
            <v>34561</v>
          </cell>
          <cell r="AM59">
            <v>1333</v>
          </cell>
          <cell r="AN59">
            <v>467</v>
          </cell>
          <cell r="AO59">
            <v>227</v>
          </cell>
          <cell r="AP59">
            <v>240</v>
          </cell>
          <cell r="AQ59">
            <v>1484</v>
          </cell>
          <cell r="AR59">
            <v>749</v>
          </cell>
          <cell r="AS59">
            <v>46</v>
          </cell>
          <cell r="AT59">
            <v>689</v>
          </cell>
          <cell r="AU59">
            <v>0</v>
          </cell>
          <cell r="AV59">
            <v>3690</v>
          </cell>
          <cell r="AW59">
            <v>1877</v>
          </cell>
          <cell r="AX59">
            <v>1588</v>
          </cell>
          <cell r="AY59">
            <v>148</v>
          </cell>
          <cell r="AZ59">
            <v>77</v>
          </cell>
          <cell r="BA59">
            <v>0</v>
          </cell>
          <cell r="BB59">
            <v>10526</v>
          </cell>
          <cell r="BC59">
            <v>4291</v>
          </cell>
          <cell r="BD59">
            <v>3467</v>
          </cell>
          <cell r="BE59">
            <v>811</v>
          </cell>
          <cell r="BF59">
            <v>13</v>
          </cell>
          <cell r="BG59">
            <v>1031</v>
          </cell>
          <cell r="BH59">
            <v>1574</v>
          </cell>
          <cell r="BI59">
            <v>1311</v>
          </cell>
          <cell r="BJ59">
            <v>176</v>
          </cell>
          <cell r="BK59">
            <v>87</v>
          </cell>
          <cell r="BL59">
            <v>985</v>
          </cell>
          <cell r="BM59">
            <v>927</v>
          </cell>
          <cell r="BN59">
            <v>216</v>
          </cell>
          <cell r="BO59">
            <v>711</v>
          </cell>
          <cell r="BP59">
            <v>1718</v>
          </cell>
          <cell r="BQ59">
            <v>1147</v>
          </cell>
          <cell r="BR59">
            <v>571</v>
          </cell>
          <cell r="BS59">
            <v>3223</v>
          </cell>
          <cell r="BT59">
            <v>1381</v>
          </cell>
          <cell r="BU59">
            <v>683</v>
          </cell>
          <cell r="BV59">
            <v>50</v>
          </cell>
          <cell r="BW59">
            <v>648</v>
          </cell>
          <cell r="BX59">
            <v>1086</v>
          </cell>
          <cell r="BY59">
            <v>715</v>
          </cell>
          <cell r="BZ59">
            <v>269</v>
          </cell>
          <cell r="CA59">
            <v>102</v>
          </cell>
          <cell r="CB59">
            <v>756</v>
          </cell>
          <cell r="CC59">
            <v>27471</v>
          </cell>
          <cell r="CD59">
            <v>10449</v>
          </cell>
          <cell r="CE59">
            <v>10086</v>
          </cell>
          <cell r="CF59">
            <v>198</v>
          </cell>
          <cell r="CG59">
            <v>165</v>
          </cell>
          <cell r="CH59">
            <v>10332</v>
          </cell>
          <cell r="CI59">
            <v>890</v>
          </cell>
          <cell r="CJ59">
            <v>4843</v>
          </cell>
          <cell r="CK59">
            <v>3485</v>
          </cell>
          <cell r="CL59">
            <v>1114</v>
          </cell>
          <cell r="CM59">
            <v>6690</v>
          </cell>
          <cell r="CN59">
            <v>1000</v>
          </cell>
          <cell r="CO59">
            <v>1581</v>
          </cell>
          <cell r="CP59">
            <v>3016</v>
          </cell>
          <cell r="CQ59">
            <v>758</v>
          </cell>
          <cell r="CR59">
            <v>335</v>
          </cell>
          <cell r="CS59">
            <v>4864</v>
          </cell>
          <cell r="CT59">
            <v>205</v>
          </cell>
          <cell r="CU59">
            <v>788</v>
          </cell>
          <cell r="CV59">
            <v>3871</v>
          </cell>
          <cell r="CW59">
            <v>21483</v>
          </cell>
          <cell r="CX59">
            <v>4453</v>
          </cell>
          <cell r="CY59">
            <v>1381</v>
          </cell>
          <cell r="CZ59">
            <v>450</v>
          </cell>
          <cell r="DA59">
            <v>929</v>
          </cell>
          <cell r="DB59">
            <v>1648</v>
          </cell>
          <cell r="DC59">
            <v>45</v>
          </cell>
          <cell r="DD59">
            <v>1656</v>
          </cell>
          <cell r="DE59">
            <v>1206</v>
          </cell>
          <cell r="DF59">
            <v>58</v>
          </cell>
          <cell r="DG59">
            <v>392</v>
          </cell>
          <cell r="DH59">
            <v>4887</v>
          </cell>
          <cell r="DI59">
            <v>1901</v>
          </cell>
          <cell r="DJ59">
            <v>860</v>
          </cell>
          <cell r="DK59">
            <v>1047</v>
          </cell>
          <cell r="DL59">
            <v>836</v>
          </cell>
          <cell r="DM59">
            <v>243</v>
          </cell>
          <cell r="DN59">
            <v>7303</v>
          </cell>
          <cell r="DO59">
            <v>1749</v>
          </cell>
          <cell r="DP59">
            <v>3525</v>
          </cell>
          <cell r="DQ59">
            <v>2029</v>
          </cell>
          <cell r="DR59">
            <v>3184</v>
          </cell>
          <cell r="DS59">
            <v>811</v>
          </cell>
          <cell r="DT59">
            <v>1320</v>
          </cell>
          <cell r="DU59">
            <v>596</v>
          </cell>
          <cell r="DV59">
            <v>457</v>
          </cell>
          <cell r="DW59">
            <v>0</v>
          </cell>
          <cell r="DX59">
            <v>2031</v>
          </cell>
          <cell r="DY59">
            <v>20641</v>
          </cell>
          <cell r="DZ59">
            <v>16694</v>
          </cell>
          <cell r="EA59">
            <v>15577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1117</v>
          </cell>
          <cell r="EG59">
            <v>3947</v>
          </cell>
          <cell r="EH59">
            <v>23021</v>
          </cell>
          <cell r="EI59">
            <v>4144</v>
          </cell>
          <cell r="EJ59">
            <v>1152</v>
          </cell>
          <cell r="EK59">
            <v>138</v>
          </cell>
          <cell r="EL59">
            <v>2854</v>
          </cell>
          <cell r="EM59">
            <v>783</v>
          </cell>
          <cell r="EN59">
            <v>1463</v>
          </cell>
          <cell r="EO59">
            <v>1148</v>
          </cell>
          <cell r="EP59">
            <v>315</v>
          </cell>
          <cell r="EQ59">
            <v>1422</v>
          </cell>
          <cell r="ER59">
            <v>4111</v>
          </cell>
          <cell r="ES59">
            <v>1737</v>
          </cell>
          <cell r="ET59">
            <v>540</v>
          </cell>
          <cell r="EU59">
            <v>614</v>
          </cell>
          <cell r="EV59">
            <v>581</v>
          </cell>
          <cell r="EW59">
            <v>639</v>
          </cell>
          <cell r="EX59">
            <v>8763</v>
          </cell>
          <cell r="EY59">
            <v>4230</v>
          </cell>
          <cell r="EZ59">
            <v>4533</v>
          </cell>
          <cell r="FA59">
            <v>2335</v>
          </cell>
          <cell r="FB59">
            <v>200859</v>
          </cell>
          <cell r="FC59">
            <v>155748</v>
          </cell>
          <cell r="FD59">
            <v>22862</v>
          </cell>
          <cell r="FE59">
            <v>5805</v>
          </cell>
          <cell r="FF59">
            <v>648</v>
          </cell>
          <cell r="FG59">
            <v>10449</v>
          </cell>
          <cell r="FH59">
            <v>788</v>
          </cell>
          <cell r="FI59">
            <v>4024</v>
          </cell>
          <cell r="FJ59">
            <v>1148</v>
          </cell>
          <cell r="FK59">
            <v>85633</v>
          </cell>
          <cell r="FL59">
            <v>16200</v>
          </cell>
          <cell r="FM59">
            <v>8402</v>
          </cell>
          <cell r="FN59">
            <v>10204</v>
          </cell>
          <cell r="FO59">
            <v>4666</v>
          </cell>
          <cell r="FP59">
            <v>9855</v>
          </cell>
          <cell r="FQ59">
            <v>1381</v>
          </cell>
          <cell r="FR59">
            <v>16182</v>
          </cell>
          <cell r="FS59">
            <v>788</v>
          </cell>
          <cell r="FT59">
            <v>13500</v>
          </cell>
          <cell r="FU59">
            <v>4455</v>
          </cell>
          <cell r="FV59">
            <v>43101</v>
          </cell>
          <cell r="FW59">
            <v>16200</v>
          </cell>
          <cell r="FX59">
            <v>8402</v>
          </cell>
          <cell r="FY59">
            <v>4666</v>
          </cell>
          <cell r="FZ59">
            <v>1147</v>
          </cell>
          <cell r="GA59">
            <v>733</v>
          </cell>
          <cell r="GB59">
            <v>4843</v>
          </cell>
          <cell r="GC59">
            <v>4256</v>
          </cell>
          <cell r="GD59">
            <v>2854</v>
          </cell>
          <cell r="GE59">
            <v>2953</v>
          </cell>
          <cell r="GF59">
            <v>-4156</v>
          </cell>
          <cell r="GG59">
            <v>7109</v>
          </cell>
          <cell r="GH59">
            <v>112273</v>
          </cell>
          <cell r="GI59">
            <v>169</v>
          </cell>
          <cell r="GJ59">
            <v>45005</v>
          </cell>
          <cell r="GK59">
            <v>671</v>
          </cell>
          <cell r="GL59">
            <v>1842</v>
          </cell>
          <cell r="GM59">
            <v>11289</v>
          </cell>
          <cell r="GN59">
            <v>4076</v>
          </cell>
          <cell r="GO59">
            <v>7983</v>
          </cell>
          <cell r="GP59">
            <v>2031</v>
          </cell>
          <cell r="GQ59">
            <v>20641</v>
          </cell>
          <cell r="GR59">
            <v>18566</v>
          </cell>
          <cell r="GS59">
            <v>19670</v>
          </cell>
          <cell r="GT59">
            <v>10204</v>
          </cell>
          <cell r="GU59">
            <v>2903</v>
          </cell>
          <cell r="GV59">
            <v>890</v>
          </cell>
          <cell r="GW59">
            <v>5220</v>
          </cell>
          <cell r="GX59">
            <v>453</v>
          </cell>
        </row>
        <row r="60">
          <cell r="A60" t="str">
            <v>2003 Q4</v>
          </cell>
          <cell r="B60">
            <v>199964</v>
          </cell>
          <cell r="C60">
            <v>16015</v>
          </cell>
          <cell r="D60">
            <v>14157</v>
          </cell>
          <cell r="E60">
            <v>2652</v>
          </cell>
          <cell r="F60">
            <v>3247</v>
          </cell>
          <cell r="G60">
            <v>594</v>
          </cell>
          <cell r="H60">
            <v>1921</v>
          </cell>
          <cell r="I60">
            <v>417</v>
          </cell>
          <cell r="J60">
            <v>1134</v>
          </cell>
          <cell r="K60">
            <v>2159</v>
          </cell>
          <cell r="L60">
            <v>1451</v>
          </cell>
          <cell r="M60">
            <v>582</v>
          </cell>
          <cell r="N60">
            <v>1858</v>
          </cell>
          <cell r="O60">
            <v>323</v>
          </cell>
          <cell r="P60">
            <v>1535</v>
          </cell>
          <cell r="Q60">
            <v>8393</v>
          </cell>
          <cell r="R60">
            <v>3193</v>
          </cell>
          <cell r="S60">
            <v>796</v>
          </cell>
          <cell r="T60">
            <v>1454</v>
          </cell>
          <cell r="U60">
            <v>943</v>
          </cell>
          <cell r="V60">
            <v>3906</v>
          </cell>
          <cell r="W60">
            <v>1294</v>
          </cell>
          <cell r="X60">
            <v>10342</v>
          </cell>
          <cell r="Y60">
            <v>8913</v>
          </cell>
          <cell r="Z60">
            <v>9</v>
          </cell>
          <cell r="AA60">
            <v>8371</v>
          </cell>
          <cell r="AB60">
            <v>387</v>
          </cell>
          <cell r="AC60">
            <v>146</v>
          </cell>
          <cell r="AD60">
            <v>1429</v>
          </cell>
          <cell r="AE60">
            <v>1398</v>
          </cell>
          <cell r="AF60">
            <v>31</v>
          </cell>
          <cell r="AG60">
            <v>50190</v>
          </cell>
          <cell r="AH60">
            <v>8132</v>
          </cell>
          <cell r="AI60">
            <v>8105</v>
          </cell>
          <cell r="AJ60">
            <v>27</v>
          </cell>
          <cell r="AK60">
            <v>36278</v>
          </cell>
          <cell r="AL60">
            <v>34938</v>
          </cell>
          <cell r="AM60">
            <v>1340</v>
          </cell>
          <cell r="AN60">
            <v>486</v>
          </cell>
          <cell r="AO60">
            <v>228</v>
          </cell>
          <cell r="AP60">
            <v>258</v>
          </cell>
          <cell r="AQ60">
            <v>1476</v>
          </cell>
          <cell r="AR60">
            <v>746</v>
          </cell>
          <cell r="AS60">
            <v>29</v>
          </cell>
          <cell r="AT60">
            <v>701</v>
          </cell>
          <cell r="AU60">
            <v>0</v>
          </cell>
          <cell r="AV60">
            <v>3818</v>
          </cell>
          <cell r="AW60">
            <v>2009</v>
          </cell>
          <cell r="AX60">
            <v>1543</v>
          </cell>
          <cell r="AY60">
            <v>177</v>
          </cell>
          <cell r="AZ60">
            <v>89</v>
          </cell>
          <cell r="BA60">
            <v>0</v>
          </cell>
          <cell r="BB60">
            <v>10580</v>
          </cell>
          <cell r="BC60">
            <v>4324</v>
          </cell>
          <cell r="BD60">
            <v>3476</v>
          </cell>
          <cell r="BE60">
            <v>829</v>
          </cell>
          <cell r="BF60">
            <v>19</v>
          </cell>
          <cell r="BG60">
            <v>1064</v>
          </cell>
          <cell r="BH60">
            <v>1502</v>
          </cell>
          <cell r="BI60">
            <v>1148</v>
          </cell>
          <cell r="BJ60">
            <v>254</v>
          </cell>
          <cell r="BK60">
            <v>100</v>
          </cell>
          <cell r="BL60">
            <v>1084</v>
          </cell>
          <cell r="BM60">
            <v>947</v>
          </cell>
          <cell r="BN60">
            <v>94</v>
          </cell>
          <cell r="BO60">
            <v>853</v>
          </cell>
          <cell r="BP60">
            <v>1659</v>
          </cell>
          <cell r="BQ60">
            <v>1127</v>
          </cell>
          <cell r="BR60">
            <v>532</v>
          </cell>
          <cell r="BS60">
            <v>3199</v>
          </cell>
          <cell r="BT60">
            <v>1355</v>
          </cell>
          <cell r="BU60">
            <v>688</v>
          </cell>
          <cell r="BV60">
            <v>51</v>
          </cell>
          <cell r="BW60">
            <v>616</v>
          </cell>
          <cell r="BX60">
            <v>1091</v>
          </cell>
          <cell r="BY60">
            <v>717</v>
          </cell>
          <cell r="BZ60">
            <v>278</v>
          </cell>
          <cell r="CA60">
            <v>96</v>
          </cell>
          <cell r="CB60">
            <v>753</v>
          </cell>
          <cell r="CC60">
            <v>27586</v>
          </cell>
          <cell r="CD60">
            <v>10355</v>
          </cell>
          <cell r="CE60">
            <v>9939</v>
          </cell>
          <cell r="CF60">
            <v>242</v>
          </cell>
          <cell r="CG60">
            <v>174</v>
          </cell>
          <cell r="CH60">
            <v>10410</v>
          </cell>
          <cell r="CI60">
            <v>936</v>
          </cell>
          <cell r="CJ60">
            <v>4916</v>
          </cell>
          <cell r="CK60">
            <v>3476</v>
          </cell>
          <cell r="CL60">
            <v>1082</v>
          </cell>
          <cell r="CM60">
            <v>6821</v>
          </cell>
          <cell r="CN60">
            <v>1060</v>
          </cell>
          <cell r="CO60">
            <v>1557</v>
          </cell>
          <cell r="CP60">
            <v>3089</v>
          </cell>
          <cell r="CQ60">
            <v>768</v>
          </cell>
          <cell r="CR60">
            <v>347</v>
          </cell>
          <cell r="CS60">
            <v>4923</v>
          </cell>
          <cell r="CT60">
            <v>214</v>
          </cell>
          <cell r="CU60">
            <v>758</v>
          </cell>
          <cell r="CV60">
            <v>3951</v>
          </cell>
          <cell r="CW60">
            <v>21655</v>
          </cell>
          <cell r="CX60">
            <v>4513</v>
          </cell>
          <cell r="CY60">
            <v>1417</v>
          </cell>
          <cell r="CZ60">
            <v>480</v>
          </cell>
          <cell r="DA60">
            <v>919</v>
          </cell>
          <cell r="DB60">
            <v>1647</v>
          </cell>
          <cell r="DC60">
            <v>50</v>
          </cell>
          <cell r="DD60">
            <v>1667</v>
          </cell>
          <cell r="DE60">
            <v>1204</v>
          </cell>
          <cell r="DF60">
            <v>64</v>
          </cell>
          <cell r="DG60">
            <v>399</v>
          </cell>
          <cell r="DH60">
            <v>4832</v>
          </cell>
          <cell r="DI60">
            <v>1924</v>
          </cell>
          <cell r="DJ60">
            <v>858</v>
          </cell>
          <cell r="DK60">
            <v>1006</v>
          </cell>
          <cell r="DL60">
            <v>838</v>
          </cell>
          <cell r="DM60">
            <v>206</v>
          </cell>
          <cell r="DN60">
            <v>7458</v>
          </cell>
          <cell r="DO60">
            <v>1731</v>
          </cell>
          <cell r="DP60">
            <v>3511</v>
          </cell>
          <cell r="DQ60">
            <v>2216</v>
          </cell>
          <cell r="DR60">
            <v>3185</v>
          </cell>
          <cell r="DS60">
            <v>785</v>
          </cell>
          <cell r="DT60">
            <v>1338</v>
          </cell>
          <cell r="DU60">
            <v>626</v>
          </cell>
          <cell r="DV60">
            <v>436</v>
          </cell>
          <cell r="DW60">
            <v>0</v>
          </cell>
          <cell r="DX60">
            <v>2070</v>
          </cell>
          <cell r="DY60">
            <v>20757</v>
          </cell>
          <cell r="DZ60">
            <v>16726</v>
          </cell>
          <cell r="EA60">
            <v>15586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1140</v>
          </cell>
          <cell r="EG60">
            <v>4031</v>
          </cell>
          <cell r="EH60">
            <v>24254</v>
          </cell>
          <cell r="EI60">
            <v>4268</v>
          </cell>
          <cell r="EJ60">
            <v>1162</v>
          </cell>
          <cell r="EK60">
            <v>148</v>
          </cell>
          <cell r="EL60">
            <v>2958</v>
          </cell>
          <cell r="EM60">
            <v>796</v>
          </cell>
          <cell r="EN60">
            <v>1503</v>
          </cell>
          <cell r="EO60">
            <v>1187</v>
          </cell>
          <cell r="EP60">
            <v>316</v>
          </cell>
          <cell r="EQ60">
            <v>1450</v>
          </cell>
          <cell r="ER60">
            <v>4126</v>
          </cell>
          <cell r="ES60">
            <v>1755</v>
          </cell>
          <cell r="ET60">
            <v>524</v>
          </cell>
          <cell r="EU60">
            <v>644</v>
          </cell>
          <cell r="EV60">
            <v>533</v>
          </cell>
          <cell r="EW60">
            <v>670</v>
          </cell>
          <cell r="EX60">
            <v>9634</v>
          </cell>
          <cell r="EY60">
            <v>4669</v>
          </cell>
          <cell r="EZ60">
            <v>4965</v>
          </cell>
          <cell r="FA60">
            <v>2477</v>
          </cell>
          <cell r="FB60">
            <v>202805</v>
          </cell>
          <cell r="FC60">
            <v>158298</v>
          </cell>
          <cell r="FD60">
            <v>22547</v>
          </cell>
          <cell r="FE60">
            <v>5547</v>
          </cell>
          <cell r="FF60">
            <v>616</v>
          </cell>
          <cell r="FG60">
            <v>10355</v>
          </cell>
          <cell r="FH60">
            <v>758</v>
          </cell>
          <cell r="FI60">
            <v>4084</v>
          </cell>
          <cell r="FJ60">
            <v>1187</v>
          </cell>
          <cell r="FK60">
            <v>85765</v>
          </cell>
          <cell r="FL60">
            <v>16015</v>
          </cell>
          <cell r="FM60">
            <v>8393</v>
          </cell>
          <cell r="FN60">
            <v>10165</v>
          </cell>
          <cell r="FO60">
            <v>4792</v>
          </cell>
          <cell r="FP60">
            <v>9929</v>
          </cell>
          <cell r="FQ60">
            <v>1355</v>
          </cell>
          <cell r="FR60">
            <v>16207</v>
          </cell>
          <cell r="FS60">
            <v>758</v>
          </cell>
          <cell r="FT60">
            <v>13542</v>
          </cell>
          <cell r="FU60">
            <v>4609</v>
          </cell>
          <cell r="FV60">
            <v>43184</v>
          </cell>
          <cell r="FW60">
            <v>16015</v>
          </cell>
          <cell r="FX60">
            <v>8393</v>
          </cell>
          <cell r="FY60">
            <v>4792</v>
          </cell>
          <cell r="FZ60">
            <v>1127</v>
          </cell>
          <cell r="GA60">
            <v>739</v>
          </cell>
          <cell r="GB60">
            <v>4916</v>
          </cell>
          <cell r="GC60">
            <v>4244</v>
          </cell>
          <cell r="GD60">
            <v>2958</v>
          </cell>
          <cell r="GE60">
            <v>2841</v>
          </cell>
          <cell r="GF60">
            <v>-4301</v>
          </cell>
          <cell r="GG60">
            <v>7142</v>
          </cell>
          <cell r="GH60">
            <v>114199</v>
          </cell>
          <cell r="GI60">
            <v>177</v>
          </cell>
          <cell r="GJ60">
            <v>45398</v>
          </cell>
          <cell r="GK60">
            <v>651</v>
          </cell>
          <cell r="GL60">
            <v>1844</v>
          </cell>
          <cell r="GM60">
            <v>11379</v>
          </cell>
          <cell r="GN60">
            <v>4165</v>
          </cell>
          <cell r="GO60">
            <v>8113</v>
          </cell>
          <cell r="GP60">
            <v>2070</v>
          </cell>
          <cell r="GQ60">
            <v>20757</v>
          </cell>
          <cell r="GR60">
            <v>19645</v>
          </cell>
          <cell r="GS60">
            <v>20034</v>
          </cell>
          <cell r="GT60">
            <v>10165</v>
          </cell>
          <cell r="GU60">
            <v>3255</v>
          </cell>
          <cell r="GV60">
            <v>936</v>
          </cell>
          <cell r="GW60">
            <v>5214</v>
          </cell>
          <cell r="GX60">
            <v>464</v>
          </cell>
        </row>
        <row r="61">
          <cell r="A61" t="str">
            <v>2004 Q1</v>
          </cell>
          <cell r="B61">
            <v>201873</v>
          </cell>
          <cell r="C61">
            <v>16659</v>
          </cell>
          <cell r="D61">
            <v>14757</v>
          </cell>
          <cell r="E61">
            <v>2767</v>
          </cell>
          <cell r="F61">
            <v>3472</v>
          </cell>
          <cell r="G61">
            <v>660</v>
          </cell>
          <cell r="H61">
            <v>1960</v>
          </cell>
          <cell r="I61">
            <v>421</v>
          </cell>
          <cell r="J61">
            <v>1161</v>
          </cell>
          <cell r="K61">
            <v>2190</v>
          </cell>
          <cell r="L61">
            <v>1481</v>
          </cell>
          <cell r="M61">
            <v>645</v>
          </cell>
          <cell r="N61">
            <v>1902</v>
          </cell>
          <cell r="O61">
            <v>343</v>
          </cell>
          <cell r="P61">
            <v>1559</v>
          </cell>
          <cell r="Q61">
            <v>8261</v>
          </cell>
          <cell r="R61">
            <v>3169</v>
          </cell>
          <cell r="S61">
            <v>788</v>
          </cell>
          <cell r="T61">
            <v>1492</v>
          </cell>
          <cell r="U61">
            <v>889</v>
          </cell>
          <cell r="V61">
            <v>3847</v>
          </cell>
          <cell r="W61">
            <v>1245</v>
          </cell>
          <cell r="X61">
            <v>10493</v>
          </cell>
          <cell r="Y61">
            <v>9043</v>
          </cell>
          <cell r="Z61">
            <v>65</v>
          </cell>
          <cell r="AA61">
            <v>8367</v>
          </cell>
          <cell r="AB61">
            <v>474</v>
          </cell>
          <cell r="AC61">
            <v>137</v>
          </cell>
          <cell r="AD61">
            <v>1450</v>
          </cell>
          <cell r="AE61">
            <v>1424</v>
          </cell>
          <cell r="AF61">
            <v>26</v>
          </cell>
          <cell r="AG61">
            <v>50920</v>
          </cell>
          <cell r="AH61">
            <v>8307</v>
          </cell>
          <cell r="AI61">
            <v>8279</v>
          </cell>
          <cell r="AJ61">
            <v>28</v>
          </cell>
          <cell r="AK61">
            <v>36444</v>
          </cell>
          <cell r="AL61">
            <v>35100</v>
          </cell>
          <cell r="AM61">
            <v>1344</v>
          </cell>
          <cell r="AN61">
            <v>544</v>
          </cell>
          <cell r="AO61">
            <v>266</v>
          </cell>
          <cell r="AP61">
            <v>278</v>
          </cell>
          <cell r="AQ61">
            <v>1494</v>
          </cell>
          <cell r="AR61">
            <v>741</v>
          </cell>
          <cell r="AS61">
            <v>27</v>
          </cell>
          <cell r="AT61">
            <v>726</v>
          </cell>
          <cell r="AU61">
            <v>0</v>
          </cell>
          <cell r="AV61">
            <v>4131</v>
          </cell>
          <cell r="AW61">
            <v>2135</v>
          </cell>
          <cell r="AX61">
            <v>1737</v>
          </cell>
          <cell r="AY61">
            <v>169</v>
          </cell>
          <cell r="AZ61">
            <v>90</v>
          </cell>
          <cell r="BA61">
            <v>0</v>
          </cell>
          <cell r="BB61">
            <v>10293</v>
          </cell>
          <cell r="BC61">
            <v>4269</v>
          </cell>
          <cell r="BD61">
            <v>3435</v>
          </cell>
          <cell r="BE61">
            <v>821</v>
          </cell>
          <cell r="BF61">
            <v>13</v>
          </cell>
          <cell r="BG61">
            <v>1007</v>
          </cell>
          <cell r="BH61">
            <v>1482</v>
          </cell>
          <cell r="BI61">
            <v>1118</v>
          </cell>
          <cell r="BJ61">
            <v>273</v>
          </cell>
          <cell r="BK61">
            <v>91</v>
          </cell>
          <cell r="BL61">
            <v>940</v>
          </cell>
          <cell r="BM61">
            <v>865</v>
          </cell>
          <cell r="BN61">
            <v>63</v>
          </cell>
          <cell r="BO61">
            <v>802</v>
          </cell>
          <cell r="BP61">
            <v>1730</v>
          </cell>
          <cell r="BQ61">
            <v>1167</v>
          </cell>
          <cell r="BR61">
            <v>563</v>
          </cell>
          <cell r="BS61">
            <v>3250</v>
          </cell>
          <cell r="BT61">
            <v>1308</v>
          </cell>
          <cell r="BU61">
            <v>679</v>
          </cell>
          <cell r="BV61">
            <v>59</v>
          </cell>
          <cell r="BW61">
            <v>570</v>
          </cell>
          <cell r="BX61">
            <v>1147</v>
          </cell>
          <cell r="BY61">
            <v>758</v>
          </cell>
          <cell r="BZ61">
            <v>302</v>
          </cell>
          <cell r="CA61">
            <v>87</v>
          </cell>
          <cell r="CB61">
            <v>795</v>
          </cell>
          <cell r="CC61">
            <v>27655</v>
          </cell>
          <cell r="CD61">
            <v>10537</v>
          </cell>
          <cell r="CE61">
            <v>10114</v>
          </cell>
          <cell r="CF61">
            <v>238</v>
          </cell>
          <cell r="CG61">
            <v>185</v>
          </cell>
          <cell r="CH61">
            <v>10349</v>
          </cell>
          <cell r="CI61">
            <v>866</v>
          </cell>
          <cell r="CJ61">
            <v>4976</v>
          </cell>
          <cell r="CK61">
            <v>3529</v>
          </cell>
          <cell r="CL61">
            <v>978</v>
          </cell>
          <cell r="CM61">
            <v>6769</v>
          </cell>
          <cell r="CN61">
            <v>1172</v>
          </cell>
          <cell r="CO61">
            <v>1557</v>
          </cell>
          <cell r="CP61">
            <v>3032</v>
          </cell>
          <cell r="CQ61">
            <v>639</v>
          </cell>
          <cell r="CR61">
            <v>369</v>
          </cell>
          <cell r="CS61">
            <v>5329</v>
          </cell>
          <cell r="CT61">
            <v>195</v>
          </cell>
          <cell r="CU61">
            <v>1068</v>
          </cell>
          <cell r="CV61">
            <v>4066</v>
          </cell>
          <cell r="CW61">
            <v>21804</v>
          </cell>
          <cell r="CX61">
            <v>4628</v>
          </cell>
          <cell r="CY61">
            <v>1350</v>
          </cell>
          <cell r="CZ61">
            <v>500</v>
          </cell>
          <cell r="DA61">
            <v>1012</v>
          </cell>
          <cell r="DB61">
            <v>1707</v>
          </cell>
          <cell r="DC61">
            <v>59</v>
          </cell>
          <cell r="DD61">
            <v>1786</v>
          </cell>
          <cell r="DE61">
            <v>1340</v>
          </cell>
          <cell r="DF61">
            <v>41</v>
          </cell>
          <cell r="DG61">
            <v>405</v>
          </cell>
          <cell r="DH61">
            <v>4730</v>
          </cell>
          <cell r="DI61">
            <v>1866</v>
          </cell>
          <cell r="DJ61">
            <v>842</v>
          </cell>
          <cell r="DK61">
            <v>965</v>
          </cell>
          <cell r="DL61">
            <v>841</v>
          </cell>
          <cell r="DM61">
            <v>216</v>
          </cell>
          <cell r="DN61">
            <v>7370</v>
          </cell>
          <cell r="DO61">
            <v>1725</v>
          </cell>
          <cell r="DP61">
            <v>3577</v>
          </cell>
          <cell r="DQ61">
            <v>2068</v>
          </cell>
          <cell r="DR61">
            <v>3290</v>
          </cell>
          <cell r="DS61">
            <v>754</v>
          </cell>
          <cell r="DT61">
            <v>1345</v>
          </cell>
          <cell r="DU61">
            <v>703</v>
          </cell>
          <cell r="DV61">
            <v>488</v>
          </cell>
          <cell r="DW61">
            <v>0</v>
          </cell>
          <cell r="DX61">
            <v>2117</v>
          </cell>
          <cell r="DY61">
            <v>20887</v>
          </cell>
          <cell r="DZ61">
            <v>16848</v>
          </cell>
          <cell r="EA61">
            <v>15715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1133</v>
          </cell>
          <cell r="EG61">
            <v>4039</v>
          </cell>
          <cell r="EH61">
            <v>24205</v>
          </cell>
          <cell r="EI61">
            <v>4273</v>
          </cell>
          <cell r="EJ61">
            <v>1195</v>
          </cell>
          <cell r="EK61">
            <v>158</v>
          </cell>
          <cell r="EL61">
            <v>2920</v>
          </cell>
          <cell r="EM61">
            <v>807</v>
          </cell>
          <cell r="EN61">
            <v>1541</v>
          </cell>
          <cell r="EO61">
            <v>1260</v>
          </cell>
          <cell r="EP61">
            <v>281</v>
          </cell>
          <cell r="EQ61">
            <v>1559</v>
          </cell>
          <cell r="ER61">
            <v>4310</v>
          </cell>
          <cell r="ES61">
            <v>1999</v>
          </cell>
          <cell r="ET61">
            <v>502</v>
          </cell>
          <cell r="EU61">
            <v>620</v>
          </cell>
          <cell r="EV61">
            <v>535</v>
          </cell>
          <cell r="EW61">
            <v>654</v>
          </cell>
          <cell r="EX61">
            <v>9212</v>
          </cell>
          <cell r="EY61">
            <v>4615</v>
          </cell>
          <cell r="EZ61">
            <v>4597</v>
          </cell>
          <cell r="FA61">
            <v>2503</v>
          </cell>
          <cell r="FB61">
            <v>204672</v>
          </cell>
          <cell r="FC61">
            <v>160442</v>
          </cell>
          <cell r="FD61">
            <v>23115</v>
          </cell>
          <cell r="FE61">
            <v>5437</v>
          </cell>
          <cell r="FF61">
            <v>570</v>
          </cell>
          <cell r="FG61">
            <v>10537</v>
          </cell>
          <cell r="FH61">
            <v>1068</v>
          </cell>
          <cell r="FI61">
            <v>4243</v>
          </cell>
          <cell r="FJ61">
            <v>1260</v>
          </cell>
          <cell r="FK61">
            <v>87142</v>
          </cell>
          <cell r="FL61">
            <v>16659</v>
          </cell>
          <cell r="FM61">
            <v>8261</v>
          </cell>
          <cell r="FN61">
            <v>10330</v>
          </cell>
          <cell r="FO61">
            <v>5138</v>
          </cell>
          <cell r="FP61">
            <v>9626</v>
          </cell>
          <cell r="FQ61">
            <v>1308</v>
          </cell>
          <cell r="FR61">
            <v>16379</v>
          </cell>
          <cell r="FS61">
            <v>1068</v>
          </cell>
          <cell r="FT61">
            <v>13754</v>
          </cell>
          <cell r="FU61">
            <v>4619</v>
          </cell>
          <cell r="FV61">
            <v>44201</v>
          </cell>
          <cell r="FW61">
            <v>16659</v>
          </cell>
          <cell r="FX61">
            <v>8261</v>
          </cell>
          <cell r="FY61">
            <v>5138</v>
          </cell>
          <cell r="FZ61">
            <v>1167</v>
          </cell>
          <cell r="GA61">
            <v>738</v>
          </cell>
          <cell r="GB61">
            <v>4976</v>
          </cell>
          <cell r="GC61">
            <v>4342</v>
          </cell>
          <cell r="GD61">
            <v>2920</v>
          </cell>
          <cell r="GE61">
            <v>2799</v>
          </cell>
          <cell r="GF61">
            <v>-4386</v>
          </cell>
          <cell r="GG61">
            <v>7185</v>
          </cell>
          <cell r="GH61">
            <v>114731</v>
          </cell>
          <cell r="GI61">
            <v>163</v>
          </cell>
          <cell r="GJ61">
            <v>45782</v>
          </cell>
          <cell r="GK61">
            <v>667</v>
          </cell>
          <cell r="GL61">
            <v>1942</v>
          </cell>
          <cell r="GM61">
            <v>11276</v>
          </cell>
          <cell r="GN61">
            <v>4261</v>
          </cell>
          <cell r="GO61">
            <v>8050</v>
          </cell>
          <cell r="GP61">
            <v>2117</v>
          </cell>
          <cell r="GQ61">
            <v>20887</v>
          </cell>
          <cell r="GR61">
            <v>19586</v>
          </cell>
          <cell r="GS61">
            <v>19826</v>
          </cell>
          <cell r="GT61">
            <v>10330</v>
          </cell>
          <cell r="GU61">
            <v>3022</v>
          </cell>
          <cell r="GV61">
            <v>866</v>
          </cell>
          <cell r="GW61">
            <v>5169</v>
          </cell>
          <cell r="GX61">
            <v>439</v>
          </cell>
        </row>
        <row r="62">
          <cell r="A62" t="str">
            <v>2004 Q2</v>
          </cell>
          <cell r="B62">
            <v>204822</v>
          </cell>
          <cell r="C62">
            <v>16320</v>
          </cell>
          <cell r="D62">
            <v>14438</v>
          </cell>
          <cell r="E62">
            <v>2698</v>
          </cell>
          <cell r="F62">
            <v>3247</v>
          </cell>
          <cell r="G62">
            <v>634</v>
          </cell>
          <cell r="H62">
            <v>1958</v>
          </cell>
          <cell r="I62">
            <v>455</v>
          </cell>
          <cell r="J62">
            <v>1185</v>
          </cell>
          <cell r="K62">
            <v>2129</v>
          </cell>
          <cell r="L62">
            <v>1494</v>
          </cell>
          <cell r="M62">
            <v>638</v>
          </cell>
          <cell r="N62">
            <v>1882</v>
          </cell>
          <cell r="O62">
            <v>318</v>
          </cell>
          <cell r="P62">
            <v>1564</v>
          </cell>
          <cell r="Q62">
            <v>8165</v>
          </cell>
          <cell r="R62">
            <v>3127</v>
          </cell>
          <cell r="S62">
            <v>762</v>
          </cell>
          <cell r="T62">
            <v>1480</v>
          </cell>
          <cell r="U62">
            <v>885</v>
          </cell>
          <cell r="V62">
            <v>3832</v>
          </cell>
          <cell r="W62">
            <v>1206</v>
          </cell>
          <cell r="X62">
            <v>10495</v>
          </cell>
          <cell r="Y62">
            <v>9003</v>
          </cell>
          <cell r="Z62">
            <v>115</v>
          </cell>
          <cell r="AA62">
            <v>8283</v>
          </cell>
          <cell r="AB62">
            <v>474</v>
          </cell>
          <cell r="AC62">
            <v>131</v>
          </cell>
          <cell r="AD62">
            <v>1492</v>
          </cell>
          <cell r="AE62">
            <v>1469</v>
          </cell>
          <cell r="AF62">
            <v>23</v>
          </cell>
          <cell r="AG62">
            <v>51468</v>
          </cell>
          <cell r="AH62">
            <v>8312</v>
          </cell>
          <cell r="AI62">
            <v>8285</v>
          </cell>
          <cell r="AJ62">
            <v>27</v>
          </cell>
          <cell r="AK62">
            <v>36621</v>
          </cell>
          <cell r="AL62">
            <v>35274</v>
          </cell>
          <cell r="AM62">
            <v>1347</v>
          </cell>
          <cell r="AN62">
            <v>595</v>
          </cell>
          <cell r="AO62">
            <v>284</v>
          </cell>
          <cell r="AP62">
            <v>311</v>
          </cell>
          <cell r="AQ62">
            <v>1516</v>
          </cell>
          <cell r="AR62">
            <v>747</v>
          </cell>
          <cell r="AS62">
            <v>36</v>
          </cell>
          <cell r="AT62">
            <v>733</v>
          </cell>
          <cell r="AU62">
            <v>0</v>
          </cell>
          <cell r="AV62">
            <v>4424</v>
          </cell>
          <cell r="AW62">
            <v>2274</v>
          </cell>
          <cell r="AX62">
            <v>1890</v>
          </cell>
          <cell r="AY62">
            <v>176</v>
          </cell>
          <cell r="AZ62">
            <v>84</v>
          </cell>
          <cell r="BA62">
            <v>0</v>
          </cell>
          <cell r="BB62">
            <v>10581</v>
          </cell>
          <cell r="BC62">
            <v>4345</v>
          </cell>
          <cell r="BD62">
            <v>3441</v>
          </cell>
          <cell r="BE62">
            <v>895</v>
          </cell>
          <cell r="BF62">
            <v>9</v>
          </cell>
          <cell r="BG62">
            <v>1018</v>
          </cell>
          <cell r="BH62">
            <v>1583</v>
          </cell>
          <cell r="BI62">
            <v>1179</v>
          </cell>
          <cell r="BJ62">
            <v>311</v>
          </cell>
          <cell r="BK62">
            <v>93</v>
          </cell>
          <cell r="BL62">
            <v>973</v>
          </cell>
          <cell r="BM62">
            <v>888</v>
          </cell>
          <cell r="BN62">
            <v>83</v>
          </cell>
          <cell r="BO62">
            <v>805</v>
          </cell>
          <cell r="BP62">
            <v>1774</v>
          </cell>
          <cell r="BQ62">
            <v>1178</v>
          </cell>
          <cell r="BR62">
            <v>596</v>
          </cell>
          <cell r="BS62">
            <v>3371</v>
          </cell>
          <cell r="BT62">
            <v>1316</v>
          </cell>
          <cell r="BU62">
            <v>694</v>
          </cell>
          <cell r="BV62">
            <v>58</v>
          </cell>
          <cell r="BW62">
            <v>564</v>
          </cell>
          <cell r="BX62">
            <v>1258</v>
          </cell>
          <cell r="BY62">
            <v>839</v>
          </cell>
          <cell r="BZ62">
            <v>332</v>
          </cell>
          <cell r="CA62">
            <v>87</v>
          </cell>
          <cell r="CB62">
            <v>797</v>
          </cell>
          <cell r="CC62">
            <v>28054</v>
          </cell>
          <cell r="CD62">
            <v>10173</v>
          </cell>
          <cell r="CE62">
            <v>9731</v>
          </cell>
          <cell r="CF62">
            <v>250</v>
          </cell>
          <cell r="CG62">
            <v>192</v>
          </cell>
          <cell r="CH62">
            <v>10949</v>
          </cell>
          <cell r="CI62">
            <v>988</v>
          </cell>
          <cell r="CJ62">
            <v>5237</v>
          </cell>
          <cell r="CK62">
            <v>3581</v>
          </cell>
          <cell r="CL62">
            <v>1143</v>
          </cell>
          <cell r="CM62">
            <v>6932</v>
          </cell>
          <cell r="CN62">
            <v>1229</v>
          </cell>
          <cell r="CO62">
            <v>1525</v>
          </cell>
          <cell r="CP62">
            <v>3042</v>
          </cell>
          <cell r="CQ62">
            <v>747</v>
          </cell>
          <cell r="CR62">
            <v>389</v>
          </cell>
          <cell r="CS62">
            <v>5363</v>
          </cell>
          <cell r="CT62">
            <v>177</v>
          </cell>
          <cell r="CU62">
            <v>1006</v>
          </cell>
          <cell r="CV62">
            <v>4180</v>
          </cell>
          <cell r="CW62">
            <v>22300</v>
          </cell>
          <cell r="CX62">
            <v>4740</v>
          </cell>
          <cell r="CY62">
            <v>1421</v>
          </cell>
          <cell r="CZ62">
            <v>501</v>
          </cell>
          <cell r="DA62">
            <v>1043</v>
          </cell>
          <cell r="DB62">
            <v>1717</v>
          </cell>
          <cell r="DC62">
            <v>58</v>
          </cell>
          <cell r="DD62">
            <v>1862</v>
          </cell>
          <cell r="DE62">
            <v>1409</v>
          </cell>
          <cell r="DF62">
            <v>42</v>
          </cell>
          <cell r="DG62">
            <v>411</v>
          </cell>
          <cell r="DH62">
            <v>4763</v>
          </cell>
          <cell r="DI62">
            <v>1867</v>
          </cell>
          <cell r="DJ62">
            <v>847</v>
          </cell>
          <cell r="DK62">
            <v>988</v>
          </cell>
          <cell r="DL62">
            <v>827</v>
          </cell>
          <cell r="DM62">
            <v>234</v>
          </cell>
          <cell r="DN62">
            <v>7564</v>
          </cell>
          <cell r="DO62">
            <v>1769</v>
          </cell>
          <cell r="DP62">
            <v>3513</v>
          </cell>
          <cell r="DQ62">
            <v>2282</v>
          </cell>
          <cell r="DR62">
            <v>3371</v>
          </cell>
          <cell r="DS62">
            <v>791</v>
          </cell>
          <cell r="DT62">
            <v>1331</v>
          </cell>
          <cell r="DU62">
            <v>726</v>
          </cell>
          <cell r="DV62">
            <v>523</v>
          </cell>
          <cell r="DW62">
            <v>0</v>
          </cell>
          <cell r="DX62">
            <v>2158</v>
          </cell>
          <cell r="DY62">
            <v>21120</v>
          </cell>
          <cell r="DZ62">
            <v>16977</v>
          </cell>
          <cell r="EA62">
            <v>15830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1147</v>
          </cell>
          <cell r="EG62">
            <v>4143</v>
          </cell>
          <cell r="EH62">
            <v>25427</v>
          </cell>
          <cell r="EI62">
            <v>4438</v>
          </cell>
          <cell r="EJ62">
            <v>1256</v>
          </cell>
          <cell r="EK62">
            <v>138</v>
          </cell>
          <cell r="EL62">
            <v>3044</v>
          </cell>
          <cell r="EM62">
            <v>820</v>
          </cell>
          <cell r="EN62">
            <v>1594</v>
          </cell>
          <cell r="EO62">
            <v>1309</v>
          </cell>
          <cell r="EP62">
            <v>285</v>
          </cell>
          <cell r="EQ62">
            <v>1585</v>
          </cell>
          <cell r="ER62">
            <v>4461</v>
          </cell>
          <cell r="ES62">
            <v>2002</v>
          </cell>
          <cell r="ET62">
            <v>532</v>
          </cell>
          <cell r="EU62">
            <v>707</v>
          </cell>
          <cell r="EV62">
            <v>561</v>
          </cell>
          <cell r="EW62">
            <v>659</v>
          </cell>
          <cell r="EX62">
            <v>10049</v>
          </cell>
          <cell r="EY62">
            <v>5023</v>
          </cell>
          <cell r="EZ62">
            <v>5026</v>
          </cell>
          <cell r="FA62">
            <v>2480</v>
          </cell>
          <cell r="FB62">
            <v>207596</v>
          </cell>
          <cell r="FC62">
            <v>163691</v>
          </cell>
          <cell r="FD62">
            <v>23066</v>
          </cell>
          <cell r="FE62">
            <v>5598</v>
          </cell>
          <cell r="FF62">
            <v>564</v>
          </cell>
          <cell r="FG62">
            <v>10173</v>
          </cell>
          <cell r="FH62">
            <v>1006</v>
          </cell>
          <cell r="FI62">
            <v>4416</v>
          </cell>
          <cell r="FJ62">
            <v>1309</v>
          </cell>
          <cell r="FK62">
            <v>87693</v>
          </cell>
          <cell r="FL62">
            <v>16320</v>
          </cell>
          <cell r="FM62">
            <v>8165</v>
          </cell>
          <cell r="FN62">
            <v>10341</v>
          </cell>
          <cell r="FO62">
            <v>5455</v>
          </cell>
          <cell r="FP62">
            <v>9883</v>
          </cell>
          <cell r="FQ62">
            <v>1316</v>
          </cell>
          <cell r="FR62">
            <v>16398</v>
          </cell>
          <cell r="FS62">
            <v>1006</v>
          </cell>
          <cell r="FT62">
            <v>14033</v>
          </cell>
          <cell r="FU62">
            <v>4776</v>
          </cell>
          <cell r="FV62">
            <v>44546</v>
          </cell>
          <cell r="FW62">
            <v>16320</v>
          </cell>
          <cell r="FX62">
            <v>8165</v>
          </cell>
          <cell r="FY62">
            <v>5455</v>
          </cell>
          <cell r="FZ62">
            <v>1178</v>
          </cell>
          <cell r="GA62">
            <v>752</v>
          </cell>
          <cell r="GB62">
            <v>5237</v>
          </cell>
          <cell r="GC62">
            <v>4395</v>
          </cell>
          <cell r="GD62">
            <v>3044</v>
          </cell>
          <cell r="GE62">
            <v>2774</v>
          </cell>
          <cell r="GF62">
            <v>-4537</v>
          </cell>
          <cell r="GG62">
            <v>7311</v>
          </cell>
          <cell r="GH62">
            <v>117129</v>
          </cell>
          <cell r="GI62">
            <v>154</v>
          </cell>
          <cell r="GJ62">
            <v>46013</v>
          </cell>
          <cell r="GK62">
            <v>698</v>
          </cell>
          <cell r="GL62">
            <v>2055</v>
          </cell>
          <cell r="GM62">
            <v>11656</v>
          </cell>
          <cell r="GN62">
            <v>4357</v>
          </cell>
          <cell r="GO62">
            <v>8267</v>
          </cell>
          <cell r="GP62">
            <v>2158</v>
          </cell>
          <cell r="GQ62">
            <v>21120</v>
          </cell>
          <cell r="GR62">
            <v>20651</v>
          </cell>
          <cell r="GS62">
            <v>20081</v>
          </cell>
          <cell r="GT62">
            <v>10341</v>
          </cell>
          <cell r="GU62">
            <v>3107</v>
          </cell>
          <cell r="GV62">
            <v>988</v>
          </cell>
          <cell r="GW62">
            <v>5222</v>
          </cell>
          <cell r="GX62">
            <v>423</v>
          </cell>
        </row>
        <row r="63">
          <cell r="A63" t="str">
            <v>2004 Q3</v>
          </cell>
          <cell r="B63">
            <v>206789</v>
          </cell>
          <cell r="C63">
            <v>16349</v>
          </cell>
          <cell r="D63">
            <v>14520</v>
          </cell>
          <cell r="E63">
            <v>2679</v>
          </cell>
          <cell r="F63">
            <v>3302</v>
          </cell>
          <cell r="G63">
            <v>651</v>
          </cell>
          <cell r="H63">
            <v>1962</v>
          </cell>
          <cell r="I63">
            <v>456</v>
          </cell>
          <cell r="J63">
            <v>1215</v>
          </cell>
          <cell r="K63">
            <v>2093</v>
          </cell>
          <cell r="L63">
            <v>1523</v>
          </cell>
          <cell r="M63">
            <v>639</v>
          </cell>
          <cell r="N63">
            <v>1829</v>
          </cell>
          <cell r="O63">
            <v>330</v>
          </cell>
          <cell r="P63">
            <v>1499</v>
          </cell>
          <cell r="Q63">
            <v>8033</v>
          </cell>
          <cell r="R63">
            <v>2993</v>
          </cell>
          <cell r="S63">
            <v>730</v>
          </cell>
          <cell r="T63">
            <v>1435</v>
          </cell>
          <cell r="U63">
            <v>828</v>
          </cell>
          <cell r="V63">
            <v>3860</v>
          </cell>
          <cell r="W63">
            <v>1180</v>
          </cell>
          <cell r="X63">
            <v>10424</v>
          </cell>
          <cell r="Y63">
            <v>8933</v>
          </cell>
          <cell r="Z63">
            <v>48</v>
          </cell>
          <cell r="AA63">
            <v>8212</v>
          </cell>
          <cell r="AB63">
            <v>543</v>
          </cell>
          <cell r="AC63">
            <v>130</v>
          </cell>
          <cell r="AD63">
            <v>1491</v>
          </cell>
          <cell r="AE63">
            <v>1469</v>
          </cell>
          <cell r="AF63">
            <v>22</v>
          </cell>
          <cell r="AG63">
            <v>51945</v>
          </cell>
          <cell r="AH63">
            <v>8448</v>
          </cell>
          <cell r="AI63">
            <v>8421</v>
          </cell>
          <cell r="AJ63">
            <v>27</v>
          </cell>
          <cell r="AK63">
            <v>36888</v>
          </cell>
          <cell r="AL63">
            <v>35534</v>
          </cell>
          <cell r="AM63">
            <v>1354</v>
          </cell>
          <cell r="AN63">
            <v>607</v>
          </cell>
          <cell r="AO63">
            <v>288</v>
          </cell>
          <cell r="AP63">
            <v>319</v>
          </cell>
          <cell r="AQ63">
            <v>1533</v>
          </cell>
          <cell r="AR63">
            <v>752</v>
          </cell>
          <cell r="AS63">
            <v>44</v>
          </cell>
          <cell r="AT63">
            <v>737</v>
          </cell>
          <cell r="AU63">
            <v>0</v>
          </cell>
          <cell r="AV63">
            <v>4469</v>
          </cell>
          <cell r="AW63">
            <v>2251</v>
          </cell>
          <cell r="AX63">
            <v>1930</v>
          </cell>
          <cell r="AY63">
            <v>209</v>
          </cell>
          <cell r="AZ63">
            <v>79</v>
          </cell>
          <cell r="BA63">
            <v>0</v>
          </cell>
          <cell r="BB63">
            <v>10723</v>
          </cell>
          <cell r="BC63">
            <v>4408</v>
          </cell>
          <cell r="BD63">
            <v>3477</v>
          </cell>
          <cell r="BE63">
            <v>927</v>
          </cell>
          <cell r="BF63">
            <v>4</v>
          </cell>
          <cell r="BG63">
            <v>1023</v>
          </cell>
          <cell r="BH63">
            <v>1642</v>
          </cell>
          <cell r="BI63">
            <v>1327</v>
          </cell>
          <cell r="BJ63">
            <v>221</v>
          </cell>
          <cell r="BK63">
            <v>94</v>
          </cell>
          <cell r="BL63">
            <v>974</v>
          </cell>
          <cell r="BM63">
            <v>899</v>
          </cell>
          <cell r="BN63">
            <v>72</v>
          </cell>
          <cell r="BO63">
            <v>827</v>
          </cell>
          <cell r="BP63">
            <v>1777</v>
          </cell>
          <cell r="BQ63">
            <v>1172</v>
          </cell>
          <cell r="BR63">
            <v>605</v>
          </cell>
          <cell r="BS63">
            <v>3111</v>
          </cell>
          <cell r="BT63">
            <v>1241</v>
          </cell>
          <cell r="BU63">
            <v>670</v>
          </cell>
          <cell r="BV63">
            <v>54</v>
          </cell>
          <cell r="BW63">
            <v>517</v>
          </cell>
          <cell r="BX63">
            <v>1116</v>
          </cell>
          <cell r="BY63">
            <v>683</v>
          </cell>
          <cell r="BZ63">
            <v>344</v>
          </cell>
          <cell r="CA63">
            <v>89</v>
          </cell>
          <cell r="CB63">
            <v>754</v>
          </cell>
          <cell r="CC63">
            <v>28424</v>
          </cell>
          <cell r="CD63">
            <v>10120</v>
          </cell>
          <cell r="CE63">
            <v>9681</v>
          </cell>
          <cell r="CF63">
            <v>243</v>
          </cell>
          <cell r="CG63">
            <v>196</v>
          </cell>
          <cell r="CH63">
            <v>11124</v>
          </cell>
          <cell r="CI63">
            <v>917</v>
          </cell>
          <cell r="CJ63">
            <v>5394</v>
          </cell>
          <cell r="CK63">
            <v>3686</v>
          </cell>
          <cell r="CL63">
            <v>1127</v>
          </cell>
          <cell r="CM63">
            <v>7180</v>
          </cell>
          <cell r="CN63">
            <v>1293</v>
          </cell>
          <cell r="CO63">
            <v>1532</v>
          </cell>
          <cell r="CP63">
            <v>3196</v>
          </cell>
          <cell r="CQ63">
            <v>773</v>
          </cell>
          <cell r="CR63">
            <v>386</v>
          </cell>
          <cell r="CS63">
            <v>5383</v>
          </cell>
          <cell r="CT63">
            <v>187</v>
          </cell>
          <cell r="CU63">
            <v>1010</v>
          </cell>
          <cell r="CV63">
            <v>4186</v>
          </cell>
          <cell r="CW63">
            <v>22151</v>
          </cell>
          <cell r="CX63">
            <v>4786</v>
          </cell>
          <cell r="CY63">
            <v>1473</v>
          </cell>
          <cell r="CZ63">
            <v>512</v>
          </cell>
          <cell r="DA63">
            <v>1062</v>
          </cell>
          <cell r="DB63">
            <v>1688</v>
          </cell>
          <cell r="DC63">
            <v>51</v>
          </cell>
          <cell r="DD63">
            <v>1870</v>
          </cell>
          <cell r="DE63">
            <v>1407</v>
          </cell>
          <cell r="DF63">
            <v>48</v>
          </cell>
          <cell r="DG63">
            <v>415</v>
          </cell>
          <cell r="DH63">
            <v>4784</v>
          </cell>
          <cell r="DI63">
            <v>1848</v>
          </cell>
          <cell r="DJ63">
            <v>852</v>
          </cell>
          <cell r="DK63">
            <v>976</v>
          </cell>
          <cell r="DL63">
            <v>841</v>
          </cell>
          <cell r="DM63">
            <v>267</v>
          </cell>
          <cell r="DN63">
            <v>7386</v>
          </cell>
          <cell r="DO63">
            <v>1755</v>
          </cell>
          <cell r="DP63">
            <v>3445</v>
          </cell>
          <cell r="DQ63">
            <v>2186</v>
          </cell>
          <cell r="DR63">
            <v>3325</v>
          </cell>
          <cell r="DS63">
            <v>818</v>
          </cell>
          <cell r="DT63">
            <v>1317</v>
          </cell>
          <cell r="DU63">
            <v>626</v>
          </cell>
          <cell r="DV63">
            <v>564</v>
          </cell>
          <cell r="DW63">
            <v>0</v>
          </cell>
          <cell r="DX63">
            <v>2190</v>
          </cell>
          <cell r="DY63">
            <v>21319</v>
          </cell>
          <cell r="DZ63">
            <v>17079</v>
          </cell>
          <cell r="EA63">
            <v>15883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1196</v>
          </cell>
          <cell r="EG63">
            <v>4240</v>
          </cell>
          <cell r="EH63">
            <v>26737</v>
          </cell>
          <cell r="EI63">
            <v>4527</v>
          </cell>
          <cell r="EJ63">
            <v>1306</v>
          </cell>
          <cell r="EK63">
            <v>140</v>
          </cell>
          <cell r="EL63">
            <v>3081</v>
          </cell>
          <cell r="EM63">
            <v>832</v>
          </cell>
          <cell r="EN63">
            <v>1616</v>
          </cell>
          <cell r="EO63">
            <v>1335</v>
          </cell>
          <cell r="EP63">
            <v>281</v>
          </cell>
          <cell r="EQ63">
            <v>1581</v>
          </cell>
          <cell r="ER63">
            <v>4777</v>
          </cell>
          <cell r="ES63">
            <v>2010</v>
          </cell>
          <cell r="ET63">
            <v>606</v>
          </cell>
          <cell r="EU63">
            <v>705</v>
          </cell>
          <cell r="EV63">
            <v>723</v>
          </cell>
          <cell r="EW63">
            <v>733</v>
          </cell>
          <cell r="EX63">
            <v>10729</v>
          </cell>
          <cell r="EY63">
            <v>5606</v>
          </cell>
          <cell r="EZ63">
            <v>5123</v>
          </cell>
          <cell r="FA63">
            <v>2675</v>
          </cell>
          <cell r="FB63">
            <v>209634</v>
          </cell>
          <cell r="FC63">
            <v>164550</v>
          </cell>
          <cell r="FD63">
            <v>23287</v>
          </cell>
          <cell r="FE63">
            <v>5803</v>
          </cell>
          <cell r="FF63">
            <v>517</v>
          </cell>
          <cell r="FG63">
            <v>10120</v>
          </cell>
          <cell r="FH63">
            <v>1010</v>
          </cell>
          <cell r="FI63">
            <v>4502</v>
          </cell>
          <cell r="FJ63">
            <v>1335</v>
          </cell>
          <cell r="FK63">
            <v>87734</v>
          </cell>
          <cell r="FL63">
            <v>16349</v>
          </cell>
          <cell r="FM63">
            <v>8033</v>
          </cell>
          <cell r="FN63">
            <v>10272</v>
          </cell>
          <cell r="FO63">
            <v>5509</v>
          </cell>
          <cell r="FP63">
            <v>10020</v>
          </cell>
          <cell r="FQ63">
            <v>1241</v>
          </cell>
          <cell r="FR63">
            <v>16431</v>
          </cell>
          <cell r="FS63">
            <v>1010</v>
          </cell>
          <cell r="FT63">
            <v>14032</v>
          </cell>
          <cell r="FU63">
            <v>4837</v>
          </cell>
          <cell r="FV63">
            <v>44586</v>
          </cell>
          <cell r="FW63">
            <v>16349</v>
          </cell>
          <cell r="FX63">
            <v>8033</v>
          </cell>
          <cell r="FY63">
            <v>5509</v>
          </cell>
          <cell r="FZ63">
            <v>1172</v>
          </cell>
          <cell r="GA63">
            <v>724</v>
          </cell>
          <cell r="GB63">
            <v>5394</v>
          </cell>
          <cell r="GC63">
            <v>4324</v>
          </cell>
          <cell r="GD63">
            <v>3081</v>
          </cell>
          <cell r="GE63">
            <v>2845</v>
          </cell>
          <cell r="GF63">
            <v>-4609</v>
          </cell>
          <cell r="GG63">
            <v>7454</v>
          </cell>
          <cell r="GH63">
            <v>119055</v>
          </cell>
          <cell r="GI63">
            <v>152</v>
          </cell>
          <cell r="GJ63">
            <v>46436</v>
          </cell>
          <cell r="GK63">
            <v>703</v>
          </cell>
          <cell r="GL63">
            <v>1870</v>
          </cell>
          <cell r="GM63">
            <v>11993</v>
          </cell>
          <cell r="GN63">
            <v>4373</v>
          </cell>
          <cell r="GO63">
            <v>8119</v>
          </cell>
          <cell r="GP63">
            <v>2190</v>
          </cell>
          <cell r="GQ63">
            <v>21319</v>
          </cell>
          <cell r="GR63">
            <v>21900</v>
          </cell>
          <cell r="GS63">
            <v>19861</v>
          </cell>
          <cell r="GT63">
            <v>10272</v>
          </cell>
          <cell r="GU63">
            <v>3045</v>
          </cell>
          <cell r="GV63">
            <v>917</v>
          </cell>
          <cell r="GW63">
            <v>5206</v>
          </cell>
          <cell r="GX63">
            <v>421</v>
          </cell>
        </row>
        <row r="64">
          <cell r="A64" t="str">
            <v>2004 Q4</v>
          </cell>
          <cell r="B64">
            <v>209802</v>
          </cell>
          <cell r="C64">
            <v>16867</v>
          </cell>
          <cell r="D64">
            <v>14868</v>
          </cell>
          <cell r="E64">
            <v>2750</v>
          </cell>
          <cell r="F64">
            <v>3380</v>
          </cell>
          <cell r="G64">
            <v>675</v>
          </cell>
          <cell r="H64">
            <v>1903</v>
          </cell>
          <cell r="I64">
            <v>450</v>
          </cell>
          <cell r="J64">
            <v>1249</v>
          </cell>
          <cell r="K64">
            <v>2216</v>
          </cell>
          <cell r="L64">
            <v>1544</v>
          </cell>
          <cell r="M64">
            <v>701</v>
          </cell>
          <cell r="N64">
            <v>1999</v>
          </cell>
          <cell r="O64">
            <v>331</v>
          </cell>
          <cell r="P64">
            <v>1668</v>
          </cell>
          <cell r="Q64">
            <v>8211</v>
          </cell>
          <cell r="R64">
            <v>3119</v>
          </cell>
          <cell r="S64">
            <v>799</v>
          </cell>
          <cell r="T64">
            <v>1470</v>
          </cell>
          <cell r="U64">
            <v>850</v>
          </cell>
          <cell r="V64">
            <v>3919</v>
          </cell>
          <cell r="W64">
            <v>1173</v>
          </cell>
          <cell r="X64">
            <v>10564</v>
          </cell>
          <cell r="Y64">
            <v>9047</v>
          </cell>
          <cell r="Z64">
            <v>52</v>
          </cell>
          <cell r="AA64">
            <v>8311</v>
          </cell>
          <cell r="AB64">
            <v>541</v>
          </cell>
          <cell r="AC64">
            <v>143</v>
          </cell>
          <cell r="AD64">
            <v>1517</v>
          </cell>
          <cell r="AE64">
            <v>1494</v>
          </cell>
          <cell r="AF64">
            <v>23</v>
          </cell>
          <cell r="AG64">
            <v>52820</v>
          </cell>
          <cell r="AH64">
            <v>8659</v>
          </cell>
          <cell r="AI64">
            <v>8632</v>
          </cell>
          <cell r="AJ64">
            <v>27</v>
          </cell>
          <cell r="AK64">
            <v>37274</v>
          </cell>
          <cell r="AL64">
            <v>35911</v>
          </cell>
          <cell r="AM64">
            <v>1363</v>
          </cell>
          <cell r="AN64">
            <v>630</v>
          </cell>
          <cell r="AO64">
            <v>281</v>
          </cell>
          <cell r="AP64">
            <v>349</v>
          </cell>
          <cell r="AQ64">
            <v>1554</v>
          </cell>
          <cell r="AR64">
            <v>763</v>
          </cell>
          <cell r="AS64">
            <v>45</v>
          </cell>
          <cell r="AT64">
            <v>746</v>
          </cell>
          <cell r="AU64">
            <v>0</v>
          </cell>
          <cell r="AV64">
            <v>4703</v>
          </cell>
          <cell r="AW64">
            <v>2452</v>
          </cell>
          <cell r="AX64">
            <v>1915</v>
          </cell>
          <cell r="AY64">
            <v>249</v>
          </cell>
          <cell r="AZ64">
            <v>87</v>
          </cell>
          <cell r="BA64">
            <v>0</v>
          </cell>
          <cell r="BB64">
            <v>10762</v>
          </cell>
          <cell r="BC64">
            <v>4541</v>
          </cell>
          <cell r="BD64">
            <v>3607</v>
          </cell>
          <cell r="BE64">
            <v>932</v>
          </cell>
          <cell r="BF64">
            <v>2</v>
          </cell>
          <cell r="BG64">
            <v>1031</v>
          </cell>
          <cell r="BH64">
            <v>1538</v>
          </cell>
          <cell r="BI64">
            <v>1174</v>
          </cell>
          <cell r="BJ64">
            <v>270</v>
          </cell>
          <cell r="BK64">
            <v>94</v>
          </cell>
          <cell r="BL64">
            <v>981</v>
          </cell>
          <cell r="BM64">
            <v>906</v>
          </cell>
          <cell r="BN64">
            <v>96</v>
          </cell>
          <cell r="BO64">
            <v>810</v>
          </cell>
          <cell r="BP64">
            <v>1765</v>
          </cell>
          <cell r="BQ64">
            <v>1180</v>
          </cell>
          <cell r="BR64">
            <v>585</v>
          </cell>
          <cell r="BS64">
            <v>3147</v>
          </cell>
          <cell r="BT64">
            <v>1160</v>
          </cell>
          <cell r="BU64">
            <v>615</v>
          </cell>
          <cell r="BV64">
            <v>57</v>
          </cell>
          <cell r="BW64">
            <v>488</v>
          </cell>
          <cell r="BX64">
            <v>1190</v>
          </cell>
          <cell r="BY64">
            <v>769</v>
          </cell>
          <cell r="BZ64">
            <v>327</v>
          </cell>
          <cell r="CA64">
            <v>94</v>
          </cell>
          <cell r="CB64">
            <v>797</v>
          </cell>
          <cell r="CC64">
            <v>29586</v>
          </cell>
          <cell r="CD64">
            <v>10311</v>
          </cell>
          <cell r="CE64">
            <v>9843</v>
          </cell>
          <cell r="CF64">
            <v>274</v>
          </cell>
          <cell r="CG64">
            <v>194</v>
          </cell>
          <cell r="CH64">
            <v>11722</v>
          </cell>
          <cell r="CI64">
            <v>852</v>
          </cell>
          <cell r="CJ64">
            <v>5738</v>
          </cell>
          <cell r="CK64">
            <v>3886</v>
          </cell>
          <cell r="CL64">
            <v>1246</v>
          </cell>
          <cell r="CM64">
            <v>7553</v>
          </cell>
          <cell r="CN64">
            <v>1389</v>
          </cell>
          <cell r="CO64">
            <v>1589</v>
          </cell>
          <cell r="CP64">
            <v>3396</v>
          </cell>
          <cell r="CQ64">
            <v>794</v>
          </cell>
          <cell r="CR64">
            <v>385</v>
          </cell>
          <cell r="CS64">
            <v>5264</v>
          </cell>
          <cell r="CT64">
            <v>165</v>
          </cell>
          <cell r="CU64">
            <v>952</v>
          </cell>
          <cell r="CV64">
            <v>4147</v>
          </cell>
          <cell r="CW64">
            <v>22104</v>
          </cell>
          <cell r="CX64">
            <v>4651</v>
          </cell>
          <cell r="CY64">
            <v>1451</v>
          </cell>
          <cell r="CZ64">
            <v>502</v>
          </cell>
          <cell r="DA64">
            <v>1031</v>
          </cell>
          <cell r="DB64">
            <v>1618</v>
          </cell>
          <cell r="DC64">
            <v>49</v>
          </cell>
          <cell r="DD64">
            <v>1938</v>
          </cell>
          <cell r="DE64">
            <v>1399</v>
          </cell>
          <cell r="DF64">
            <v>119</v>
          </cell>
          <cell r="DG64">
            <v>420</v>
          </cell>
          <cell r="DH64">
            <v>4685</v>
          </cell>
          <cell r="DI64">
            <v>1821</v>
          </cell>
          <cell r="DJ64">
            <v>766</v>
          </cell>
          <cell r="DK64">
            <v>987</v>
          </cell>
          <cell r="DL64">
            <v>840</v>
          </cell>
          <cell r="DM64">
            <v>271</v>
          </cell>
          <cell r="DN64">
            <v>7460</v>
          </cell>
          <cell r="DO64">
            <v>1776</v>
          </cell>
          <cell r="DP64">
            <v>3650</v>
          </cell>
          <cell r="DQ64">
            <v>2034</v>
          </cell>
          <cell r="DR64">
            <v>3370</v>
          </cell>
          <cell r="DS64">
            <v>836</v>
          </cell>
          <cell r="DT64">
            <v>1319</v>
          </cell>
          <cell r="DU64">
            <v>702</v>
          </cell>
          <cell r="DV64">
            <v>513</v>
          </cell>
          <cell r="DW64">
            <v>0</v>
          </cell>
          <cell r="DX64">
            <v>2216</v>
          </cell>
          <cell r="DY64">
            <v>22090</v>
          </cell>
          <cell r="DZ64">
            <v>17652</v>
          </cell>
          <cell r="EA64">
            <v>16487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1165</v>
          </cell>
          <cell r="EG64">
            <v>4438</v>
          </cell>
          <cell r="EH64">
            <v>26171</v>
          </cell>
          <cell r="EI64">
            <v>4602</v>
          </cell>
          <cell r="EJ64">
            <v>1349</v>
          </cell>
          <cell r="EK64">
            <v>160</v>
          </cell>
          <cell r="EL64">
            <v>3093</v>
          </cell>
          <cell r="EM64">
            <v>843</v>
          </cell>
          <cell r="EN64">
            <v>1636</v>
          </cell>
          <cell r="EO64">
            <v>1352</v>
          </cell>
          <cell r="EP64">
            <v>284</v>
          </cell>
          <cell r="EQ64">
            <v>1621</v>
          </cell>
          <cell r="ER64">
            <v>4307</v>
          </cell>
          <cell r="ES64">
            <v>2036</v>
          </cell>
          <cell r="ET64">
            <v>532</v>
          </cell>
          <cell r="EU64">
            <v>610</v>
          </cell>
          <cell r="EV64">
            <v>450</v>
          </cell>
          <cell r="EW64">
            <v>679</v>
          </cell>
          <cell r="EX64">
            <v>10441</v>
          </cell>
          <cell r="EY64">
            <v>5529</v>
          </cell>
          <cell r="EZ64">
            <v>4912</v>
          </cell>
          <cell r="FA64">
            <v>2721</v>
          </cell>
          <cell r="FB64">
            <v>212884</v>
          </cell>
          <cell r="FC64">
            <v>166816</v>
          </cell>
          <cell r="FD64">
            <v>23414</v>
          </cell>
          <cell r="FE64">
            <v>5809</v>
          </cell>
          <cell r="FF64">
            <v>488</v>
          </cell>
          <cell r="FG64">
            <v>10311</v>
          </cell>
          <cell r="FH64">
            <v>952</v>
          </cell>
          <cell r="FI64">
            <v>4502</v>
          </cell>
          <cell r="FJ64">
            <v>1352</v>
          </cell>
          <cell r="FK64">
            <v>89110</v>
          </cell>
          <cell r="FL64">
            <v>16867</v>
          </cell>
          <cell r="FM64">
            <v>8211</v>
          </cell>
          <cell r="FN64">
            <v>10398</v>
          </cell>
          <cell r="FO64">
            <v>5747</v>
          </cell>
          <cell r="FP64">
            <v>10081</v>
          </cell>
          <cell r="FQ64">
            <v>1160</v>
          </cell>
          <cell r="FR64">
            <v>16901</v>
          </cell>
          <cell r="FS64">
            <v>952</v>
          </cell>
          <cell r="FT64">
            <v>13904</v>
          </cell>
          <cell r="FU64">
            <v>4889</v>
          </cell>
          <cell r="FV64">
            <v>45869</v>
          </cell>
          <cell r="FW64">
            <v>16867</v>
          </cell>
          <cell r="FX64">
            <v>8211</v>
          </cell>
          <cell r="FY64">
            <v>5747</v>
          </cell>
          <cell r="FZ64">
            <v>1180</v>
          </cell>
          <cell r="GA64">
            <v>672</v>
          </cell>
          <cell r="GB64">
            <v>5738</v>
          </cell>
          <cell r="GC64">
            <v>4361</v>
          </cell>
          <cell r="GD64">
            <v>3093</v>
          </cell>
          <cell r="GE64">
            <v>3082</v>
          </cell>
          <cell r="GF64">
            <v>-4727</v>
          </cell>
          <cell r="GG64">
            <v>7809</v>
          </cell>
          <cell r="GH64">
            <v>120692</v>
          </cell>
          <cell r="GI64">
            <v>166</v>
          </cell>
          <cell r="GJ64">
            <v>47073</v>
          </cell>
          <cell r="GK64">
            <v>681</v>
          </cell>
          <cell r="GL64">
            <v>1987</v>
          </cell>
          <cell r="GM64">
            <v>12685</v>
          </cell>
          <cell r="GN64">
            <v>4312</v>
          </cell>
          <cell r="GO64">
            <v>8200</v>
          </cell>
          <cell r="GP64">
            <v>2216</v>
          </cell>
          <cell r="GQ64">
            <v>22090</v>
          </cell>
          <cell r="GR64">
            <v>21282</v>
          </cell>
          <cell r="GS64">
            <v>19827</v>
          </cell>
          <cell r="GT64">
            <v>10398</v>
          </cell>
          <cell r="GU64">
            <v>3092</v>
          </cell>
          <cell r="GV64">
            <v>852</v>
          </cell>
          <cell r="GW64">
            <v>5041</v>
          </cell>
          <cell r="GX64">
            <v>444</v>
          </cell>
        </row>
        <row r="65">
          <cell r="A65" t="str">
            <v>2005 Q1</v>
          </cell>
          <cell r="B65">
            <v>212689</v>
          </cell>
          <cell r="C65">
            <v>16857</v>
          </cell>
          <cell r="D65">
            <v>14895</v>
          </cell>
          <cell r="E65">
            <v>2713</v>
          </cell>
          <cell r="F65">
            <v>3335</v>
          </cell>
          <cell r="G65">
            <v>701</v>
          </cell>
          <cell r="H65">
            <v>1977</v>
          </cell>
          <cell r="I65">
            <v>436</v>
          </cell>
          <cell r="J65">
            <v>1266</v>
          </cell>
          <cell r="K65">
            <v>2261</v>
          </cell>
          <cell r="L65">
            <v>1547</v>
          </cell>
          <cell r="M65">
            <v>659</v>
          </cell>
          <cell r="N65">
            <v>1962</v>
          </cell>
          <cell r="O65">
            <v>338</v>
          </cell>
          <cell r="P65">
            <v>1624</v>
          </cell>
          <cell r="Q65">
            <v>8193</v>
          </cell>
          <cell r="R65">
            <v>3083</v>
          </cell>
          <cell r="S65">
            <v>781</v>
          </cell>
          <cell r="T65">
            <v>1467</v>
          </cell>
          <cell r="U65">
            <v>835</v>
          </cell>
          <cell r="V65">
            <v>3914</v>
          </cell>
          <cell r="W65">
            <v>1196</v>
          </cell>
          <cell r="X65">
            <v>10771</v>
          </cell>
          <cell r="Y65">
            <v>9241</v>
          </cell>
          <cell r="Z65">
            <v>29</v>
          </cell>
          <cell r="AA65">
            <v>8442</v>
          </cell>
          <cell r="AB65">
            <v>621</v>
          </cell>
          <cell r="AC65">
            <v>149</v>
          </cell>
          <cell r="AD65">
            <v>1530</v>
          </cell>
          <cell r="AE65">
            <v>1509</v>
          </cell>
          <cell r="AF65">
            <v>21</v>
          </cell>
          <cell r="AG65">
            <v>53392</v>
          </cell>
          <cell r="AH65">
            <v>8892</v>
          </cell>
          <cell r="AI65">
            <v>8865</v>
          </cell>
          <cell r="AJ65">
            <v>27</v>
          </cell>
          <cell r="AK65">
            <v>37673</v>
          </cell>
          <cell r="AL65">
            <v>36272</v>
          </cell>
          <cell r="AM65">
            <v>1401</v>
          </cell>
          <cell r="AN65">
            <v>647</v>
          </cell>
          <cell r="AO65">
            <v>263</v>
          </cell>
          <cell r="AP65">
            <v>384</v>
          </cell>
          <cell r="AQ65">
            <v>1571</v>
          </cell>
          <cell r="AR65">
            <v>776</v>
          </cell>
          <cell r="AS65">
            <v>38</v>
          </cell>
          <cell r="AT65">
            <v>757</v>
          </cell>
          <cell r="AU65">
            <v>0</v>
          </cell>
          <cell r="AV65">
            <v>4609</v>
          </cell>
          <cell r="AW65">
            <v>2365</v>
          </cell>
          <cell r="AX65">
            <v>1986</v>
          </cell>
          <cell r="AY65">
            <v>189</v>
          </cell>
          <cell r="AZ65">
            <v>69</v>
          </cell>
          <cell r="BA65">
            <v>0</v>
          </cell>
          <cell r="BB65">
            <v>10796</v>
          </cell>
          <cell r="BC65">
            <v>4483</v>
          </cell>
          <cell r="BD65">
            <v>3576</v>
          </cell>
          <cell r="BE65">
            <v>904</v>
          </cell>
          <cell r="BF65">
            <v>3</v>
          </cell>
          <cell r="BG65">
            <v>931</v>
          </cell>
          <cell r="BH65">
            <v>1647</v>
          </cell>
          <cell r="BI65">
            <v>1379</v>
          </cell>
          <cell r="BJ65">
            <v>170</v>
          </cell>
          <cell r="BK65">
            <v>98</v>
          </cell>
          <cell r="BL65">
            <v>1015</v>
          </cell>
          <cell r="BM65">
            <v>908</v>
          </cell>
          <cell r="BN65">
            <v>110</v>
          </cell>
          <cell r="BO65">
            <v>798</v>
          </cell>
          <cell r="BP65">
            <v>1812</v>
          </cell>
          <cell r="BQ65">
            <v>1202</v>
          </cell>
          <cell r="BR65">
            <v>610</v>
          </cell>
          <cell r="BS65">
            <v>3188</v>
          </cell>
          <cell r="BT65">
            <v>1088</v>
          </cell>
          <cell r="BU65">
            <v>548</v>
          </cell>
          <cell r="BV65">
            <v>63</v>
          </cell>
          <cell r="BW65">
            <v>477</v>
          </cell>
          <cell r="BX65">
            <v>1266</v>
          </cell>
          <cell r="BY65">
            <v>842</v>
          </cell>
          <cell r="BZ65">
            <v>318</v>
          </cell>
          <cell r="CA65">
            <v>106</v>
          </cell>
          <cell r="CB65">
            <v>834</v>
          </cell>
          <cell r="CC65">
            <v>29690</v>
          </cell>
          <cell r="CD65">
            <v>9901</v>
          </cell>
          <cell r="CE65">
            <v>9470</v>
          </cell>
          <cell r="CF65">
            <v>241</v>
          </cell>
          <cell r="CG65">
            <v>190</v>
          </cell>
          <cell r="CH65">
            <v>12272</v>
          </cell>
          <cell r="CI65">
            <v>1099</v>
          </cell>
          <cell r="CJ65">
            <v>5797</v>
          </cell>
          <cell r="CK65">
            <v>4179</v>
          </cell>
          <cell r="CL65">
            <v>1197</v>
          </cell>
          <cell r="CM65">
            <v>7517</v>
          </cell>
          <cell r="CN65">
            <v>1370</v>
          </cell>
          <cell r="CO65">
            <v>1682</v>
          </cell>
          <cell r="CP65">
            <v>3383</v>
          </cell>
          <cell r="CQ65">
            <v>699</v>
          </cell>
          <cell r="CR65">
            <v>383</v>
          </cell>
          <cell r="CS65">
            <v>5336</v>
          </cell>
          <cell r="CT65">
            <v>178</v>
          </cell>
          <cell r="CU65">
            <v>991</v>
          </cell>
          <cell r="CV65">
            <v>4167</v>
          </cell>
          <cell r="CW65">
            <v>22366</v>
          </cell>
          <cell r="CX65">
            <v>4832</v>
          </cell>
          <cell r="CY65">
            <v>1581</v>
          </cell>
          <cell r="CZ65">
            <v>541</v>
          </cell>
          <cell r="DA65">
            <v>991</v>
          </cell>
          <cell r="DB65">
            <v>1668</v>
          </cell>
          <cell r="DC65">
            <v>51</v>
          </cell>
          <cell r="DD65">
            <v>1960</v>
          </cell>
          <cell r="DE65">
            <v>1398</v>
          </cell>
          <cell r="DF65">
            <v>139</v>
          </cell>
          <cell r="DG65">
            <v>423</v>
          </cell>
          <cell r="DH65">
            <v>4634</v>
          </cell>
          <cell r="DI65">
            <v>1801</v>
          </cell>
          <cell r="DJ65">
            <v>751</v>
          </cell>
          <cell r="DK65">
            <v>962</v>
          </cell>
          <cell r="DL65">
            <v>862</v>
          </cell>
          <cell r="DM65">
            <v>258</v>
          </cell>
          <cell r="DN65">
            <v>7517</v>
          </cell>
          <cell r="DO65">
            <v>1791</v>
          </cell>
          <cell r="DP65">
            <v>3677</v>
          </cell>
          <cell r="DQ65">
            <v>2049</v>
          </cell>
          <cell r="DR65">
            <v>3423</v>
          </cell>
          <cell r="DS65">
            <v>843</v>
          </cell>
          <cell r="DT65">
            <v>1324</v>
          </cell>
          <cell r="DU65">
            <v>718</v>
          </cell>
          <cell r="DV65">
            <v>538</v>
          </cell>
          <cell r="DW65">
            <v>0</v>
          </cell>
          <cell r="DX65">
            <v>2235</v>
          </cell>
          <cell r="DY65">
            <v>22153</v>
          </cell>
          <cell r="DZ65">
            <v>17862</v>
          </cell>
          <cell r="EA65">
            <v>16706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1156</v>
          </cell>
          <cell r="EG65">
            <v>4291</v>
          </cell>
          <cell r="EH65">
            <v>27712</v>
          </cell>
          <cell r="EI65">
            <v>4497</v>
          </cell>
          <cell r="EJ65">
            <v>1357</v>
          </cell>
          <cell r="EK65">
            <v>118</v>
          </cell>
          <cell r="EL65">
            <v>3022</v>
          </cell>
          <cell r="EM65">
            <v>854</v>
          </cell>
          <cell r="EN65">
            <v>1589</v>
          </cell>
          <cell r="EO65">
            <v>1305</v>
          </cell>
          <cell r="EP65">
            <v>284</v>
          </cell>
          <cell r="EQ65">
            <v>1711</v>
          </cell>
          <cell r="ER65">
            <v>5486</v>
          </cell>
          <cell r="ES65">
            <v>2558</v>
          </cell>
          <cell r="ET65">
            <v>644</v>
          </cell>
          <cell r="EU65">
            <v>718</v>
          </cell>
          <cell r="EV65">
            <v>724</v>
          </cell>
          <cell r="EW65">
            <v>842</v>
          </cell>
          <cell r="EX65">
            <v>10885</v>
          </cell>
          <cell r="EY65">
            <v>4924</v>
          </cell>
          <cell r="EZ65">
            <v>5961</v>
          </cell>
          <cell r="FA65">
            <v>2690</v>
          </cell>
          <cell r="FB65">
            <v>215807</v>
          </cell>
          <cell r="FC65">
            <v>169916</v>
          </cell>
          <cell r="FD65">
            <v>23293</v>
          </cell>
          <cell r="FE65">
            <v>5969</v>
          </cell>
          <cell r="FF65">
            <v>477</v>
          </cell>
          <cell r="FG65">
            <v>9901</v>
          </cell>
          <cell r="FH65">
            <v>991</v>
          </cell>
          <cell r="FI65">
            <v>4650</v>
          </cell>
          <cell r="FJ65">
            <v>1305</v>
          </cell>
          <cell r="FK65">
            <v>89106</v>
          </cell>
          <cell r="FL65">
            <v>16857</v>
          </cell>
          <cell r="FM65">
            <v>8193</v>
          </cell>
          <cell r="FN65">
            <v>10601</v>
          </cell>
          <cell r="FO65">
            <v>5648</v>
          </cell>
          <cell r="FP65">
            <v>10085</v>
          </cell>
          <cell r="FQ65">
            <v>1088</v>
          </cell>
          <cell r="FR65">
            <v>16797</v>
          </cell>
          <cell r="FS65">
            <v>991</v>
          </cell>
          <cell r="FT65">
            <v>14117</v>
          </cell>
          <cell r="FU65">
            <v>4729</v>
          </cell>
          <cell r="FV65">
            <v>45734</v>
          </cell>
          <cell r="FW65">
            <v>16857</v>
          </cell>
          <cell r="FX65">
            <v>8193</v>
          </cell>
          <cell r="FY65">
            <v>5648</v>
          </cell>
          <cell r="FZ65">
            <v>1202</v>
          </cell>
          <cell r="GA65">
            <v>611</v>
          </cell>
          <cell r="GB65">
            <v>5797</v>
          </cell>
          <cell r="GC65">
            <v>4404</v>
          </cell>
          <cell r="GD65">
            <v>3022</v>
          </cell>
          <cell r="GE65">
            <v>3118</v>
          </cell>
          <cell r="GF65">
            <v>-4861</v>
          </cell>
          <cell r="GG65">
            <v>7979</v>
          </cell>
          <cell r="GH65">
            <v>123583</v>
          </cell>
          <cell r="GI65">
            <v>170</v>
          </cell>
          <cell r="GJ65">
            <v>47744</v>
          </cell>
          <cell r="GK65">
            <v>711</v>
          </cell>
          <cell r="GL65">
            <v>2100</v>
          </cell>
          <cell r="GM65">
            <v>12893</v>
          </cell>
          <cell r="GN65">
            <v>4345</v>
          </cell>
          <cell r="GO65">
            <v>8249</v>
          </cell>
          <cell r="GP65">
            <v>2235</v>
          </cell>
          <cell r="GQ65">
            <v>22153</v>
          </cell>
          <cell r="GR65">
            <v>22983</v>
          </cell>
          <cell r="GS65">
            <v>20079</v>
          </cell>
          <cell r="GT65">
            <v>10601</v>
          </cell>
          <cell r="GU65">
            <v>2914</v>
          </cell>
          <cell r="GV65">
            <v>1099</v>
          </cell>
          <cell r="GW65">
            <v>5063</v>
          </cell>
          <cell r="GX65">
            <v>402</v>
          </cell>
        </row>
        <row r="66">
          <cell r="A66" t="str">
            <v>2005 Q2</v>
          </cell>
          <cell r="B66">
            <v>212957</v>
          </cell>
          <cell r="C66">
            <v>16828</v>
          </cell>
          <cell r="D66">
            <v>14827</v>
          </cell>
          <cell r="E66">
            <v>2695</v>
          </cell>
          <cell r="F66">
            <v>3413</v>
          </cell>
          <cell r="G66">
            <v>664</v>
          </cell>
          <cell r="H66">
            <v>2014</v>
          </cell>
          <cell r="I66">
            <v>407</v>
          </cell>
          <cell r="J66">
            <v>1270</v>
          </cell>
          <cell r="K66">
            <v>2196</v>
          </cell>
          <cell r="L66">
            <v>1529</v>
          </cell>
          <cell r="M66">
            <v>639</v>
          </cell>
          <cell r="N66">
            <v>2001</v>
          </cell>
          <cell r="O66">
            <v>319</v>
          </cell>
          <cell r="P66">
            <v>1682</v>
          </cell>
          <cell r="Q66">
            <v>8198</v>
          </cell>
          <cell r="R66">
            <v>3109</v>
          </cell>
          <cell r="S66">
            <v>804</v>
          </cell>
          <cell r="T66">
            <v>1500</v>
          </cell>
          <cell r="U66">
            <v>805</v>
          </cell>
          <cell r="V66">
            <v>3825</v>
          </cell>
          <cell r="W66">
            <v>1264</v>
          </cell>
          <cell r="X66">
            <v>10583</v>
          </cell>
          <cell r="Y66">
            <v>9113</v>
          </cell>
          <cell r="Z66">
            <v>88</v>
          </cell>
          <cell r="AA66">
            <v>8276</v>
          </cell>
          <cell r="AB66">
            <v>599</v>
          </cell>
          <cell r="AC66">
            <v>150</v>
          </cell>
          <cell r="AD66">
            <v>1470</v>
          </cell>
          <cell r="AE66">
            <v>1451</v>
          </cell>
          <cell r="AF66">
            <v>19</v>
          </cell>
          <cell r="AG66">
            <v>54442</v>
          </cell>
          <cell r="AH66">
            <v>9180</v>
          </cell>
          <cell r="AI66">
            <v>9153</v>
          </cell>
          <cell r="AJ66">
            <v>27</v>
          </cell>
          <cell r="AK66">
            <v>38095</v>
          </cell>
          <cell r="AL66">
            <v>36678</v>
          </cell>
          <cell r="AM66">
            <v>1417</v>
          </cell>
          <cell r="AN66">
            <v>672</v>
          </cell>
          <cell r="AO66">
            <v>260</v>
          </cell>
          <cell r="AP66">
            <v>412</v>
          </cell>
          <cell r="AQ66">
            <v>1691</v>
          </cell>
          <cell r="AR66">
            <v>854</v>
          </cell>
          <cell r="AS66">
            <v>39</v>
          </cell>
          <cell r="AT66">
            <v>798</v>
          </cell>
          <cell r="AU66">
            <v>0</v>
          </cell>
          <cell r="AV66">
            <v>4804</v>
          </cell>
          <cell r="AW66">
            <v>2359</v>
          </cell>
          <cell r="AX66">
            <v>2166</v>
          </cell>
          <cell r="AY66">
            <v>216</v>
          </cell>
          <cell r="AZ66">
            <v>63</v>
          </cell>
          <cell r="BA66">
            <v>0</v>
          </cell>
          <cell r="BB66">
            <v>10719</v>
          </cell>
          <cell r="BC66">
            <v>4387</v>
          </cell>
          <cell r="BD66">
            <v>3460</v>
          </cell>
          <cell r="BE66">
            <v>915</v>
          </cell>
          <cell r="BF66">
            <v>12</v>
          </cell>
          <cell r="BG66">
            <v>919</v>
          </cell>
          <cell r="BH66">
            <v>1593</v>
          </cell>
          <cell r="BI66">
            <v>1322</v>
          </cell>
          <cell r="BJ66">
            <v>191</v>
          </cell>
          <cell r="BK66">
            <v>80</v>
          </cell>
          <cell r="BL66">
            <v>977</v>
          </cell>
          <cell r="BM66">
            <v>920</v>
          </cell>
          <cell r="BN66">
            <v>93</v>
          </cell>
          <cell r="BO66">
            <v>827</v>
          </cell>
          <cell r="BP66">
            <v>1923</v>
          </cell>
          <cell r="BQ66">
            <v>1162</v>
          </cell>
          <cell r="BR66">
            <v>761</v>
          </cell>
          <cell r="BS66">
            <v>3148</v>
          </cell>
          <cell r="BT66">
            <v>1034</v>
          </cell>
          <cell r="BU66">
            <v>473</v>
          </cell>
          <cell r="BV66">
            <v>55</v>
          </cell>
          <cell r="BW66">
            <v>506</v>
          </cell>
          <cell r="BX66">
            <v>1270</v>
          </cell>
          <cell r="BY66">
            <v>833</v>
          </cell>
          <cell r="BZ66">
            <v>324</v>
          </cell>
          <cell r="CA66">
            <v>113</v>
          </cell>
          <cell r="CB66">
            <v>844</v>
          </cell>
          <cell r="CC66">
            <v>29735</v>
          </cell>
          <cell r="CD66">
            <v>10281</v>
          </cell>
          <cell r="CE66">
            <v>9841</v>
          </cell>
          <cell r="CF66">
            <v>256</v>
          </cell>
          <cell r="CG66">
            <v>184</v>
          </cell>
          <cell r="CH66">
            <v>11959</v>
          </cell>
          <cell r="CI66">
            <v>863</v>
          </cell>
          <cell r="CJ66">
            <v>5921</v>
          </cell>
          <cell r="CK66">
            <v>3969</v>
          </cell>
          <cell r="CL66">
            <v>1206</v>
          </cell>
          <cell r="CM66">
            <v>7495</v>
          </cell>
          <cell r="CN66">
            <v>1301</v>
          </cell>
          <cell r="CO66">
            <v>1793</v>
          </cell>
          <cell r="CP66">
            <v>3317</v>
          </cell>
          <cell r="CQ66">
            <v>713</v>
          </cell>
          <cell r="CR66">
            <v>371</v>
          </cell>
          <cell r="CS66">
            <v>5396</v>
          </cell>
          <cell r="CT66">
            <v>182</v>
          </cell>
          <cell r="CU66">
            <v>1052</v>
          </cell>
          <cell r="CV66">
            <v>4162</v>
          </cell>
          <cell r="CW66">
            <v>21959</v>
          </cell>
          <cell r="CX66">
            <v>4736</v>
          </cell>
          <cell r="CY66">
            <v>1529</v>
          </cell>
          <cell r="CZ66">
            <v>547</v>
          </cell>
          <cell r="DA66">
            <v>985</v>
          </cell>
          <cell r="DB66">
            <v>1615</v>
          </cell>
          <cell r="DC66">
            <v>60</v>
          </cell>
          <cell r="DD66">
            <v>1766</v>
          </cell>
          <cell r="DE66">
            <v>1281</v>
          </cell>
          <cell r="DF66">
            <v>58</v>
          </cell>
          <cell r="DG66">
            <v>427</v>
          </cell>
          <cell r="DH66">
            <v>4624</v>
          </cell>
          <cell r="DI66">
            <v>1790</v>
          </cell>
          <cell r="DJ66">
            <v>789</v>
          </cell>
          <cell r="DK66">
            <v>925</v>
          </cell>
          <cell r="DL66">
            <v>852</v>
          </cell>
          <cell r="DM66">
            <v>268</v>
          </cell>
          <cell r="DN66">
            <v>7477</v>
          </cell>
          <cell r="DO66">
            <v>1873</v>
          </cell>
          <cell r="DP66">
            <v>3564</v>
          </cell>
          <cell r="DQ66">
            <v>2040</v>
          </cell>
          <cell r="DR66">
            <v>3356</v>
          </cell>
          <cell r="DS66">
            <v>830</v>
          </cell>
          <cell r="DT66">
            <v>1329</v>
          </cell>
          <cell r="DU66">
            <v>684</v>
          </cell>
          <cell r="DV66">
            <v>513</v>
          </cell>
          <cell r="DW66">
            <v>0</v>
          </cell>
          <cell r="DX66">
            <v>2250</v>
          </cell>
          <cell r="DY66">
            <v>21713</v>
          </cell>
          <cell r="DZ66">
            <v>17580</v>
          </cell>
          <cell r="EA66">
            <v>16427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1153</v>
          </cell>
          <cell r="EG66">
            <v>4133</v>
          </cell>
          <cell r="EH66">
            <v>27986</v>
          </cell>
          <cell r="EI66">
            <v>4321</v>
          </cell>
          <cell r="EJ66">
            <v>1326</v>
          </cell>
          <cell r="EK66">
            <v>113</v>
          </cell>
          <cell r="EL66">
            <v>2882</v>
          </cell>
          <cell r="EM66">
            <v>865</v>
          </cell>
          <cell r="EN66">
            <v>1570</v>
          </cell>
          <cell r="EO66">
            <v>1299</v>
          </cell>
          <cell r="EP66">
            <v>271</v>
          </cell>
          <cell r="EQ66">
            <v>1739</v>
          </cell>
          <cell r="ER66">
            <v>5916</v>
          </cell>
          <cell r="ES66">
            <v>2618</v>
          </cell>
          <cell r="ET66">
            <v>692</v>
          </cell>
          <cell r="EU66">
            <v>880</v>
          </cell>
          <cell r="EV66">
            <v>845</v>
          </cell>
          <cell r="EW66">
            <v>881</v>
          </cell>
          <cell r="EX66">
            <v>10795</v>
          </cell>
          <cell r="EY66">
            <v>5251</v>
          </cell>
          <cell r="EZ66">
            <v>5544</v>
          </cell>
          <cell r="FA66">
            <v>2780</v>
          </cell>
          <cell r="FB66">
            <v>215641</v>
          </cell>
          <cell r="FC66">
            <v>172224</v>
          </cell>
          <cell r="FD66">
            <v>23328</v>
          </cell>
          <cell r="FE66">
            <v>5790</v>
          </cell>
          <cell r="FF66">
            <v>506</v>
          </cell>
          <cell r="FG66">
            <v>10281</v>
          </cell>
          <cell r="FH66">
            <v>1052</v>
          </cell>
          <cell r="FI66">
            <v>4400</v>
          </cell>
          <cell r="FJ66">
            <v>1299</v>
          </cell>
          <cell r="FK66">
            <v>88667</v>
          </cell>
          <cell r="FL66">
            <v>16828</v>
          </cell>
          <cell r="FM66">
            <v>8198</v>
          </cell>
          <cell r="FN66">
            <v>10414</v>
          </cell>
          <cell r="FO66">
            <v>5918</v>
          </cell>
          <cell r="FP66">
            <v>9866</v>
          </cell>
          <cell r="FQ66">
            <v>1034</v>
          </cell>
          <cell r="FR66">
            <v>17065</v>
          </cell>
          <cell r="FS66">
            <v>1052</v>
          </cell>
          <cell r="FT66">
            <v>13727</v>
          </cell>
          <cell r="FU66">
            <v>4565</v>
          </cell>
          <cell r="FV66">
            <v>45740</v>
          </cell>
          <cell r="FW66">
            <v>16828</v>
          </cell>
          <cell r="FX66">
            <v>8198</v>
          </cell>
          <cell r="FY66">
            <v>5918</v>
          </cell>
          <cell r="FZ66">
            <v>1162</v>
          </cell>
          <cell r="GA66">
            <v>528</v>
          </cell>
          <cell r="GB66">
            <v>5921</v>
          </cell>
          <cell r="GC66">
            <v>4303</v>
          </cell>
          <cell r="GD66">
            <v>2882</v>
          </cell>
          <cell r="GE66">
            <v>2684</v>
          </cell>
          <cell r="GF66">
            <v>-4922</v>
          </cell>
          <cell r="GG66">
            <v>7606</v>
          </cell>
          <cell r="GH66">
            <v>124290</v>
          </cell>
          <cell r="GI66">
            <v>169</v>
          </cell>
          <cell r="GJ66">
            <v>48524</v>
          </cell>
          <cell r="GK66">
            <v>853</v>
          </cell>
          <cell r="GL66">
            <v>2114</v>
          </cell>
          <cell r="GM66">
            <v>12670</v>
          </cell>
          <cell r="GN66">
            <v>4344</v>
          </cell>
          <cell r="GO66">
            <v>8232</v>
          </cell>
          <cell r="GP66">
            <v>2250</v>
          </cell>
          <cell r="GQ66">
            <v>21713</v>
          </cell>
          <cell r="GR66">
            <v>23421</v>
          </cell>
          <cell r="GS66">
            <v>19599</v>
          </cell>
          <cell r="GT66">
            <v>10414</v>
          </cell>
          <cell r="GU66">
            <v>2914</v>
          </cell>
          <cell r="GV66">
            <v>863</v>
          </cell>
          <cell r="GW66">
            <v>5024</v>
          </cell>
          <cell r="GX66">
            <v>384</v>
          </cell>
        </row>
        <row r="67">
          <cell r="A67" t="str">
            <v>2005 Q3</v>
          </cell>
          <cell r="B67">
            <v>216615</v>
          </cell>
          <cell r="C67">
            <v>16893</v>
          </cell>
          <cell r="D67">
            <v>14912</v>
          </cell>
          <cell r="E67">
            <v>2708</v>
          </cell>
          <cell r="F67">
            <v>3362</v>
          </cell>
          <cell r="G67">
            <v>682</v>
          </cell>
          <cell r="H67">
            <v>2033</v>
          </cell>
          <cell r="I67">
            <v>407</v>
          </cell>
          <cell r="J67">
            <v>1304</v>
          </cell>
          <cell r="K67">
            <v>2243</v>
          </cell>
          <cell r="L67">
            <v>1535</v>
          </cell>
          <cell r="M67">
            <v>638</v>
          </cell>
          <cell r="N67">
            <v>1981</v>
          </cell>
          <cell r="O67">
            <v>318</v>
          </cell>
          <cell r="P67">
            <v>1663</v>
          </cell>
          <cell r="Q67">
            <v>8507</v>
          </cell>
          <cell r="R67">
            <v>3205</v>
          </cell>
          <cell r="S67">
            <v>825</v>
          </cell>
          <cell r="T67">
            <v>1532</v>
          </cell>
          <cell r="U67">
            <v>848</v>
          </cell>
          <cell r="V67">
            <v>3917</v>
          </cell>
          <cell r="W67">
            <v>1385</v>
          </cell>
          <cell r="X67">
            <v>10850</v>
          </cell>
          <cell r="Y67">
            <v>9325</v>
          </cell>
          <cell r="Z67">
            <v>83</v>
          </cell>
          <cell r="AA67">
            <v>8500</v>
          </cell>
          <cell r="AB67">
            <v>602</v>
          </cell>
          <cell r="AC67">
            <v>140</v>
          </cell>
          <cell r="AD67">
            <v>1525</v>
          </cell>
          <cell r="AE67">
            <v>1506</v>
          </cell>
          <cell r="AF67">
            <v>19</v>
          </cell>
          <cell r="AG67">
            <v>54947</v>
          </cell>
          <cell r="AH67">
            <v>9459</v>
          </cell>
          <cell r="AI67">
            <v>9432</v>
          </cell>
          <cell r="AJ67">
            <v>27</v>
          </cell>
          <cell r="AK67">
            <v>38397</v>
          </cell>
          <cell r="AL67">
            <v>36973</v>
          </cell>
          <cell r="AM67">
            <v>1424</v>
          </cell>
          <cell r="AN67">
            <v>678</v>
          </cell>
          <cell r="AO67">
            <v>263</v>
          </cell>
          <cell r="AP67">
            <v>415</v>
          </cell>
          <cell r="AQ67">
            <v>1717</v>
          </cell>
          <cell r="AR67">
            <v>868</v>
          </cell>
          <cell r="AS67">
            <v>31</v>
          </cell>
          <cell r="AT67">
            <v>818</v>
          </cell>
          <cell r="AU67">
            <v>0</v>
          </cell>
          <cell r="AV67">
            <v>4696</v>
          </cell>
          <cell r="AW67">
            <v>2538</v>
          </cell>
          <cell r="AX67">
            <v>1859</v>
          </cell>
          <cell r="AY67">
            <v>232</v>
          </cell>
          <cell r="AZ67">
            <v>67</v>
          </cell>
          <cell r="BA67">
            <v>0</v>
          </cell>
          <cell r="BB67">
            <v>10817</v>
          </cell>
          <cell r="BC67">
            <v>4578</v>
          </cell>
          <cell r="BD67">
            <v>3629</v>
          </cell>
          <cell r="BE67">
            <v>930</v>
          </cell>
          <cell r="BF67">
            <v>19</v>
          </cell>
          <cell r="BG67">
            <v>938</v>
          </cell>
          <cell r="BH67">
            <v>1613</v>
          </cell>
          <cell r="BI67">
            <v>1214</v>
          </cell>
          <cell r="BJ67">
            <v>317</v>
          </cell>
          <cell r="BK67">
            <v>82</v>
          </cell>
          <cell r="BL67">
            <v>995</v>
          </cell>
          <cell r="BM67">
            <v>937</v>
          </cell>
          <cell r="BN67">
            <v>133</v>
          </cell>
          <cell r="BO67">
            <v>804</v>
          </cell>
          <cell r="BP67">
            <v>1756</v>
          </cell>
          <cell r="BQ67">
            <v>1150</v>
          </cell>
          <cell r="BR67">
            <v>606</v>
          </cell>
          <cell r="BS67">
            <v>3364</v>
          </cell>
          <cell r="BT67">
            <v>1006</v>
          </cell>
          <cell r="BU67">
            <v>411</v>
          </cell>
          <cell r="BV67">
            <v>53</v>
          </cell>
          <cell r="BW67">
            <v>542</v>
          </cell>
          <cell r="BX67">
            <v>1426</v>
          </cell>
          <cell r="BY67">
            <v>935</v>
          </cell>
          <cell r="BZ67">
            <v>347</v>
          </cell>
          <cell r="CA67">
            <v>144</v>
          </cell>
          <cell r="CB67">
            <v>932</v>
          </cell>
          <cell r="CC67">
            <v>30502</v>
          </cell>
          <cell r="CD67">
            <v>10291</v>
          </cell>
          <cell r="CE67">
            <v>9850</v>
          </cell>
          <cell r="CF67">
            <v>261</v>
          </cell>
          <cell r="CG67">
            <v>180</v>
          </cell>
          <cell r="CH67">
            <v>12400</v>
          </cell>
          <cell r="CI67">
            <v>883</v>
          </cell>
          <cell r="CJ67">
            <v>6159</v>
          </cell>
          <cell r="CK67">
            <v>4110</v>
          </cell>
          <cell r="CL67">
            <v>1248</v>
          </cell>
          <cell r="CM67">
            <v>7811</v>
          </cell>
          <cell r="CN67">
            <v>1301</v>
          </cell>
          <cell r="CO67">
            <v>1846</v>
          </cell>
          <cell r="CP67">
            <v>3515</v>
          </cell>
          <cell r="CQ67">
            <v>775</v>
          </cell>
          <cell r="CR67">
            <v>374</v>
          </cell>
          <cell r="CS67">
            <v>5515</v>
          </cell>
          <cell r="CT67">
            <v>177</v>
          </cell>
          <cell r="CU67">
            <v>1109</v>
          </cell>
          <cell r="CV67">
            <v>4229</v>
          </cell>
          <cell r="CW67">
            <v>22624</v>
          </cell>
          <cell r="CX67">
            <v>4818</v>
          </cell>
          <cell r="CY67">
            <v>1555</v>
          </cell>
          <cell r="CZ67">
            <v>572</v>
          </cell>
          <cell r="DA67">
            <v>1011</v>
          </cell>
          <cell r="DB67">
            <v>1622</v>
          </cell>
          <cell r="DC67">
            <v>58</v>
          </cell>
          <cell r="DD67">
            <v>2057</v>
          </cell>
          <cell r="DE67">
            <v>1463</v>
          </cell>
          <cell r="DF67">
            <v>162</v>
          </cell>
          <cell r="DG67">
            <v>432</v>
          </cell>
          <cell r="DH67">
            <v>4619</v>
          </cell>
          <cell r="DI67">
            <v>1830</v>
          </cell>
          <cell r="DJ67">
            <v>716</v>
          </cell>
          <cell r="DK67">
            <v>921</v>
          </cell>
          <cell r="DL67">
            <v>874</v>
          </cell>
          <cell r="DM67">
            <v>278</v>
          </cell>
          <cell r="DN67">
            <v>7812</v>
          </cell>
          <cell r="DO67">
            <v>1954</v>
          </cell>
          <cell r="DP67">
            <v>3567</v>
          </cell>
          <cell r="DQ67">
            <v>2291</v>
          </cell>
          <cell r="DR67">
            <v>3318</v>
          </cell>
          <cell r="DS67">
            <v>827</v>
          </cell>
          <cell r="DT67">
            <v>1293</v>
          </cell>
          <cell r="DU67">
            <v>682</v>
          </cell>
          <cell r="DV67">
            <v>516</v>
          </cell>
          <cell r="DW67">
            <v>0</v>
          </cell>
          <cell r="DX67">
            <v>2291</v>
          </cell>
          <cell r="DY67">
            <v>22250</v>
          </cell>
          <cell r="DZ67">
            <v>18010</v>
          </cell>
          <cell r="EA67">
            <v>16846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1164</v>
          </cell>
          <cell r="EG67">
            <v>4240</v>
          </cell>
          <cell r="EH67">
            <v>28055</v>
          </cell>
          <cell r="EI67">
            <v>4485</v>
          </cell>
          <cell r="EJ67">
            <v>1302</v>
          </cell>
          <cell r="EK67">
            <v>162</v>
          </cell>
          <cell r="EL67">
            <v>3021</v>
          </cell>
          <cell r="EM67">
            <v>876</v>
          </cell>
          <cell r="EN67">
            <v>1629</v>
          </cell>
          <cell r="EO67">
            <v>1346</v>
          </cell>
          <cell r="EP67">
            <v>283</v>
          </cell>
          <cell r="EQ67">
            <v>1855</v>
          </cell>
          <cell r="ER67">
            <v>5135</v>
          </cell>
          <cell r="ES67">
            <v>2711</v>
          </cell>
          <cell r="ET67">
            <v>552</v>
          </cell>
          <cell r="EU67">
            <v>721</v>
          </cell>
          <cell r="EV67">
            <v>508</v>
          </cell>
          <cell r="EW67">
            <v>643</v>
          </cell>
          <cell r="EX67">
            <v>11063</v>
          </cell>
          <cell r="EY67">
            <v>5423</v>
          </cell>
          <cell r="EZ67">
            <v>5640</v>
          </cell>
          <cell r="FA67">
            <v>3012</v>
          </cell>
          <cell r="FB67">
            <v>219749</v>
          </cell>
          <cell r="FC67">
            <v>174354</v>
          </cell>
          <cell r="FD67">
            <v>23957</v>
          </cell>
          <cell r="FE67">
            <v>5906</v>
          </cell>
          <cell r="FF67">
            <v>542</v>
          </cell>
          <cell r="FG67">
            <v>10291</v>
          </cell>
          <cell r="FH67">
            <v>1109</v>
          </cell>
          <cell r="FI67">
            <v>4763</v>
          </cell>
          <cell r="FJ67">
            <v>1346</v>
          </cell>
          <cell r="FK67">
            <v>90332</v>
          </cell>
          <cell r="FL67">
            <v>16893</v>
          </cell>
          <cell r="FM67">
            <v>8507</v>
          </cell>
          <cell r="FN67">
            <v>10691</v>
          </cell>
          <cell r="FO67">
            <v>5827</v>
          </cell>
          <cell r="FP67">
            <v>10110</v>
          </cell>
          <cell r="FQ67">
            <v>1006</v>
          </cell>
          <cell r="FR67">
            <v>17333</v>
          </cell>
          <cell r="FS67">
            <v>1109</v>
          </cell>
          <cell r="FT67">
            <v>14044</v>
          </cell>
          <cell r="FU67">
            <v>4812</v>
          </cell>
          <cell r="FV67">
            <v>46307</v>
          </cell>
          <cell r="FW67">
            <v>16893</v>
          </cell>
          <cell r="FX67">
            <v>8507</v>
          </cell>
          <cell r="FY67">
            <v>5827</v>
          </cell>
          <cell r="FZ67">
            <v>1150</v>
          </cell>
          <cell r="GA67">
            <v>464</v>
          </cell>
          <cell r="GB67">
            <v>6159</v>
          </cell>
          <cell r="GC67">
            <v>4286</v>
          </cell>
          <cell r="GD67">
            <v>3021</v>
          </cell>
          <cell r="GE67">
            <v>3134</v>
          </cell>
          <cell r="GF67">
            <v>-4856</v>
          </cell>
          <cell r="GG67">
            <v>7990</v>
          </cell>
          <cell r="GH67">
            <v>126283</v>
          </cell>
          <cell r="GI67">
            <v>159</v>
          </cell>
          <cell r="GJ67">
            <v>49120</v>
          </cell>
          <cell r="GK67">
            <v>707</v>
          </cell>
          <cell r="GL67">
            <v>2358</v>
          </cell>
          <cell r="GM67">
            <v>13169</v>
          </cell>
          <cell r="GN67">
            <v>4406</v>
          </cell>
          <cell r="GO67">
            <v>8580</v>
          </cell>
          <cell r="GP67">
            <v>2291</v>
          </cell>
          <cell r="GQ67">
            <v>22250</v>
          </cell>
          <cell r="GR67">
            <v>23243</v>
          </cell>
          <cell r="GS67">
            <v>20068</v>
          </cell>
          <cell r="GT67">
            <v>10691</v>
          </cell>
          <cell r="GU67">
            <v>3054</v>
          </cell>
          <cell r="GV67">
            <v>883</v>
          </cell>
          <cell r="GW67">
            <v>4995</v>
          </cell>
          <cell r="GX67">
            <v>445</v>
          </cell>
        </row>
        <row r="68">
          <cell r="A68" t="str">
            <v>2005 Q4</v>
          </cell>
          <cell r="B68">
            <v>219987</v>
          </cell>
          <cell r="C68">
            <v>17244</v>
          </cell>
          <cell r="D68">
            <v>15227</v>
          </cell>
          <cell r="E68">
            <v>2821</v>
          </cell>
          <cell r="F68">
            <v>3368</v>
          </cell>
          <cell r="G68">
            <v>743</v>
          </cell>
          <cell r="H68">
            <v>2090</v>
          </cell>
          <cell r="I68">
            <v>408</v>
          </cell>
          <cell r="J68">
            <v>1319</v>
          </cell>
          <cell r="K68">
            <v>2220</v>
          </cell>
          <cell r="L68">
            <v>1546</v>
          </cell>
          <cell r="M68">
            <v>712</v>
          </cell>
          <cell r="N68">
            <v>2017</v>
          </cell>
          <cell r="O68">
            <v>361</v>
          </cell>
          <cell r="P68">
            <v>1656</v>
          </cell>
          <cell r="Q68">
            <v>8694</v>
          </cell>
          <cell r="R68">
            <v>3156</v>
          </cell>
          <cell r="S68">
            <v>820</v>
          </cell>
          <cell r="T68">
            <v>1514</v>
          </cell>
          <cell r="U68">
            <v>822</v>
          </cell>
          <cell r="V68">
            <v>3996</v>
          </cell>
          <cell r="W68">
            <v>1542</v>
          </cell>
          <cell r="X68">
            <v>11064</v>
          </cell>
          <cell r="Y68">
            <v>9486</v>
          </cell>
          <cell r="Z68">
            <v>28</v>
          </cell>
          <cell r="AA68">
            <v>8652</v>
          </cell>
          <cell r="AB68">
            <v>663</v>
          </cell>
          <cell r="AC68">
            <v>143</v>
          </cell>
          <cell r="AD68">
            <v>1578</v>
          </cell>
          <cell r="AE68">
            <v>1554</v>
          </cell>
          <cell r="AF68">
            <v>24</v>
          </cell>
          <cell r="AG68">
            <v>55584</v>
          </cell>
          <cell r="AH68">
            <v>9695</v>
          </cell>
          <cell r="AI68">
            <v>9668</v>
          </cell>
          <cell r="AJ68">
            <v>27</v>
          </cell>
          <cell r="AK68">
            <v>38505</v>
          </cell>
          <cell r="AL68">
            <v>37080</v>
          </cell>
          <cell r="AM68">
            <v>1425</v>
          </cell>
          <cell r="AN68">
            <v>675</v>
          </cell>
          <cell r="AO68">
            <v>253</v>
          </cell>
          <cell r="AP68">
            <v>422</v>
          </cell>
          <cell r="AQ68">
            <v>1736</v>
          </cell>
          <cell r="AR68">
            <v>875</v>
          </cell>
          <cell r="AS68">
            <v>24</v>
          </cell>
          <cell r="AT68">
            <v>837</v>
          </cell>
          <cell r="AU68">
            <v>0</v>
          </cell>
          <cell r="AV68">
            <v>4973</v>
          </cell>
          <cell r="AW68">
            <v>2739</v>
          </cell>
          <cell r="AX68">
            <v>1995</v>
          </cell>
          <cell r="AY68">
            <v>184</v>
          </cell>
          <cell r="AZ68">
            <v>55</v>
          </cell>
          <cell r="BA68">
            <v>0</v>
          </cell>
          <cell r="BB68">
            <v>11165</v>
          </cell>
          <cell r="BC68">
            <v>4550</v>
          </cell>
          <cell r="BD68">
            <v>3621</v>
          </cell>
          <cell r="BE68">
            <v>903</v>
          </cell>
          <cell r="BF68">
            <v>26</v>
          </cell>
          <cell r="BG68">
            <v>974</v>
          </cell>
          <cell r="BH68">
            <v>1651</v>
          </cell>
          <cell r="BI68">
            <v>1333</v>
          </cell>
          <cell r="BJ68">
            <v>238</v>
          </cell>
          <cell r="BK68">
            <v>80</v>
          </cell>
          <cell r="BL68">
            <v>987</v>
          </cell>
          <cell r="BM68">
            <v>955</v>
          </cell>
          <cell r="BN68">
            <v>95</v>
          </cell>
          <cell r="BO68">
            <v>860</v>
          </cell>
          <cell r="BP68">
            <v>2048</v>
          </cell>
          <cell r="BQ68">
            <v>1205</v>
          </cell>
          <cell r="BR68">
            <v>843</v>
          </cell>
          <cell r="BS68">
            <v>3351</v>
          </cell>
          <cell r="BT68">
            <v>949</v>
          </cell>
          <cell r="BU68">
            <v>339</v>
          </cell>
          <cell r="BV68">
            <v>59</v>
          </cell>
          <cell r="BW68">
            <v>551</v>
          </cell>
          <cell r="BX68">
            <v>1440</v>
          </cell>
          <cell r="BY68">
            <v>921</v>
          </cell>
          <cell r="BZ68">
            <v>354</v>
          </cell>
          <cell r="CA68">
            <v>165</v>
          </cell>
          <cell r="CB68">
            <v>962</v>
          </cell>
          <cell r="CC68">
            <v>31091</v>
          </cell>
          <cell r="CD68">
            <v>10440</v>
          </cell>
          <cell r="CE68">
            <v>10024</v>
          </cell>
          <cell r="CF68">
            <v>236</v>
          </cell>
          <cell r="CG68">
            <v>180</v>
          </cell>
          <cell r="CH68">
            <v>12662</v>
          </cell>
          <cell r="CI68">
            <v>1094</v>
          </cell>
          <cell r="CJ68">
            <v>6318</v>
          </cell>
          <cell r="CK68">
            <v>3917</v>
          </cell>
          <cell r="CL68">
            <v>1333</v>
          </cell>
          <cell r="CM68">
            <v>7989</v>
          </cell>
          <cell r="CN68">
            <v>1334</v>
          </cell>
          <cell r="CO68">
            <v>1886</v>
          </cell>
          <cell r="CP68">
            <v>3516</v>
          </cell>
          <cell r="CQ68">
            <v>881</v>
          </cell>
          <cell r="CR68">
            <v>372</v>
          </cell>
          <cell r="CS68">
            <v>5609</v>
          </cell>
          <cell r="CT68">
            <v>170</v>
          </cell>
          <cell r="CU68">
            <v>1132</v>
          </cell>
          <cell r="CV68">
            <v>4307</v>
          </cell>
          <cell r="CW68">
            <v>23132</v>
          </cell>
          <cell r="CX68">
            <v>4857</v>
          </cell>
          <cell r="CY68">
            <v>1592</v>
          </cell>
          <cell r="CZ68">
            <v>584</v>
          </cell>
          <cell r="DA68">
            <v>1031</v>
          </cell>
          <cell r="DB68">
            <v>1600</v>
          </cell>
          <cell r="DC68">
            <v>50</v>
          </cell>
          <cell r="DD68">
            <v>1888</v>
          </cell>
          <cell r="DE68">
            <v>1434</v>
          </cell>
          <cell r="DF68">
            <v>16</v>
          </cell>
          <cell r="DG68">
            <v>438</v>
          </cell>
          <cell r="DH68">
            <v>4870</v>
          </cell>
          <cell r="DI68">
            <v>1849</v>
          </cell>
          <cell r="DJ68">
            <v>856</v>
          </cell>
          <cell r="DK68">
            <v>940</v>
          </cell>
          <cell r="DL68">
            <v>905</v>
          </cell>
          <cell r="DM68">
            <v>320</v>
          </cell>
          <cell r="DN68">
            <v>8105</v>
          </cell>
          <cell r="DO68">
            <v>1970</v>
          </cell>
          <cell r="DP68">
            <v>3826</v>
          </cell>
          <cell r="DQ68">
            <v>2309</v>
          </cell>
          <cell r="DR68">
            <v>3412</v>
          </cell>
          <cell r="DS68">
            <v>816</v>
          </cell>
          <cell r="DT68">
            <v>1290</v>
          </cell>
          <cell r="DU68">
            <v>748</v>
          </cell>
          <cell r="DV68">
            <v>558</v>
          </cell>
          <cell r="DW68">
            <v>0</v>
          </cell>
          <cell r="DX68">
            <v>2336</v>
          </cell>
          <cell r="DY68">
            <v>22704</v>
          </cell>
          <cell r="DZ68">
            <v>18279</v>
          </cell>
          <cell r="EA68">
            <v>17101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1178</v>
          </cell>
          <cell r="EG68">
            <v>4425</v>
          </cell>
          <cell r="EH68">
            <v>28013</v>
          </cell>
          <cell r="EI68">
            <v>4525</v>
          </cell>
          <cell r="EJ68">
            <v>1314</v>
          </cell>
          <cell r="EK68">
            <v>94</v>
          </cell>
          <cell r="EL68">
            <v>3117</v>
          </cell>
          <cell r="EM68">
            <v>888</v>
          </cell>
          <cell r="EN68">
            <v>1638</v>
          </cell>
          <cell r="EO68">
            <v>1342</v>
          </cell>
          <cell r="EP68">
            <v>296</v>
          </cell>
          <cell r="EQ68">
            <v>1805</v>
          </cell>
          <cell r="ER68">
            <v>5303</v>
          </cell>
          <cell r="ES68">
            <v>2778</v>
          </cell>
          <cell r="ET68">
            <v>592</v>
          </cell>
          <cell r="EU68">
            <v>692</v>
          </cell>
          <cell r="EV68">
            <v>500</v>
          </cell>
          <cell r="EW68">
            <v>741</v>
          </cell>
          <cell r="EX68">
            <v>11122</v>
          </cell>
          <cell r="EY68">
            <v>5478</v>
          </cell>
          <cell r="EZ68">
            <v>5644</v>
          </cell>
          <cell r="FA68">
            <v>2732</v>
          </cell>
          <cell r="FB68">
            <v>222945</v>
          </cell>
          <cell r="FC68">
            <v>177109</v>
          </cell>
          <cell r="FD68">
            <v>24074</v>
          </cell>
          <cell r="FE68">
            <v>5952</v>
          </cell>
          <cell r="FF68">
            <v>551</v>
          </cell>
          <cell r="FG68">
            <v>10440</v>
          </cell>
          <cell r="FH68">
            <v>1132</v>
          </cell>
          <cell r="FI68">
            <v>4657</v>
          </cell>
          <cell r="FJ68">
            <v>1342</v>
          </cell>
          <cell r="FK68">
            <v>92153</v>
          </cell>
          <cell r="FL68">
            <v>17244</v>
          </cell>
          <cell r="FM68">
            <v>8694</v>
          </cell>
          <cell r="FN68">
            <v>10897</v>
          </cell>
          <cell r="FO68">
            <v>6101</v>
          </cell>
          <cell r="FP68">
            <v>10216</v>
          </cell>
          <cell r="FQ68">
            <v>949</v>
          </cell>
          <cell r="FR68">
            <v>17852</v>
          </cell>
          <cell r="FS68">
            <v>1132</v>
          </cell>
          <cell r="FT68">
            <v>14219</v>
          </cell>
          <cell r="FU68">
            <v>4849</v>
          </cell>
          <cell r="FV68">
            <v>47518</v>
          </cell>
          <cell r="FW68">
            <v>17244</v>
          </cell>
          <cell r="FX68">
            <v>8694</v>
          </cell>
          <cell r="FY68">
            <v>6101</v>
          </cell>
          <cell r="FZ68">
            <v>1205</v>
          </cell>
          <cell r="GA68">
            <v>398</v>
          </cell>
          <cell r="GB68">
            <v>6318</v>
          </cell>
          <cell r="GC68">
            <v>4441</v>
          </cell>
          <cell r="GD68">
            <v>3117</v>
          </cell>
          <cell r="GE68">
            <v>2958</v>
          </cell>
          <cell r="GF68">
            <v>-5217</v>
          </cell>
          <cell r="GG68">
            <v>8175</v>
          </cell>
          <cell r="GH68">
            <v>127834</v>
          </cell>
          <cell r="GI68">
            <v>167</v>
          </cell>
          <cell r="GJ68">
            <v>49483</v>
          </cell>
          <cell r="GK68">
            <v>949</v>
          </cell>
          <cell r="GL68">
            <v>2402</v>
          </cell>
          <cell r="GM68">
            <v>13239</v>
          </cell>
          <cell r="GN68">
            <v>4477</v>
          </cell>
          <cell r="GO68">
            <v>8913</v>
          </cell>
          <cell r="GP68">
            <v>2336</v>
          </cell>
          <cell r="GQ68">
            <v>22704</v>
          </cell>
          <cell r="GR68">
            <v>23164</v>
          </cell>
          <cell r="GS68">
            <v>20561</v>
          </cell>
          <cell r="GT68">
            <v>10897</v>
          </cell>
          <cell r="GU68">
            <v>3059</v>
          </cell>
          <cell r="GV68">
            <v>1094</v>
          </cell>
          <cell r="GW68">
            <v>5121</v>
          </cell>
          <cell r="GX68">
            <v>390</v>
          </cell>
        </row>
        <row r="69">
          <cell r="A69" t="str">
            <v>2006 Q1</v>
          </cell>
          <cell r="B69">
            <v>220049</v>
          </cell>
          <cell r="C69">
            <v>17377</v>
          </cell>
          <cell r="D69">
            <v>15349</v>
          </cell>
          <cell r="E69">
            <v>2849</v>
          </cell>
          <cell r="F69">
            <v>3411</v>
          </cell>
          <cell r="G69">
            <v>722</v>
          </cell>
          <cell r="H69">
            <v>2092</v>
          </cell>
          <cell r="I69">
            <v>417</v>
          </cell>
          <cell r="J69">
            <v>1360</v>
          </cell>
          <cell r="K69">
            <v>2299</v>
          </cell>
          <cell r="L69">
            <v>1522</v>
          </cell>
          <cell r="M69">
            <v>677</v>
          </cell>
          <cell r="N69">
            <v>2028</v>
          </cell>
          <cell r="O69">
            <v>321</v>
          </cell>
          <cell r="P69">
            <v>1707</v>
          </cell>
          <cell r="Q69">
            <v>8641</v>
          </cell>
          <cell r="R69">
            <v>3086</v>
          </cell>
          <cell r="S69">
            <v>775</v>
          </cell>
          <cell r="T69">
            <v>1431</v>
          </cell>
          <cell r="U69">
            <v>880</v>
          </cell>
          <cell r="V69">
            <v>3868</v>
          </cell>
          <cell r="W69">
            <v>1687</v>
          </cell>
          <cell r="X69">
            <v>11137</v>
          </cell>
          <cell r="Y69">
            <v>9532</v>
          </cell>
          <cell r="Z69">
            <v>103</v>
          </cell>
          <cell r="AA69">
            <v>8654</v>
          </cell>
          <cell r="AB69">
            <v>628</v>
          </cell>
          <cell r="AC69">
            <v>147</v>
          </cell>
          <cell r="AD69">
            <v>1605</v>
          </cell>
          <cell r="AE69">
            <v>1581</v>
          </cell>
          <cell r="AF69">
            <v>24</v>
          </cell>
          <cell r="AG69">
            <v>56374</v>
          </cell>
          <cell r="AH69">
            <v>9962</v>
          </cell>
          <cell r="AI69">
            <v>9935</v>
          </cell>
          <cell r="AJ69">
            <v>27</v>
          </cell>
          <cell r="AK69">
            <v>38807</v>
          </cell>
          <cell r="AL69">
            <v>37404</v>
          </cell>
          <cell r="AM69">
            <v>1403</v>
          </cell>
          <cell r="AN69">
            <v>609</v>
          </cell>
          <cell r="AO69">
            <v>230</v>
          </cell>
          <cell r="AP69">
            <v>379</v>
          </cell>
          <cell r="AQ69">
            <v>1747</v>
          </cell>
          <cell r="AR69">
            <v>882</v>
          </cell>
          <cell r="AS69">
            <v>27</v>
          </cell>
          <cell r="AT69">
            <v>838</v>
          </cell>
          <cell r="AU69">
            <v>0</v>
          </cell>
          <cell r="AV69">
            <v>5249</v>
          </cell>
          <cell r="AW69">
            <v>2920</v>
          </cell>
          <cell r="AX69">
            <v>2011</v>
          </cell>
          <cell r="AY69">
            <v>250</v>
          </cell>
          <cell r="AZ69">
            <v>68</v>
          </cell>
          <cell r="BA69">
            <v>0</v>
          </cell>
          <cell r="BB69">
            <v>11158</v>
          </cell>
          <cell r="BC69">
            <v>4664</v>
          </cell>
          <cell r="BD69">
            <v>3723</v>
          </cell>
          <cell r="BE69">
            <v>918</v>
          </cell>
          <cell r="BF69">
            <v>23</v>
          </cell>
          <cell r="BG69">
            <v>960</v>
          </cell>
          <cell r="BH69">
            <v>1648</v>
          </cell>
          <cell r="BI69">
            <v>1301</v>
          </cell>
          <cell r="BJ69">
            <v>274</v>
          </cell>
          <cell r="BK69">
            <v>73</v>
          </cell>
          <cell r="BL69">
            <v>1011</v>
          </cell>
          <cell r="BM69">
            <v>943</v>
          </cell>
          <cell r="BN69">
            <v>77</v>
          </cell>
          <cell r="BO69">
            <v>866</v>
          </cell>
          <cell r="BP69">
            <v>1932</v>
          </cell>
          <cell r="BQ69">
            <v>1202</v>
          </cell>
          <cell r="BR69">
            <v>730</v>
          </cell>
          <cell r="BS69">
            <v>2605</v>
          </cell>
          <cell r="BT69">
            <v>854</v>
          </cell>
          <cell r="BU69">
            <v>237</v>
          </cell>
          <cell r="BV69">
            <v>48</v>
          </cell>
          <cell r="BW69">
            <v>569</v>
          </cell>
          <cell r="BX69">
            <v>914</v>
          </cell>
          <cell r="BY69">
            <v>381</v>
          </cell>
          <cell r="BZ69">
            <v>335</v>
          </cell>
          <cell r="CA69">
            <v>198</v>
          </cell>
          <cell r="CB69">
            <v>837</v>
          </cell>
          <cell r="CC69">
            <v>30890</v>
          </cell>
          <cell r="CD69">
            <v>10545</v>
          </cell>
          <cell r="CE69">
            <v>10145</v>
          </cell>
          <cell r="CF69">
            <v>222</v>
          </cell>
          <cell r="CG69">
            <v>178</v>
          </cell>
          <cell r="CH69">
            <v>12280</v>
          </cell>
          <cell r="CI69">
            <v>938</v>
          </cell>
          <cell r="CJ69">
            <v>6269</v>
          </cell>
          <cell r="CK69">
            <v>3746</v>
          </cell>
          <cell r="CL69">
            <v>1327</v>
          </cell>
          <cell r="CM69">
            <v>8065</v>
          </cell>
          <cell r="CN69">
            <v>1322</v>
          </cell>
          <cell r="CO69">
            <v>1970</v>
          </cell>
          <cell r="CP69">
            <v>3519</v>
          </cell>
          <cell r="CQ69">
            <v>859</v>
          </cell>
          <cell r="CR69">
            <v>395</v>
          </cell>
          <cell r="CS69">
            <v>5578</v>
          </cell>
          <cell r="CT69">
            <v>160</v>
          </cell>
          <cell r="CU69">
            <v>1052</v>
          </cell>
          <cell r="CV69">
            <v>4366</v>
          </cell>
          <cell r="CW69">
            <v>22888</v>
          </cell>
          <cell r="CX69">
            <v>4893</v>
          </cell>
          <cell r="CY69">
            <v>1740</v>
          </cell>
          <cell r="CZ69">
            <v>565</v>
          </cell>
          <cell r="DA69">
            <v>1050</v>
          </cell>
          <cell r="DB69">
            <v>1500</v>
          </cell>
          <cell r="DC69">
            <v>38</v>
          </cell>
          <cell r="DD69">
            <v>1857</v>
          </cell>
          <cell r="DE69">
            <v>1352</v>
          </cell>
          <cell r="DF69">
            <v>62</v>
          </cell>
          <cell r="DG69">
            <v>443</v>
          </cell>
          <cell r="DH69">
            <v>4822</v>
          </cell>
          <cell r="DI69">
            <v>1729</v>
          </cell>
          <cell r="DJ69">
            <v>902</v>
          </cell>
          <cell r="DK69">
            <v>907</v>
          </cell>
          <cell r="DL69">
            <v>944</v>
          </cell>
          <cell r="DM69">
            <v>340</v>
          </cell>
          <cell r="DN69">
            <v>7961</v>
          </cell>
          <cell r="DO69">
            <v>1957</v>
          </cell>
          <cell r="DP69">
            <v>3817</v>
          </cell>
          <cell r="DQ69">
            <v>2187</v>
          </cell>
          <cell r="DR69">
            <v>3355</v>
          </cell>
          <cell r="DS69">
            <v>822</v>
          </cell>
          <cell r="DT69">
            <v>1274</v>
          </cell>
          <cell r="DU69">
            <v>703</v>
          </cell>
          <cell r="DV69">
            <v>556</v>
          </cell>
          <cell r="DW69">
            <v>0</v>
          </cell>
          <cell r="DX69">
            <v>2382</v>
          </cell>
          <cell r="DY69">
            <v>22563</v>
          </cell>
          <cell r="DZ69">
            <v>18186</v>
          </cell>
          <cell r="EA69">
            <v>17011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1175</v>
          </cell>
          <cell r="EG69">
            <v>4377</v>
          </cell>
          <cell r="EH69">
            <v>28456</v>
          </cell>
          <cell r="EI69">
            <v>4611</v>
          </cell>
          <cell r="EJ69">
            <v>1368</v>
          </cell>
          <cell r="EK69">
            <v>100</v>
          </cell>
          <cell r="EL69">
            <v>3143</v>
          </cell>
          <cell r="EM69">
            <v>900</v>
          </cell>
          <cell r="EN69">
            <v>1680</v>
          </cell>
          <cell r="EO69">
            <v>1357</v>
          </cell>
          <cell r="EP69">
            <v>323</v>
          </cell>
          <cell r="EQ69">
            <v>1954</v>
          </cell>
          <cell r="ER69">
            <v>4874</v>
          </cell>
          <cell r="ES69">
            <v>3227</v>
          </cell>
          <cell r="ET69">
            <v>350</v>
          </cell>
          <cell r="EU69">
            <v>378</v>
          </cell>
          <cell r="EV69">
            <v>446</v>
          </cell>
          <cell r="EW69">
            <v>473</v>
          </cell>
          <cell r="EX69">
            <v>11537</v>
          </cell>
          <cell r="EY69">
            <v>5253</v>
          </cell>
          <cell r="EZ69">
            <v>6284</v>
          </cell>
          <cell r="FA69">
            <v>2900</v>
          </cell>
          <cell r="FB69">
            <v>223193</v>
          </cell>
          <cell r="FC69">
            <v>176977</v>
          </cell>
          <cell r="FD69">
            <v>24311</v>
          </cell>
          <cell r="FE69">
            <v>6019</v>
          </cell>
          <cell r="FF69">
            <v>569</v>
          </cell>
          <cell r="FG69">
            <v>10545</v>
          </cell>
          <cell r="FH69">
            <v>1052</v>
          </cell>
          <cell r="FI69">
            <v>4769</v>
          </cell>
          <cell r="FJ69">
            <v>1357</v>
          </cell>
          <cell r="FK69">
            <v>92364</v>
          </cell>
          <cell r="FL69">
            <v>17377</v>
          </cell>
          <cell r="FM69">
            <v>8641</v>
          </cell>
          <cell r="FN69">
            <v>10966</v>
          </cell>
          <cell r="FO69">
            <v>6361</v>
          </cell>
          <cell r="FP69">
            <v>10332</v>
          </cell>
          <cell r="FQ69">
            <v>854</v>
          </cell>
          <cell r="FR69">
            <v>17752</v>
          </cell>
          <cell r="FS69">
            <v>1052</v>
          </cell>
          <cell r="FT69">
            <v>14106</v>
          </cell>
          <cell r="FU69">
            <v>4923</v>
          </cell>
          <cell r="FV69">
            <v>47662</v>
          </cell>
          <cell r="FW69">
            <v>17377</v>
          </cell>
          <cell r="FX69">
            <v>8641</v>
          </cell>
          <cell r="FY69">
            <v>6361</v>
          </cell>
          <cell r="FZ69">
            <v>1202</v>
          </cell>
          <cell r="GA69">
            <v>285</v>
          </cell>
          <cell r="GB69">
            <v>6269</v>
          </cell>
          <cell r="GC69">
            <v>4384</v>
          </cell>
          <cell r="GD69">
            <v>3143</v>
          </cell>
          <cell r="GE69">
            <v>3144</v>
          </cell>
          <cell r="GF69">
            <v>-5248</v>
          </cell>
          <cell r="GG69">
            <v>8392</v>
          </cell>
          <cell r="GH69">
            <v>127685</v>
          </cell>
          <cell r="GI69">
            <v>171</v>
          </cell>
          <cell r="GJ69">
            <v>50013</v>
          </cell>
          <cell r="GK69">
            <v>826</v>
          </cell>
          <cell r="GL69">
            <v>1751</v>
          </cell>
          <cell r="GM69">
            <v>13138</v>
          </cell>
          <cell r="GN69">
            <v>4526</v>
          </cell>
          <cell r="GO69">
            <v>8782</v>
          </cell>
          <cell r="GP69">
            <v>2382</v>
          </cell>
          <cell r="GQ69">
            <v>22563</v>
          </cell>
          <cell r="GR69">
            <v>23533</v>
          </cell>
          <cell r="GS69">
            <v>20391</v>
          </cell>
          <cell r="GT69">
            <v>10966</v>
          </cell>
          <cell r="GU69">
            <v>3111</v>
          </cell>
          <cell r="GV69">
            <v>938</v>
          </cell>
          <cell r="GW69">
            <v>4953</v>
          </cell>
          <cell r="GX69">
            <v>423</v>
          </cell>
        </row>
        <row r="70">
          <cell r="A70" t="str">
            <v>2006 Q2</v>
          </cell>
          <cell r="B70">
            <v>222831</v>
          </cell>
          <cell r="C70">
            <v>17276</v>
          </cell>
          <cell r="D70">
            <v>15287</v>
          </cell>
          <cell r="E70">
            <v>2819</v>
          </cell>
          <cell r="F70">
            <v>3358</v>
          </cell>
          <cell r="G70">
            <v>768</v>
          </cell>
          <cell r="H70">
            <v>2040</v>
          </cell>
          <cell r="I70">
            <v>414</v>
          </cell>
          <cell r="J70">
            <v>1374</v>
          </cell>
          <cell r="K70">
            <v>2279</v>
          </cell>
          <cell r="L70">
            <v>1541</v>
          </cell>
          <cell r="M70">
            <v>694</v>
          </cell>
          <cell r="N70">
            <v>1989</v>
          </cell>
          <cell r="O70">
            <v>336</v>
          </cell>
          <cell r="P70">
            <v>1653</v>
          </cell>
          <cell r="Q70">
            <v>8891</v>
          </cell>
          <cell r="R70">
            <v>3241</v>
          </cell>
          <cell r="S70">
            <v>802</v>
          </cell>
          <cell r="T70">
            <v>1521</v>
          </cell>
          <cell r="U70">
            <v>918</v>
          </cell>
          <cell r="V70">
            <v>3875</v>
          </cell>
          <cell r="W70">
            <v>1775</v>
          </cell>
          <cell r="X70">
            <v>11212</v>
          </cell>
          <cell r="Y70">
            <v>9543</v>
          </cell>
          <cell r="Z70">
            <v>94</v>
          </cell>
          <cell r="AA70">
            <v>8618</v>
          </cell>
          <cell r="AB70">
            <v>676</v>
          </cell>
          <cell r="AC70">
            <v>155</v>
          </cell>
          <cell r="AD70">
            <v>1669</v>
          </cell>
          <cell r="AE70">
            <v>1645</v>
          </cell>
          <cell r="AF70">
            <v>24</v>
          </cell>
          <cell r="AG70">
            <v>57682</v>
          </cell>
          <cell r="AH70">
            <v>10243</v>
          </cell>
          <cell r="AI70">
            <v>10215</v>
          </cell>
          <cell r="AJ70">
            <v>28</v>
          </cell>
          <cell r="AK70">
            <v>39118</v>
          </cell>
          <cell r="AL70">
            <v>37712</v>
          </cell>
          <cell r="AM70">
            <v>1406</v>
          </cell>
          <cell r="AN70">
            <v>637</v>
          </cell>
          <cell r="AO70">
            <v>231</v>
          </cell>
          <cell r="AP70">
            <v>406</v>
          </cell>
          <cell r="AQ70">
            <v>1773</v>
          </cell>
          <cell r="AR70">
            <v>891</v>
          </cell>
          <cell r="AS70">
            <v>38</v>
          </cell>
          <cell r="AT70">
            <v>844</v>
          </cell>
          <cell r="AU70">
            <v>0</v>
          </cell>
          <cell r="AV70">
            <v>5911</v>
          </cell>
          <cell r="AW70">
            <v>3141</v>
          </cell>
          <cell r="AX70">
            <v>2379</v>
          </cell>
          <cell r="AY70">
            <v>327</v>
          </cell>
          <cell r="AZ70">
            <v>64</v>
          </cell>
          <cell r="BA70">
            <v>0</v>
          </cell>
          <cell r="BB70">
            <v>11226</v>
          </cell>
          <cell r="BC70">
            <v>4506</v>
          </cell>
          <cell r="BD70">
            <v>3610</v>
          </cell>
          <cell r="BE70">
            <v>882</v>
          </cell>
          <cell r="BF70">
            <v>14</v>
          </cell>
          <cell r="BG70">
            <v>995</v>
          </cell>
          <cell r="BH70">
            <v>1669</v>
          </cell>
          <cell r="BI70">
            <v>1334</v>
          </cell>
          <cell r="BJ70">
            <v>255</v>
          </cell>
          <cell r="BK70">
            <v>80</v>
          </cell>
          <cell r="BL70">
            <v>1055</v>
          </cell>
          <cell r="BM70">
            <v>1040</v>
          </cell>
          <cell r="BN70">
            <v>93</v>
          </cell>
          <cell r="BO70">
            <v>947</v>
          </cell>
          <cell r="BP70">
            <v>1961</v>
          </cell>
          <cell r="BQ70">
            <v>1226</v>
          </cell>
          <cell r="BR70">
            <v>735</v>
          </cell>
          <cell r="BS70">
            <v>2697</v>
          </cell>
          <cell r="BT70">
            <v>891</v>
          </cell>
          <cell r="BU70">
            <v>246</v>
          </cell>
          <cell r="BV70">
            <v>58</v>
          </cell>
          <cell r="BW70">
            <v>587</v>
          </cell>
          <cell r="BX70">
            <v>953</v>
          </cell>
          <cell r="BY70">
            <v>427</v>
          </cell>
          <cell r="BZ70">
            <v>350</v>
          </cell>
          <cell r="CA70">
            <v>176</v>
          </cell>
          <cell r="CB70">
            <v>853</v>
          </cell>
          <cell r="CC70">
            <v>31155</v>
          </cell>
          <cell r="CD70">
            <v>10444</v>
          </cell>
          <cell r="CE70">
            <v>10031</v>
          </cell>
          <cell r="CF70">
            <v>236</v>
          </cell>
          <cell r="CG70">
            <v>177</v>
          </cell>
          <cell r="CH70">
            <v>12452</v>
          </cell>
          <cell r="CI70">
            <v>1004</v>
          </cell>
          <cell r="CJ70">
            <v>6156</v>
          </cell>
          <cell r="CK70">
            <v>3964</v>
          </cell>
          <cell r="CL70">
            <v>1328</v>
          </cell>
          <cell r="CM70">
            <v>8259</v>
          </cell>
          <cell r="CN70">
            <v>1283</v>
          </cell>
          <cell r="CO70">
            <v>2057</v>
          </cell>
          <cell r="CP70">
            <v>3548</v>
          </cell>
          <cell r="CQ70">
            <v>938</v>
          </cell>
          <cell r="CR70">
            <v>433</v>
          </cell>
          <cell r="CS70">
            <v>5653</v>
          </cell>
          <cell r="CT70">
            <v>161</v>
          </cell>
          <cell r="CU70">
            <v>1091</v>
          </cell>
          <cell r="CV70">
            <v>4401</v>
          </cell>
          <cell r="CW70">
            <v>23568</v>
          </cell>
          <cell r="CX70">
            <v>5080</v>
          </cell>
          <cell r="CY70">
            <v>1806</v>
          </cell>
          <cell r="CZ70">
            <v>590</v>
          </cell>
          <cell r="DA70">
            <v>1092</v>
          </cell>
          <cell r="DB70">
            <v>1559</v>
          </cell>
          <cell r="DC70">
            <v>33</v>
          </cell>
          <cell r="DD70">
            <v>1930</v>
          </cell>
          <cell r="DE70">
            <v>1299</v>
          </cell>
          <cell r="DF70">
            <v>184</v>
          </cell>
          <cell r="DG70">
            <v>447</v>
          </cell>
          <cell r="DH70">
            <v>4847</v>
          </cell>
          <cell r="DI70">
            <v>1651</v>
          </cell>
          <cell r="DJ70">
            <v>931</v>
          </cell>
          <cell r="DK70">
            <v>948</v>
          </cell>
          <cell r="DL70">
            <v>957</v>
          </cell>
          <cell r="DM70">
            <v>360</v>
          </cell>
          <cell r="DN70">
            <v>8256</v>
          </cell>
          <cell r="DO70">
            <v>2043</v>
          </cell>
          <cell r="DP70">
            <v>3952</v>
          </cell>
          <cell r="DQ70">
            <v>2261</v>
          </cell>
          <cell r="DR70">
            <v>3455</v>
          </cell>
          <cell r="DS70">
            <v>843</v>
          </cell>
          <cell r="DT70">
            <v>1294</v>
          </cell>
          <cell r="DU70">
            <v>748</v>
          </cell>
          <cell r="DV70">
            <v>570</v>
          </cell>
          <cell r="DW70">
            <v>0</v>
          </cell>
          <cell r="DX70">
            <v>2449</v>
          </cell>
          <cell r="DY70">
            <v>22816</v>
          </cell>
          <cell r="DZ70">
            <v>18370</v>
          </cell>
          <cell r="EA70">
            <v>17177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1193</v>
          </cell>
          <cell r="EG70">
            <v>4446</v>
          </cell>
          <cell r="EH70">
            <v>28206</v>
          </cell>
          <cell r="EI70">
            <v>4729</v>
          </cell>
          <cell r="EJ70">
            <v>1404</v>
          </cell>
          <cell r="EK70">
            <v>114</v>
          </cell>
          <cell r="EL70">
            <v>3211</v>
          </cell>
          <cell r="EM70">
            <v>913</v>
          </cell>
          <cell r="EN70">
            <v>1712</v>
          </cell>
          <cell r="EO70">
            <v>1370</v>
          </cell>
          <cell r="EP70">
            <v>342</v>
          </cell>
          <cell r="EQ70">
            <v>1940</v>
          </cell>
          <cell r="ER70">
            <v>4496</v>
          </cell>
          <cell r="ES70">
            <v>3247</v>
          </cell>
          <cell r="ET70">
            <v>284</v>
          </cell>
          <cell r="EU70">
            <v>336</v>
          </cell>
          <cell r="EV70">
            <v>285</v>
          </cell>
          <cell r="EW70">
            <v>344</v>
          </cell>
          <cell r="EX70">
            <v>11602</v>
          </cell>
          <cell r="EY70">
            <v>5187</v>
          </cell>
          <cell r="EZ70">
            <v>6415</v>
          </cell>
          <cell r="FA70">
            <v>2814</v>
          </cell>
          <cell r="FB70">
            <v>225794</v>
          </cell>
          <cell r="FC70">
            <v>180375</v>
          </cell>
          <cell r="FD70">
            <v>24382</v>
          </cell>
          <cell r="FE70">
            <v>5919</v>
          </cell>
          <cell r="FF70">
            <v>587</v>
          </cell>
          <cell r="FG70">
            <v>10444</v>
          </cell>
          <cell r="FH70">
            <v>1091</v>
          </cell>
          <cell r="FI70">
            <v>4971</v>
          </cell>
          <cell r="FJ70">
            <v>1370</v>
          </cell>
          <cell r="FK70">
            <v>93725</v>
          </cell>
          <cell r="FL70">
            <v>17276</v>
          </cell>
          <cell r="FM70">
            <v>8891</v>
          </cell>
          <cell r="FN70">
            <v>11033</v>
          </cell>
          <cell r="FO70">
            <v>7033</v>
          </cell>
          <cell r="FP70">
            <v>10397</v>
          </cell>
          <cell r="FQ70">
            <v>891</v>
          </cell>
          <cell r="FR70">
            <v>17604</v>
          </cell>
          <cell r="FS70">
            <v>1091</v>
          </cell>
          <cell r="FT70">
            <v>14472</v>
          </cell>
          <cell r="FU70">
            <v>5037</v>
          </cell>
          <cell r="FV70">
            <v>48614</v>
          </cell>
          <cell r="FW70">
            <v>17276</v>
          </cell>
          <cell r="FX70">
            <v>8891</v>
          </cell>
          <cell r="FY70">
            <v>7033</v>
          </cell>
          <cell r="FZ70">
            <v>1226</v>
          </cell>
          <cell r="GA70">
            <v>304</v>
          </cell>
          <cell r="GB70">
            <v>6156</v>
          </cell>
          <cell r="GC70">
            <v>4517</v>
          </cell>
          <cell r="GD70">
            <v>3211</v>
          </cell>
          <cell r="GE70">
            <v>2963</v>
          </cell>
          <cell r="GF70">
            <v>-5468</v>
          </cell>
          <cell r="GG70">
            <v>8431</v>
          </cell>
          <cell r="GH70">
            <v>129106</v>
          </cell>
          <cell r="GI70">
            <v>179</v>
          </cell>
          <cell r="GJ70">
            <v>50649</v>
          </cell>
          <cell r="GK70">
            <v>829</v>
          </cell>
          <cell r="GL70">
            <v>1806</v>
          </cell>
          <cell r="GM70">
            <v>13551</v>
          </cell>
          <cell r="GN70">
            <v>4562</v>
          </cell>
          <cell r="GO70">
            <v>9096</v>
          </cell>
          <cell r="GP70">
            <v>2449</v>
          </cell>
          <cell r="GQ70">
            <v>22816</v>
          </cell>
          <cell r="GR70">
            <v>23169</v>
          </cell>
          <cell r="GS70">
            <v>20729</v>
          </cell>
          <cell r="GT70">
            <v>11033</v>
          </cell>
          <cell r="GU70">
            <v>3252</v>
          </cell>
          <cell r="GV70">
            <v>1004</v>
          </cell>
          <cell r="GW70">
            <v>4984</v>
          </cell>
          <cell r="GX70">
            <v>456</v>
          </cell>
        </row>
        <row r="71">
          <cell r="A71" t="str">
            <v>2006 Q3</v>
          </cell>
          <cell r="B71">
            <v>226356</v>
          </cell>
          <cell r="C71">
            <v>17704</v>
          </cell>
          <cell r="D71">
            <v>15554</v>
          </cell>
          <cell r="E71">
            <v>2832</v>
          </cell>
          <cell r="F71">
            <v>3400</v>
          </cell>
          <cell r="G71">
            <v>804</v>
          </cell>
          <cell r="H71">
            <v>2126</v>
          </cell>
          <cell r="I71">
            <v>410</v>
          </cell>
          <cell r="J71">
            <v>1390</v>
          </cell>
          <cell r="K71">
            <v>2339</v>
          </cell>
          <cell r="L71">
            <v>1541</v>
          </cell>
          <cell r="M71">
            <v>712</v>
          </cell>
          <cell r="N71">
            <v>2150</v>
          </cell>
          <cell r="O71">
            <v>364</v>
          </cell>
          <cell r="P71">
            <v>1786</v>
          </cell>
          <cell r="Q71">
            <v>8877</v>
          </cell>
          <cell r="R71">
            <v>3219</v>
          </cell>
          <cell r="S71">
            <v>804</v>
          </cell>
          <cell r="T71">
            <v>1500</v>
          </cell>
          <cell r="U71">
            <v>915</v>
          </cell>
          <cell r="V71">
            <v>3893</v>
          </cell>
          <cell r="W71">
            <v>1765</v>
          </cell>
          <cell r="X71">
            <v>11324</v>
          </cell>
          <cell r="Y71">
            <v>9641</v>
          </cell>
          <cell r="Z71">
            <v>49</v>
          </cell>
          <cell r="AA71">
            <v>8662</v>
          </cell>
          <cell r="AB71">
            <v>775</v>
          </cell>
          <cell r="AC71">
            <v>155</v>
          </cell>
          <cell r="AD71">
            <v>1683</v>
          </cell>
          <cell r="AE71">
            <v>1659</v>
          </cell>
          <cell r="AF71">
            <v>24</v>
          </cell>
          <cell r="AG71">
            <v>58774</v>
          </cell>
          <cell r="AH71">
            <v>10465</v>
          </cell>
          <cell r="AI71">
            <v>10436</v>
          </cell>
          <cell r="AJ71">
            <v>29</v>
          </cell>
          <cell r="AK71">
            <v>39488</v>
          </cell>
          <cell r="AL71">
            <v>38063</v>
          </cell>
          <cell r="AM71">
            <v>1425</v>
          </cell>
          <cell r="AN71">
            <v>741</v>
          </cell>
          <cell r="AO71">
            <v>274</v>
          </cell>
          <cell r="AP71">
            <v>467</v>
          </cell>
          <cell r="AQ71">
            <v>1791</v>
          </cell>
          <cell r="AR71">
            <v>893</v>
          </cell>
          <cell r="AS71">
            <v>53</v>
          </cell>
          <cell r="AT71">
            <v>845</v>
          </cell>
          <cell r="AU71">
            <v>0</v>
          </cell>
          <cell r="AV71">
            <v>6289</v>
          </cell>
          <cell r="AW71">
            <v>3208</v>
          </cell>
          <cell r="AX71">
            <v>2745</v>
          </cell>
          <cell r="AY71">
            <v>269</v>
          </cell>
          <cell r="AZ71">
            <v>67</v>
          </cell>
          <cell r="BA71">
            <v>0</v>
          </cell>
          <cell r="BB71">
            <v>11271</v>
          </cell>
          <cell r="BC71">
            <v>4495</v>
          </cell>
          <cell r="BD71">
            <v>3597</v>
          </cell>
          <cell r="BE71">
            <v>887</v>
          </cell>
          <cell r="BF71">
            <v>11</v>
          </cell>
          <cell r="BG71">
            <v>990</v>
          </cell>
          <cell r="BH71">
            <v>1676</v>
          </cell>
          <cell r="BI71">
            <v>1276</v>
          </cell>
          <cell r="BJ71">
            <v>326</v>
          </cell>
          <cell r="BK71">
            <v>74</v>
          </cell>
          <cell r="BL71">
            <v>1089</v>
          </cell>
          <cell r="BM71">
            <v>1078</v>
          </cell>
          <cell r="BN71">
            <v>99</v>
          </cell>
          <cell r="BO71">
            <v>979</v>
          </cell>
          <cell r="BP71">
            <v>1943</v>
          </cell>
          <cell r="BQ71">
            <v>1254</v>
          </cell>
          <cell r="BR71">
            <v>689</v>
          </cell>
          <cell r="BS71">
            <v>2937</v>
          </cell>
          <cell r="BT71">
            <v>944</v>
          </cell>
          <cell r="BU71">
            <v>319</v>
          </cell>
          <cell r="BV71">
            <v>51</v>
          </cell>
          <cell r="BW71">
            <v>574</v>
          </cell>
          <cell r="BX71">
            <v>1097</v>
          </cell>
          <cell r="BY71">
            <v>572</v>
          </cell>
          <cell r="BZ71">
            <v>374</v>
          </cell>
          <cell r="CA71">
            <v>151</v>
          </cell>
          <cell r="CB71">
            <v>896</v>
          </cell>
          <cell r="CC71">
            <v>31356</v>
          </cell>
          <cell r="CD71">
            <v>10463</v>
          </cell>
          <cell r="CE71">
            <v>10054</v>
          </cell>
          <cell r="CF71">
            <v>235</v>
          </cell>
          <cell r="CG71">
            <v>174</v>
          </cell>
          <cell r="CH71">
            <v>12538</v>
          </cell>
          <cell r="CI71">
            <v>1067</v>
          </cell>
          <cell r="CJ71">
            <v>6292</v>
          </cell>
          <cell r="CK71">
            <v>3820</v>
          </cell>
          <cell r="CL71">
            <v>1359</v>
          </cell>
          <cell r="CM71">
            <v>8355</v>
          </cell>
          <cell r="CN71">
            <v>1276</v>
          </cell>
          <cell r="CO71">
            <v>2060</v>
          </cell>
          <cell r="CP71">
            <v>3637</v>
          </cell>
          <cell r="CQ71">
            <v>942</v>
          </cell>
          <cell r="CR71">
            <v>440</v>
          </cell>
          <cell r="CS71">
            <v>5611</v>
          </cell>
          <cell r="CT71">
            <v>171</v>
          </cell>
          <cell r="CU71">
            <v>1084</v>
          </cell>
          <cell r="CV71">
            <v>4356</v>
          </cell>
          <cell r="CW71">
            <v>23465</v>
          </cell>
          <cell r="CX71">
            <v>4979</v>
          </cell>
          <cell r="CY71">
            <v>1725</v>
          </cell>
          <cell r="CZ71">
            <v>598</v>
          </cell>
          <cell r="DA71">
            <v>1055</v>
          </cell>
          <cell r="DB71">
            <v>1563</v>
          </cell>
          <cell r="DC71">
            <v>38</v>
          </cell>
          <cell r="DD71">
            <v>1824</v>
          </cell>
          <cell r="DE71">
            <v>1289</v>
          </cell>
          <cell r="DF71">
            <v>87</v>
          </cell>
          <cell r="DG71">
            <v>448</v>
          </cell>
          <cell r="DH71">
            <v>5031</v>
          </cell>
          <cell r="DI71">
            <v>1756</v>
          </cell>
          <cell r="DJ71">
            <v>990</v>
          </cell>
          <cell r="DK71">
            <v>980</v>
          </cell>
          <cell r="DL71">
            <v>927</v>
          </cell>
          <cell r="DM71">
            <v>378</v>
          </cell>
          <cell r="DN71">
            <v>8186</v>
          </cell>
          <cell r="DO71">
            <v>1987</v>
          </cell>
          <cell r="DP71">
            <v>3929</v>
          </cell>
          <cell r="DQ71">
            <v>2270</v>
          </cell>
          <cell r="DR71">
            <v>3445</v>
          </cell>
          <cell r="DS71">
            <v>797</v>
          </cell>
          <cell r="DT71">
            <v>1303</v>
          </cell>
          <cell r="DU71">
            <v>783</v>
          </cell>
          <cell r="DV71">
            <v>562</v>
          </cell>
          <cell r="DW71">
            <v>0</v>
          </cell>
          <cell r="DX71">
            <v>2529</v>
          </cell>
          <cell r="DY71">
            <v>22993</v>
          </cell>
          <cell r="DZ71">
            <v>18369</v>
          </cell>
          <cell r="EA71">
            <v>17201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1168</v>
          </cell>
          <cell r="EG71">
            <v>4624</v>
          </cell>
          <cell r="EH71">
            <v>29515</v>
          </cell>
          <cell r="EI71">
            <v>4779</v>
          </cell>
          <cell r="EJ71">
            <v>1402</v>
          </cell>
          <cell r="EK71">
            <v>94</v>
          </cell>
          <cell r="EL71">
            <v>3283</v>
          </cell>
          <cell r="EM71">
            <v>926</v>
          </cell>
          <cell r="EN71">
            <v>1720</v>
          </cell>
          <cell r="EO71">
            <v>1370</v>
          </cell>
          <cell r="EP71">
            <v>350</v>
          </cell>
          <cell r="EQ71">
            <v>2016</v>
          </cell>
          <cell r="ER71">
            <v>4463</v>
          </cell>
          <cell r="ES71">
            <v>3250</v>
          </cell>
          <cell r="ET71">
            <v>275</v>
          </cell>
          <cell r="EU71">
            <v>370</v>
          </cell>
          <cell r="EV71">
            <v>250</v>
          </cell>
          <cell r="EW71">
            <v>318</v>
          </cell>
          <cell r="EX71">
            <v>12597</v>
          </cell>
          <cell r="EY71">
            <v>6018</v>
          </cell>
          <cell r="EZ71">
            <v>6579</v>
          </cell>
          <cell r="FA71">
            <v>3014</v>
          </cell>
          <cell r="FB71">
            <v>228835</v>
          </cell>
          <cell r="FC71">
            <v>182938</v>
          </cell>
          <cell r="FD71">
            <v>24104</v>
          </cell>
          <cell r="FE71">
            <v>5859</v>
          </cell>
          <cell r="FF71">
            <v>574</v>
          </cell>
          <cell r="FG71">
            <v>10463</v>
          </cell>
          <cell r="FH71">
            <v>1084</v>
          </cell>
          <cell r="FI71">
            <v>4754</v>
          </cell>
          <cell r="FJ71">
            <v>1370</v>
          </cell>
          <cell r="FK71">
            <v>95041</v>
          </cell>
          <cell r="FL71">
            <v>17704</v>
          </cell>
          <cell r="FM71">
            <v>8877</v>
          </cell>
          <cell r="FN71">
            <v>11145</v>
          </cell>
          <cell r="FO71">
            <v>7456</v>
          </cell>
          <cell r="FP71">
            <v>10497</v>
          </cell>
          <cell r="FQ71">
            <v>944</v>
          </cell>
          <cell r="FR71">
            <v>17822</v>
          </cell>
          <cell r="FS71">
            <v>1084</v>
          </cell>
          <cell r="FT71">
            <v>14415</v>
          </cell>
          <cell r="FU71">
            <v>5097</v>
          </cell>
          <cell r="FV71">
            <v>49791</v>
          </cell>
          <cell r="FW71">
            <v>17704</v>
          </cell>
          <cell r="FX71">
            <v>8877</v>
          </cell>
          <cell r="FY71">
            <v>7456</v>
          </cell>
          <cell r="FZ71">
            <v>1254</v>
          </cell>
          <cell r="GA71">
            <v>370</v>
          </cell>
          <cell r="GB71">
            <v>6292</v>
          </cell>
          <cell r="GC71">
            <v>4555</v>
          </cell>
          <cell r="GD71">
            <v>3283</v>
          </cell>
          <cell r="GE71">
            <v>2479</v>
          </cell>
          <cell r="GF71">
            <v>-5592</v>
          </cell>
          <cell r="GG71">
            <v>8071</v>
          </cell>
          <cell r="GH71">
            <v>131315</v>
          </cell>
          <cell r="GI71">
            <v>179</v>
          </cell>
          <cell r="GJ71">
            <v>51318</v>
          </cell>
          <cell r="GK71">
            <v>774</v>
          </cell>
          <cell r="GL71">
            <v>1993</v>
          </cell>
          <cell r="GM71">
            <v>13534</v>
          </cell>
          <cell r="GN71">
            <v>4527</v>
          </cell>
          <cell r="GO71">
            <v>9050</v>
          </cell>
          <cell r="GP71">
            <v>2529</v>
          </cell>
          <cell r="GQ71">
            <v>22993</v>
          </cell>
          <cell r="GR71">
            <v>24418</v>
          </cell>
          <cell r="GS71">
            <v>21146</v>
          </cell>
          <cell r="GT71">
            <v>11145</v>
          </cell>
          <cell r="GU71">
            <v>3384</v>
          </cell>
          <cell r="GV71">
            <v>1067</v>
          </cell>
          <cell r="GW71">
            <v>5106</v>
          </cell>
          <cell r="GX71">
            <v>444</v>
          </cell>
        </row>
        <row r="72">
          <cell r="A72" t="str">
            <v>2006 Q4</v>
          </cell>
          <cell r="B72">
            <v>226790</v>
          </cell>
          <cell r="C72">
            <v>17877</v>
          </cell>
          <cell r="D72">
            <v>15790</v>
          </cell>
          <cell r="E72">
            <v>2862</v>
          </cell>
          <cell r="F72">
            <v>3376</v>
          </cell>
          <cell r="G72">
            <v>787</v>
          </cell>
          <cell r="H72">
            <v>2146</v>
          </cell>
          <cell r="I72">
            <v>402</v>
          </cell>
          <cell r="J72">
            <v>1471</v>
          </cell>
          <cell r="K72">
            <v>2439</v>
          </cell>
          <cell r="L72">
            <v>1615</v>
          </cell>
          <cell r="M72">
            <v>692</v>
          </cell>
          <cell r="N72">
            <v>2087</v>
          </cell>
          <cell r="O72">
            <v>340</v>
          </cell>
          <cell r="P72">
            <v>1747</v>
          </cell>
          <cell r="Q72">
            <v>8694</v>
          </cell>
          <cell r="R72">
            <v>3167</v>
          </cell>
          <cell r="S72">
            <v>788</v>
          </cell>
          <cell r="T72">
            <v>1495</v>
          </cell>
          <cell r="U72">
            <v>884</v>
          </cell>
          <cell r="V72">
            <v>3873</v>
          </cell>
          <cell r="W72">
            <v>1654</v>
          </cell>
          <cell r="X72">
            <v>11435</v>
          </cell>
          <cell r="Y72">
            <v>9673</v>
          </cell>
          <cell r="Z72">
            <v>21</v>
          </cell>
          <cell r="AA72">
            <v>8726</v>
          </cell>
          <cell r="AB72">
            <v>766</v>
          </cell>
          <cell r="AC72">
            <v>160</v>
          </cell>
          <cell r="AD72">
            <v>1762</v>
          </cell>
          <cell r="AE72">
            <v>1738</v>
          </cell>
          <cell r="AF72">
            <v>24</v>
          </cell>
          <cell r="AG72">
            <v>58900</v>
          </cell>
          <cell r="AH72">
            <v>10704</v>
          </cell>
          <cell r="AI72">
            <v>10674</v>
          </cell>
          <cell r="AJ72">
            <v>30</v>
          </cell>
          <cell r="AK72">
            <v>39679</v>
          </cell>
          <cell r="AL72">
            <v>38229</v>
          </cell>
          <cell r="AM72">
            <v>1450</v>
          </cell>
          <cell r="AN72">
            <v>771</v>
          </cell>
          <cell r="AO72">
            <v>281</v>
          </cell>
          <cell r="AP72">
            <v>490</v>
          </cell>
          <cell r="AQ72">
            <v>1800</v>
          </cell>
          <cell r="AR72">
            <v>895</v>
          </cell>
          <cell r="AS72">
            <v>59</v>
          </cell>
          <cell r="AT72">
            <v>846</v>
          </cell>
          <cell r="AU72">
            <v>0</v>
          </cell>
          <cell r="AV72">
            <v>5946</v>
          </cell>
          <cell r="AW72">
            <v>3136</v>
          </cell>
          <cell r="AX72">
            <v>2520</v>
          </cell>
          <cell r="AY72">
            <v>232</v>
          </cell>
          <cell r="AZ72">
            <v>58</v>
          </cell>
          <cell r="BA72">
            <v>0</v>
          </cell>
          <cell r="BB72">
            <v>11466</v>
          </cell>
          <cell r="BC72">
            <v>4634</v>
          </cell>
          <cell r="BD72">
            <v>3712</v>
          </cell>
          <cell r="BE72">
            <v>915</v>
          </cell>
          <cell r="BF72">
            <v>7</v>
          </cell>
          <cell r="BG72">
            <v>982</v>
          </cell>
          <cell r="BH72">
            <v>1640</v>
          </cell>
          <cell r="BI72">
            <v>1345</v>
          </cell>
          <cell r="BJ72">
            <v>211</v>
          </cell>
          <cell r="BK72">
            <v>84</v>
          </cell>
          <cell r="BL72">
            <v>1118</v>
          </cell>
          <cell r="BM72">
            <v>1063</v>
          </cell>
          <cell r="BN72">
            <v>101</v>
          </cell>
          <cell r="BO72">
            <v>962</v>
          </cell>
          <cell r="BP72">
            <v>2029</v>
          </cell>
          <cell r="BQ72">
            <v>1297</v>
          </cell>
          <cell r="BR72">
            <v>732</v>
          </cell>
          <cell r="BS72">
            <v>3121</v>
          </cell>
          <cell r="BT72">
            <v>1093</v>
          </cell>
          <cell r="BU72">
            <v>498</v>
          </cell>
          <cell r="BV72">
            <v>57</v>
          </cell>
          <cell r="BW72">
            <v>538</v>
          </cell>
          <cell r="BX72">
            <v>1183</v>
          </cell>
          <cell r="BY72">
            <v>609</v>
          </cell>
          <cell r="BZ72">
            <v>448</v>
          </cell>
          <cell r="CA72">
            <v>126</v>
          </cell>
          <cell r="CB72">
            <v>845</v>
          </cell>
          <cell r="CC72">
            <v>30600</v>
          </cell>
          <cell r="CD72">
            <v>10275</v>
          </cell>
          <cell r="CE72">
            <v>9865</v>
          </cell>
          <cell r="CF72">
            <v>237</v>
          </cell>
          <cell r="CG72">
            <v>173</v>
          </cell>
          <cell r="CH72">
            <v>11877</v>
          </cell>
          <cell r="CI72">
            <v>1218</v>
          </cell>
          <cell r="CJ72">
            <v>5711</v>
          </cell>
          <cell r="CK72">
            <v>3590</v>
          </cell>
          <cell r="CL72">
            <v>1358</v>
          </cell>
          <cell r="CM72">
            <v>8448</v>
          </cell>
          <cell r="CN72">
            <v>1286</v>
          </cell>
          <cell r="CO72">
            <v>2035</v>
          </cell>
          <cell r="CP72">
            <v>3762</v>
          </cell>
          <cell r="CQ72">
            <v>869</v>
          </cell>
          <cell r="CR72">
            <v>496</v>
          </cell>
          <cell r="CS72">
            <v>5590</v>
          </cell>
          <cell r="CT72">
            <v>173</v>
          </cell>
          <cell r="CU72">
            <v>1078</v>
          </cell>
          <cell r="CV72">
            <v>4339</v>
          </cell>
          <cell r="CW72">
            <v>23844</v>
          </cell>
          <cell r="CX72">
            <v>4886</v>
          </cell>
          <cell r="CY72">
            <v>1688</v>
          </cell>
          <cell r="CZ72">
            <v>571</v>
          </cell>
          <cell r="DA72">
            <v>1038</v>
          </cell>
          <cell r="DB72">
            <v>1546</v>
          </cell>
          <cell r="DC72">
            <v>43</v>
          </cell>
          <cell r="DD72">
            <v>1862</v>
          </cell>
          <cell r="DE72">
            <v>1285</v>
          </cell>
          <cell r="DF72">
            <v>130</v>
          </cell>
          <cell r="DG72">
            <v>447</v>
          </cell>
          <cell r="DH72">
            <v>5151</v>
          </cell>
          <cell r="DI72">
            <v>1891</v>
          </cell>
          <cell r="DJ72">
            <v>992</v>
          </cell>
          <cell r="DK72">
            <v>984</v>
          </cell>
          <cell r="DL72">
            <v>901</v>
          </cell>
          <cell r="DM72">
            <v>383</v>
          </cell>
          <cell r="DN72">
            <v>8368</v>
          </cell>
          <cell r="DO72">
            <v>2012</v>
          </cell>
          <cell r="DP72">
            <v>3955</v>
          </cell>
          <cell r="DQ72">
            <v>2401</v>
          </cell>
          <cell r="DR72">
            <v>3577</v>
          </cell>
          <cell r="DS72">
            <v>850</v>
          </cell>
          <cell r="DT72">
            <v>1308</v>
          </cell>
          <cell r="DU72">
            <v>797</v>
          </cell>
          <cell r="DV72">
            <v>622</v>
          </cell>
          <cell r="DW72">
            <v>0</v>
          </cell>
          <cell r="DX72">
            <v>2624</v>
          </cell>
          <cell r="DY72">
            <v>22855</v>
          </cell>
          <cell r="DZ72">
            <v>18438</v>
          </cell>
          <cell r="EA72">
            <v>17261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1177</v>
          </cell>
          <cell r="EG72">
            <v>4417</v>
          </cell>
          <cell r="EH72">
            <v>29784</v>
          </cell>
          <cell r="EI72">
            <v>4773</v>
          </cell>
          <cell r="EJ72">
            <v>1377</v>
          </cell>
          <cell r="EK72">
            <v>116</v>
          </cell>
          <cell r="EL72">
            <v>3280</v>
          </cell>
          <cell r="EM72">
            <v>939</v>
          </cell>
          <cell r="EN72">
            <v>1692</v>
          </cell>
          <cell r="EO72">
            <v>1330</v>
          </cell>
          <cell r="EP72">
            <v>362</v>
          </cell>
          <cell r="EQ72">
            <v>1911</v>
          </cell>
          <cell r="ER72">
            <v>4770</v>
          </cell>
          <cell r="ES72">
            <v>3260</v>
          </cell>
          <cell r="ET72">
            <v>331</v>
          </cell>
          <cell r="EU72">
            <v>420</v>
          </cell>
          <cell r="EV72">
            <v>340</v>
          </cell>
          <cell r="EW72">
            <v>419</v>
          </cell>
          <cell r="EX72">
            <v>12837</v>
          </cell>
          <cell r="EY72">
            <v>6127</v>
          </cell>
          <cell r="EZ72">
            <v>6710</v>
          </cell>
          <cell r="FA72">
            <v>2862</v>
          </cell>
          <cell r="FB72">
            <v>229713</v>
          </cell>
          <cell r="FC72">
            <v>185522</v>
          </cell>
          <cell r="FD72">
            <v>24006</v>
          </cell>
          <cell r="FE72">
            <v>6073</v>
          </cell>
          <cell r="FF72">
            <v>538</v>
          </cell>
          <cell r="FG72">
            <v>10275</v>
          </cell>
          <cell r="FH72">
            <v>1078</v>
          </cell>
          <cell r="FI72">
            <v>4712</v>
          </cell>
          <cell r="FJ72">
            <v>1330</v>
          </cell>
          <cell r="FK72">
            <v>94653</v>
          </cell>
          <cell r="FL72">
            <v>17877</v>
          </cell>
          <cell r="FM72">
            <v>8694</v>
          </cell>
          <cell r="FN72">
            <v>11251</v>
          </cell>
          <cell r="FO72">
            <v>7122</v>
          </cell>
          <cell r="FP72">
            <v>10643</v>
          </cell>
          <cell r="FQ72">
            <v>1093</v>
          </cell>
          <cell r="FR72">
            <v>17204</v>
          </cell>
          <cell r="FS72">
            <v>1078</v>
          </cell>
          <cell r="FT72">
            <v>14603</v>
          </cell>
          <cell r="FU72">
            <v>5088</v>
          </cell>
          <cell r="FV72">
            <v>49148</v>
          </cell>
          <cell r="FW72">
            <v>17877</v>
          </cell>
          <cell r="FX72">
            <v>8694</v>
          </cell>
          <cell r="FY72">
            <v>7122</v>
          </cell>
          <cell r="FZ72">
            <v>1297</v>
          </cell>
          <cell r="GA72">
            <v>555</v>
          </cell>
          <cell r="GB72">
            <v>5711</v>
          </cell>
          <cell r="GC72">
            <v>4612</v>
          </cell>
          <cell r="GD72">
            <v>3280</v>
          </cell>
          <cell r="GE72">
            <v>2923</v>
          </cell>
          <cell r="GF72">
            <v>-5662</v>
          </cell>
          <cell r="GG72">
            <v>8585</v>
          </cell>
          <cell r="GH72">
            <v>132137</v>
          </cell>
          <cell r="GI72">
            <v>184</v>
          </cell>
          <cell r="GJ72">
            <v>51778</v>
          </cell>
          <cell r="GK72">
            <v>823</v>
          </cell>
          <cell r="GL72">
            <v>2028</v>
          </cell>
          <cell r="GM72">
            <v>13396</v>
          </cell>
          <cell r="GN72">
            <v>4512</v>
          </cell>
          <cell r="GO72">
            <v>9241</v>
          </cell>
          <cell r="GP72">
            <v>2624</v>
          </cell>
          <cell r="GQ72">
            <v>22855</v>
          </cell>
          <cell r="GR72">
            <v>24696</v>
          </cell>
          <cell r="GS72">
            <v>21499</v>
          </cell>
          <cell r="GT72">
            <v>11251</v>
          </cell>
          <cell r="GU72">
            <v>3273</v>
          </cell>
          <cell r="GV72">
            <v>1218</v>
          </cell>
          <cell r="GW72">
            <v>5279</v>
          </cell>
          <cell r="GX72">
            <v>478</v>
          </cell>
        </row>
        <row r="73">
          <cell r="A73" t="str">
            <v>2007 Q1</v>
          </cell>
          <cell r="B73">
            <v>227524</v>
          </cell>
          <cell r="C73">
            <v>18054</v>
          </cell>
          <cell r="D73">
            <v>15982</v>
          </cell>
          <cell r="E73">
            <v>2876</v>
          </cell>
          <cell r="F73">
            <v>3274</v>
          </cell>
          <cell r="G73">
            <v>780</v>
          </cell>
          <cell r="H73">
            <v>2202</v>
          </cell>
          <cell r="I73">
            <v>392</v>
          </cell>
          <cell r="J73">
            <v>1462</v>
          </cell>
          <cell r="K73">
            <v>2570</v>
          </cell>
          <cell r="L73">
            <v>1639</v>
          </cell>
          <cell r="M73">
            <v>787</v>
          </cell>
          <cell r="N73">
            <v>2072</v>
          </cell>
          <cell r="O73">
            <v>340</v>
          </cell>
          <cell r="P73">
            <v>1732</v>
          </cell>
          <cell r="Q73">
            <v>8638</v>
          </cell>
          <cell r="R73">
            <v>3344</v>
          </cell>
          <cell r="S73">
            <v>815</v>
          </cell>
          <cell r="T73">
            <v>1577</v>
          </cell>
          <cell r="U73">
            <v>952</v>
          </cell>
          <cell r="V73">
            <v>3801</v>
          </cell>
          <cell r="W73">
            <v>1493</v>
          </cell>
          <cell r="X73">
            <v>11077</v>
          </cell>
          <cell r="Y73">
            <v>9416</v>
          </cell>
          <cell r="Z73">
            <v>47</v>
          </cell>
          <cell r="AA73">
            <v>8435</v>
          </cell>
          <cell r="AB73">
            <v>769</v>
          </cell>
          <cell r="AC73">
            <v>165</v>
          </cell>
          <cell r="AD73">
            <v>1661</v>
          </cell>
          <cell r="AE73">
            <v>1639</v>
          </cell>
          <cell r="AF73">
            <v>22</v>
          </cell>
          <cell r="AG73">
            <v>59399</v>
          </cell>
          <cell r="AH73">
            <v>10881</v>
          </cell>
          <cell r="AI73">
            <v>10849</v>
          </cell>
          <cell r="AJ73">
            <v>32</v>
          </cell>
          <cell r="AK73">
            <v>40097</v>
          </cell>
          <cell r="AL73">
            <v>38594</v>
          </cell>
          <cell r="AM73">
            <v>1503</v>
          </cell>
          <cell r="AN73">
            <v>828</v>
          </cell>
          <cell r="AO73">
            <v>304</v>
          </cell>
          <cell r="AP73">
            <v>524</v>
          </cell>
          <cell r="AQ73">
            <v>1823</v>
          </cell>
          <cell r="AR73">
            <v>916</v>
          </cell>
          <cell r="AS73">
            <v>55</v>
          </cell>
          <cell r="AT73">
            <v>852</v>
          </cell>
          <cell r="AU73">
            <v>0</v>
          </cell>
          <cell r="AV73">
            <v>5770</v>
          </cell>
          <cell r="AW73">
            <v>3004</v>
          </cell>
          <cell r="AX73">
            <v>2471</v>
          </cell>
          <cell r="AY73">
            <v>233</v>
          </cell>
          <cell r="AZ73">
            <v>62</v>
          </cell>
          <cell r="BA73">
            <v>0</v>
          </cell>
          <cell r="BB73">
            <v>11478</v>
          </cell>
          <cell r="BC73">
            <v>4720</v>
          </cell>
          <cell r="BD73">
            <v>3731</v>
          </cell>
          <cell r="BE73">
            <v>981</v>
          </cell>
          <cell r="BF73">
            <v>8</v>
          </cell>
          <cell r="BG73">
            <v>1060</v>
          </cell>
          <cell r="BH73">
            <v>1556</v>
          </cell>
          <cell r="BI73">
            <v>1176</v>
          </cell>
          <cell r="BJ73">
            <v>291</v>
          </cell>
          <cell r="BK73">
            <v>89</v>
          </cell>
          <cell r="BL73">
            <v>1099</v>
          </cell>
          <cell r="BM73">
            <v>1115</v>
          </cell>
          <cell r="BN73">
            <v>64</v>
          </cell>
          <cell r="BO73">
            <v>1051</v>
          </cell>
          <cell r="BP73">
            <v>1928</v>
          </cell>
          <cell r="BQ73">
            <v>1298</v>
          </cell>
          <cell r="BR73">
            <v>630</v>
          </cell>
          <cell r="BS73">
            <v>3711</v>
          </cell>
          <cell r="BT73">
            <v>1321</v>
          </cell>
          <cell r="BU73">
            <v>726</v>
          </cell>
          <cell r="BV73">
            <v>63</v>
          </cell>
          <cell r="BW73">
            <v>532</v>
          </cell>
          <cell r="BX73">
            <v>1455</v>
          </cell>
          <cell r="BY73">
            <v>826</v>
          </cell>
          <cell r="BZ73">
            <v>506</v>
          </cell>
          <cell r="CA73">
            <v>123</v>
          </cell>
          <cell r="CB73">
            <v>935</v>
          </cell>
          <cell r="CC73">
            <v>30890</v>
          </cell>
          <cell r="CD73">
            <v>10372</v>
          </cell>
          <cell r="CE73">
            <v>9948</v>
          </cell>
          <cell r="CF73">
            <v>251</v>
          </cell>
          <cell r="CG73">
            <v>173</v>
          </cell>
          <cell r="CH73">
            <v>12082</v>
          </cell>
          <cell r="CI73">
            <v>977</v>
          </cell>
          <cell r="CJ73">
            <v>5856</v>
          </cell>
          <cell r="CK73">
            <v>3869</v>
          </cell>
          <cell r="CL73">
            <v>1380</v>
          </cell>
          <cell r="CM73">
            <v>8436</v>
          </cell>
          <cell r="CN73">
            <v>1271</v>
          </cell>
          <cell r="CO73">
            <v>1998</v>
          </cell>
          <cell r="CP73">
            <v>3670</v>
          </cell>
          <cell r="CQ73">
            <v>967</v>
          </cell>
          <cell r="CR73">
            <v>530</v>
          </cell>
          <cell r="CS73">
            <v>5608</v>
          </cell>
          <cell r="CT73">
            <v>195</v>
          </cell>
          <cell r="CU73">
            <v>1055</v>
          </cell>
          <cell r="CV73">
            <v>4358</v>
          </cell>
          <cell r="CW73">
            <v>24088</v>
          </cell>
          <cell r="CX73">
            <v>4937</v>
          </cell>
          <cell r="CY73">
            <v>1794</v>
          </cell>
          <cell r="CZ73">
            <v>425</v>
          </cell>
          <cell r="DA73">
            <v>1151</v>
          </cell>
          <cell r="DB73">
            <v>1523</v>
          </cell>
          <cell r="DC73">
            <v>44</v>
          </cell>
          <cell r="DD73">
            <v>1910</v>
          </cell>
          <cell r="DE73">
            <v>1341</v>
          </cell>
          <cell r="DF73">
            <v>125</v>
          </cell>
          <cell r="DG73">
            <v>444</v>
          </cell>
          <cell r="DH73">
            <v>5399</v>
          </cell>
          <cell r="DI73">
            <v>2107</v>
          </cell>
          <cell r="DJ73">
            <v>951</v>
          </cell>
          <cell r="DK73">
            <v>1063</v>
          </cell>
          <cell r="DL73">
            <v>886</v>
          </cell>
          <cell r="DM73">
            <v>392</v>
          </cell>
          <cell r="DN73">
            <v>8318</v>
          </cell>
          <cell r="DO73">
            <v>2035</v>
          </cell>
          <cell r="DP73">
            <v>3959</v>
          </cell>
          <cell r="DQ73">
            <v>2324</v>
          </cell>
          <cell r="DR73">
            <v>3524</v>
          </cell>
          <cell r="DS73">
            <v>872</v>
          </cell>
          <cell r="DT73">
            <v>1307</v>
          </cell>
          <cell r="DU73">
            <v>718</v>
          </cell>
          <cell r="DV73">
            <v>627</v>
          </cell>
          <cell r="DW73">
            <v>0</v>
          </cell>
          <cell r="DX73">
            <v>2748</v>
          </cell>
          <cell r="DY73">
            <v>22784</v>
          </cell>
          <cell r="DZ73">
            <v>18391</v>
          </cell>
          <cell r="EA73">
            <v>17226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1165</v>
          </cell>
          <cell r="EG73">
            <v>4393</v>
          </cell>
          <cell r="EH73">
            <v>29049</v>
          </cell>
          <cell r="EI73">
            <v>4834</v>
          </cell>
          <cell r="EJ73">
            <v>1373</v>
          </cell>
          <cell r="EK73">
            <v>142</v>
          </cell>
          <cell r="EL73">
            <v>3319</v>
          </cell>
          <cell r="EM73">
            <v>954</v>
          </cell>
          <cell r="EN73">
            <v>1660</v>
          </cell>
          <cell r="EO73">
            <v>1318</v>
          </cell>
          <cell r="EP73">
            <v>342</v>
          </cell>
          <cell r="EQ73">
            <v>1979</v>
          </cell>
          <cell r="ER73">
            <v>4541</v>
          </cell>
          <cell r="ES73">
            <v>2878</v>
          </cell>
          <cell r="ET73">
            <v>440</v>
          </cell>
          <cell r="EU73">
            <v>382</v>
          </cell>
          <cell r="EV73">
            <v>277</v>
          </cell>
          <cell r="EW73">
            <v>564</v>
          </cell>
          <cell r="EX73">
            <v>12156</v>
          </cell>
          <cell r="EY73">
            <v>5429</v>
          </cell>
          <cell r="EZ73">
            <v>6727</v>
          </cell>
          <cell r="FA73">
            <v>2925</v>
          </cell>
          <cell r="FB73">
            <v>230397</v>
          </cell>
          <cell r="FC73">
            <v>186810</v>
          </cell>
          <cell r="FD73">
            <v>24065</v>
          </cell>
          <cell r="FE73">
            <v>5952</v>
          </cell>
          <cell r="FF73">
            <v>532</v>
          </cell>
          <cell r="FG73">
            <v>10372</v>
          </cell>
          <cell r="FH73">
            <v>1055</v>
          </cell>
          <cell r="FI73">
            <v>4836</v>
          </cell>
          <cell r="FJ73">
            <v>1318</v>
          </cell>
          <cell r="FK73">
            <v>94915</v>
          </cell>
          <cell r="FL73">
            <v>18054</v>
          </cell>
          <cell r="FM73">
            <v>8638</v>
          </cell>
          <cell r="FN73">
            <v>10890</v>
          </cell>
          <cell r="FO73">
            <v>6990</v>
          </cell>
          <cell r="FP73">
            <v>10751</v>
          </cell>
          <cell r="FQ73">
            <v>1321</v>
          </cell>
          <cell r="FR73">
            <v>17205</v>
          </cell>
          <cell r="FS73">
            <v>1055</v>
          </cell>
          <cell r="FT73">
            <v>14890</v>
          </cell>
          <cell r="FU73">
            <v>5121</v>
          </cell>
          <cell r="FV73">
            <v>49545</v>
          </cell>
          <cell r="FW73">
            <v>18054</v>
          </cell>
          <cell r="FX73">
            <v>8638</v>
          </cell>
          <cell r="FY73">
            <v>6990</v>
          </cell>
          <cell r="FZ73">
            <v>1298</v>
          </cell>
          <cell r="GA73">
            <v>789</v>
          </cell>
          <cell r="GB73">
            <v>5856</v>
          </cell>
          <cell r="GC73">
            <v>4601</v>
          </cell>
          <cell r="GD73">
            <v>3319</v>
          </cell>
          <cell r="GE73">
            <v>2873</v>
          </cell>
          <cell r="GF73">
            <v>-5700</v>
          </cell>
          <cell r="GG73">
            <v>8573</v>
          </cell>
          <cell r="GH73">
            <v>132609</v>
          </cell>
          <cell r="GI73">
            <v>187</v>
          </cell>
          <cell r="GJ73">
            <v>52409</v>
          </cell>
          <cell r="GK73">
            <v>727</v>
          </cell>
          <cell r="GL73">
            <v>2390</v>
          </cell>
          <cell r="GM73">
            <v>13685</v>
          </cell>
          <cell r="GN73">
            <v>4553</v>
          </cell>
          <cell r="GO73">
            <v>9198</v>
          </cell>
          <cell r="GP73">
            <v>2748</v>
          </cell>
          <cell r="GQ73">
            <v>22784</v>
          </cell>
          <cell r="GR73">
            <v>23928</v>
          </cell>
          <cell r="GS73">
            <v>21305</v>
          </cell>
          <cell r="GT73">
            <v>10890</v>
          </cell>
          <cell r="GU73">
            <v>3501</v>
          </cell>
          <cell r="GV73">
            <v>977</v>
          </cell>
          <cell r="GW73">
            <v>5453</v>
          </cell>
          <cell r="GX73">
            <v>484</v>
          </cell>
        </row>
        <row r="74">
          <cell r="A74" t="str">
            <v>2007 Q2</v>
          </cell>
          <cell r="B74">
            <v>233078</v>
          </cell>
          <cell r="C74">
            <v>17849</v>
          </cell>
          <cell r="D74">
            <v>15743</v>
          </cell>
          <cell r="E74">
            <v>2909</v>
          </cell>
          <cell r="F74">
            <v>3322</v>
          </cell>
          <cell r="G74">
            <v>857</v>
          </cell>
          <cell r="H74">
            <v>2185</v>
          </cell>
          <cell r="I74">
            <v>387</v>
          </cell>
          <cell r="J74">
            <v>1371</v>
          </cell>
          <cell r="K74">
            <v>2416</v>
          </cell>
          <cell r="L74">
            <v>1600</v>
          </cell>
          <cell r="M74">
            <v>696</v>
          </cell>
          <cell r="N74">
            <v>2106</v>
          </cell>
          <cell r="O74">
            <v>374</v>
          </cell>
          <cell r="P74">
            <v>1732</v>
          </cell>
          <cell r="Q74">
            <v>8456</v>
          </cell>
          <cell r="R74">
            <v>3308</v>
          </cell>
          <cell r="S74">
            <v>852</v>
          </cell>
          <cell r="T74">
            <v>1587</v>
          </cell>
          <cell r="U74">
            <v>869</v>
          </cell>
          <cell r="V74">
            <v>3825</v>
          </cell>
          <cell r="W74">
            <v>1323</v>
          </cell>
          <cell r="X74">
            <v>11567</v>
          </cell>
          <cell r="Y74">
            <v>9901</v>
          </cell>
          <cell r="Z74">
            <v>72</v>
          </cell>
          <cell r="AA74">
            <v>8871</v>
          </cell>
          <cell r="AB74">
            <v>793</v>
          </cell>
          <cell r="AC74">
            <v>165</v>
          </cell>
          <cell r="AD74">
            <v>1666</v>
          </cell>
          <cell r="AE74">
            <v>1645</v>
          </cell>
          <cell r="AF74">
            <v>21</v>
          </cell>
          <cell r="AG74">
            <v>59806</v>
          </cell>
          <cell r="AH74">
            <v>11143</v>
          </cell>
          <cell r="AI74">
            <v>11111</v>
          </cell>
          <cell r="AJ74">
            <v>32</v>
          </cell>
          <cell r="AK74">
            <v>40313</v>
          </cell>
          <cell r="AL74">
            <v>38792</v>
          </cell>
          <cell r="AM74">
            <v>1521</v>
          </cell>
          <cell r="AN74">
            <v>781</v>
          </cell>
          <cell r="AO74">
            <v>280</v>
          </cell>
          <cell r="AP74">
            <v>501</v>
          </cell>
          <cell r="AQ74">
            <v>1859</v>
          </cell>
          <cell r="AR74">
            <v>947</v>
          </cell>
          <cell r="AS74">
            <v>40</v>
          </cell>
          <cell r="AT74">
            <v>872</v>
          </cell>
          <cell r="AU74">
            <v>0</v>
          </cell>
          <cell r="AV74">
            <v>5710</v>
          </cell>
          <cell r="AW74">
            <v>2893</v>
          </cell>
          <cell r="AX74">
            <v>2497</v>
          </cell>
          <cell r="AY74">
            <v>253</v>
          </cell>
          <cell r="AZ74">
            <v>67</v>
          </cell>
          <cell r="BA74">
            <v>0</v>
          </cell>
          <cell r="BB74">
            <v>11833</v>
          </cell>
          <cell r="BC74">
            <v>4961</v>
          </cell>
          <cell r="BD74">
            <v>3881</v>
          </cell>
          <cell r="BE74">
            <v>1071</v>
          </cell>
          <cell r="BF74">
            <v>9</v>
          </cell>
          <cell r="BG74">
            <v>1095</v>
          </cell>
          <cell r="BH74">
            <v>1638</v>
          </cell>
          <cell r="BI74">
            <v>1336</v>
          </cell>
          <cell r="BJ74">
            <v>223</v>
          </cell>
          <cell r="BK74">
            <v>79</v>
          </cell>
          <cell r="BL74">
            <v>1097</v>
          </cell>
          <cell r="BM74">
            <v>1185</v>
          </cell>
          <cell r="BN74">
            <v>135</v>
          </cell>
          <cell r="BO74">
            <v>1050</v>
          </cell>
          <cell r="BP74">
            <v>1857</v>
          </cell>
          <cell r="BQ74">
            <v>1247</v>
          </cell>
          <cell r="BR74">
            <v>610</v>
          </cell>
          <cell r="BS74">
            <v>3898</v>
          </cell>
          <cell r="BT74">
            <v>1534</v>
          </cell>
          <cell r="BU74">
            <v>923</v>
          </cell>
          <cell r="BV74">
            <v>54</v>
          </cell>
          <cell r="BW74">
            <v>557</v>
          </cell>
          <cell r="BX74">
            <v>1469</v>
          </cell>
          <cell r="BY74">
            <v>795</v>
          </cell>
          <cell r="BZ74">
            <v>555</v>
          </cell>
          <cell r="CA74">
            <v>119</v>
          </cell>
          <cell r="CB74">
            <v>895</v>
          </cell>
          <cell r="CC74">
            <v>32655</v>
          </cell>
          <cell r="CD74">
            <v>10565</v>
          </cell>
          <cell r="CE74">
            <v>10146</v>
          </cell>
          <cell r="CF74">
            <v>245</v>
          </cell>
          <cell r="CG74">
            <v>174</v>
          </cell>
          <cell r="CH74">
            <v>12759</v>
          </cell>
          <cell r="CI74">
            <v>997</v>
          </cell>
          <cell r="CJ74">
            <v>6258</v>
          </cell>
          <cell r="CK74">
            <v>4143</v>
          </cell>
          <cell r="CL74">
            <v>1361</v>
          </cell>
          <cell r="CM74">
            <v>9331</v>
          </cell>
          <cell r="CN74">
            <v>1399</v>
          </cell>
          <cell r="CO74">
            <v>2128</v>
          </cell>
          <cell r="CP74">
            <v>4314</v>
          </cell>
          <cell r="CQ74">
            <v>960</v>
          </cell>
          <cell r="CR74">
            <v>530</v>
          </cell>
          <cell r="CS74">
            <v>5598</v>
          </cell>
          <cell r="CT74">
            <v>210</v>
          </cell>
          <cell r="CU74">
            <v>1042</v>
          </cell>
          <cell r="CV74">
            <v>4346</v>
          </cell>
          <cell r="CW74">
            <v>23988</v>
          </cell>
          <cell r="CX74">
            <v>4780</v>
          </cell>
          <cell r="CY74">
            <v>1702</v>
          </cell>
          <cell r="CZ74">
            <v>425</v>
          </cell>
          <cell r="DA74">
            <v>1100</v>
          </cell>
          <cell r="DB74">
            <v>1515</v>
          </cell>
          <cell r="DC74">
            <v>38</v>
          </cell>
          <cell r="DD74">
            <v>1917</v>
          </cell>
          <cell r="DE74">
            <v>1347</v>
          </cell>
          <cell r="DF74">
            <v>129</v>
          </cell>
          <cell r="DG74">
            <v>441</v>
          </cell>
          <cell r="DH74">
            <v>5541</v>
          </cell>
          <cell r="DI74">
            <v>2295</v>
          </cell>
          <cell r="DJ74">
            <v>930</v>
          </cell>
          <cell r="DK74">
            <v>1014</v>
          </cell>
          <cell r="DL74">
            <v>924</v>
          </cell>
          <cell r="DM74">
            <v>378</v>
          </cell>
          <cell r="DN74">
            <v>8253</v>
          </cell>
          <cell r="DO74">
            <v>1901</v>
          </cell>
          <cell r="DP74">
            <v>4085</v>
          </cell>
          <cell r="DQ74">
            <v>2267</v>
          </cell>
          <cell r="DR74">
            <v>3497</v>
          </cell>
          <cell r="DS74">
            <v>844</v>
          </cell>
          <cell r="DT74">
            <v>1306</v>
          </cell>
          <cell r="DU74">
            <v>794</v>
          </cell>
          <cell r="DV74">
            <v>553</v>
          </cell>
          <cell r="DW74">
            <v>0</v>
          </cell>
          <cell r="DX74">
            <v>2850</v>
          </cell>
          <cell r="DY74">
            <v>23705</v>
          </cell>
          <cell r="DZ74">
            <v>19084</v>
          </cell>
          <cell r="EA74">
            <v>17905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1179</v>
          </cell>
          <cell r="EG74">
            <v>4621</v>
          </cell>
          <cell r="EH74">
            <v>30873</v>
          </cell>
          <cell r="EI74">
            <v>5001</v>
          </cell>
          <cell r="EJ74">
            <v>1380</v>
          </cell>
          <cell r="EK74">
            <v>92</v>
          </cell>
          <cell r="EL74">
            <v>3529</v>
          </cell>
          <cell r="EM74">
            <v>968</v>
          </cell>
          <cell r="EN74">
            <v>1689</v>
          </cell>
          <cell r="EO74">
            <v>1337</v>
          </cell>
          <cell r="EP74">
            <v>352</v>
          </cell>
          <cell r="EQ74">
            <v>1925</v>
          </cell>
          <cell r="ER74">
            <v>5616</v>
          </cell>
          <cell r="ES74">
            <v>2918</v>
          </cell>
          <cell r="ET74">
            <v>578</v>
          </cell>
          <cell r="EU74">
            <v>744</v>
          </cell>
          <cell r="EV74">
            <v>655</v>
          </cell>
          <cell r="EW74">
            <v>721</v>
          </cell>
          <cell r="EX74">
            <v>12439</v>
          </cell>
          <cell r="EY74">
            <v>5660</v>
          </cell>
          <cell r="EZ74">
            <v>6779</v>
          </cell>
          <cell r="FA74">
            <v>3235</v>
          </cell>
          <cell r="FB74">
            <v>236415</v>
          </cell>
          <cell r="FC74">
            <v>190429</v>
          </cell>
          <cell r="FD74">
            <v>24627</v>
          </cell>
          <cell r="FE74">
            <v>6423</v>
          </cell>
          <cell r="FF74">
            <v>557</v>
          </cell>
          <cell r="FG74">
            <v>10565</v>
          </cell>
          <cell r="FH74">
            <v>1042</v>
          </cell>
          <cell r="FI74">
            <v>4703</v>
          </cell>
          <cell r="FJ74">
            <v>1337</v>
          </cell>
          <cell r="FK74">
            <v>96342</v>
          </cell>
          <cell r="FL74">
            <v>17849</v>
          </cell>
          <cell r="FM74">
            <v>8456</v>
          </cell>
          <cell r="FN74">
            <v>11381</v>
          </cell>
          <cell r="FO74">
            <v>6937</v>
          </cell>
          <cell r="FP74">
            <v>11135</v>
          </cell>
          <cell r="FQ74">
            <v>1534</v>
          </cell>
          <cell r="FR74">
            <v>17820</v>
          </cell>
          <cell r="FS74">
            <v>1042</v>
          </cell>
          <cell r="FT74">
            <v>14878</v>
          </cell>
          <cell r="FU74">
            <v>5310</v>
          </cell>
          <cell r="FV74">
            <v>49844</v>
          </cell>
          <cell r="FW74">
            <v>17849</v>
          </cell>
          <cell r="FX74">
            <v>8456</v>
          </cell>
          <cell r="FY74">
            <v>6937</v>
          </cell>
          <cell r="FZ74">
            <v>1247</v>
          </cell>
          <cell r="GA74">
            <v>977</v>
          </cell>
          <cell r="GB74">
            <v>6258</v>
          </cell>
          <cell r="GC74">
            <v>4591</v>
          </cell>
          <cell r="GD74">
            <v>3529</v>
          </cell>
          <cell r="GE74">
            <v>3337</v>
          </cell>
          <cell r="GF74">
            <v>-5493</v>
          </cell>
          <cell r="GG74">
            <v>8830</v>
          </cell>
          <cell r="GH74">
            <v>136736</v>
          </cell>
          <cell r="GI74">
            <v>186</v>
          </cell>
          <cell r="GJ74">
            <v>52869</v>
          </cell>
          <cell r="GK74">
            <v>698</v>
          </cell>
          <cell r="GL74">
            <v>2364</v>
          </cell>
          <cell r="GM74">
            <v>14835</v>
          </cell>
          <cell r="GN74">
            <v>4556</v>
          </cell>
          <cell r="GO74">
            <v>9110</v>
          </cell>
          <cell r="GP74">
            <v>2850</v>
          </cell>
          <cell r="GQ74">
            <v>23705</v>
          </cell>
          <cell r="GR74">
            <v>25563</v>
          </cell>
          <cell r="GS74">
            <v>21871</v>
          </cell>
          <cell r="GT74">
            <v>11381</v>
          </cell>
          <cell r="GU74">
            <v>3465</v>
          </cell>
          <cell r="GV74">
            <v>997</v>
          </cell>
          <cell r="GW74">
            <v>5584</v>
          </cell>
          <cell r="GX74">
            <v>444</v>
          </cell>
        </row>
        <row r="75">
          <cell r="A75" t="str">
            <v>2007 Q3</v>
          </cell>
          <cell r="B75">
            <v>238889</v>
          </cell>
          <cell r="C75">
            <v>18615</v>
          </cell>
          <cell r="D75">
            <v>16489</v>
          </cell>
          <cell r="E75">
            <v>3075</v>
          </cell>
          <cell r="F75">
            <v>3430</v>
          </cell>
          <cell r="G75">
            <v>784</v>
          </cell>
          <cell r="H75">
            <v>2245</v>
          </cell>
          <cell r="I75">
            <v>412</v>
          </cell>
          <cell r="J75">
            <v>1494</v>
          </cell>
          <cell r="K75">
            <v>2614</v>
          </cell>
          <cell r="L75">
            <v>1667</v>
          </cell>
          <cell r="M75">
            <v>768</v>
          </cell>
          <cell r="N75">
            <v>2126</v>
          </cell>
          <cell r="O75">
            <v>357</v>
          </cell>
          <cell r="P75">
            <v>1769</v>
          </cell>
          <cell r="Q75">
            <v>8453</v>
          </cell>
          <cell r="R75">
            <v>3353</v>
          </cell>
          <cell r="S75">
            <v>848</v>
          </cell>
          <cell r="T75">
            <v>1652</v>
          </cell>
          <cell r="U75">
            <v>853</v>
          </cell>
          <cell r="V75">
            <v>3898</v>
          </cell>
          <cell r="W75">
            <v>1202</v>
          </cell>
          <cell r="X75">
            <v>11832</v>
          </cell>
          <cell r="Y75">
            <v>10154</v>
          </cell>
          <cell r="Z75">
            <v>85</v>
          </cell>
          <cell r="AA75">
            <v>9173</v>
          </cell>
          <cell r="AB75">
            <v>733</v>
          </cell>
          <cell r="AC75">
            <v>163</v>
          </cell>
          <cell r="AD75">
            <v>1678</v>
          </cell>
          <cell r="AE75">
            <v>1657</v>
          </cell>
          <cell r="AF75">
            <v>21</v>
          </cell>
          <cell r="AG75">
            <v>60987</v>
          </cell>
          <cell r="AH75">
            <v>11435</v>
          </cell>
          <cell r="AI75">
            <v>11404</v>
          </cell>
          <cell r="AJ75">
            <v>31</v>
          </cell>
          <cell r="AK75">
            <v>40538</v>
          </cell>
          <cell r="AL75">
            <v>39027</v>
          </cell>
          <cell r="AM75">
            <v>1511</v>
          </cell>
          <cell r="AN75">
            <v>739</v>
          </cell>
          <cell r="AO75">
            <v>254</v>
          </cell>
          <cell r="AP75">
            <v>485</v>
          </cell>
          <cell r="AQ75">
            <v>1879</v>
          </cell>
          <cell r="AR75">
            <v>962</v>
          </cell>
          <cell r="AS75">
            <v>30</v>
          </cell>
          <cell r="AT75">
            <v>887</v>
          </cell>
          <cell r="AU75">
            <v>0</v>
          </cell>
          <cell r="AV75">
            <v>6396</v>
          </cell>
          <cell r="AW75">
            <v>3147</v>
          </cell>
          <cell r="AX75">
            <v>2917</v>
          </cell>
          <cell r="AY75">
            <v>263</v>
          </cell>
          <cell r="AZ75">
            <v>69</v>
          </cell>
          <cell r="BA75">
            <v>0</v>
          </cell>
          <cell r="BB75">
            <v>11882</v>
          </cell>
          <cell r="BC75">
            <v>5019</v>
          </cell>
          <cell r="BD75">
            <v>3916</v>
          </cell>
          <cell r="BE75">
            <v>1091</v>
          </cell>
          <cell r="BF75">
            <v>12</v>
          </cell>
          <cell r="BG75">
            <v>1065</v>
          </cell>
          <cell r="BH75">
            <v>1630</v>
          </cell>
          <cell r="BI75">
            <v>1364</v>
          </cell>
          <cell r="BJ75">
            <v>198</v>
          </cell>
          <cell r="BK75">
            <v>68</v>
          </cell>
          <cell r="BL75">
            <v>1108</v>
          </cell>
          <cell r="BM75">
            <v>1156</v>
          </cell>
          <cell r="BN75">
            <v>90</v>
          </cell>
          <cell r="BO75">
            <v>1066</v>
          </cell>
          <cell r="BP75">
            <v>1904</v>
          </cell>
          <cell r="BQ75">
            <v>1260</v>
          </cell>
          <cell r="BR75">
            <v>644</v>
          </cell>
          <cell r="BS75">
            <v>4013</v>
          </cell>
          <cell r="BT75">
            <v>1673</v>
          </cell>
          <cell r="BU75">
            <v>1017</v>
          </cell>
          <cell r="BV75">
            <v>61</v>
          </cell>
          <cell r="BW75">
            <v>595</v>
          </cell>
          <cell r="BX75">
            <v>1435</v>
          </cell>
          <cell r="BY75">
            <v>779</v>
          </cell>
          <cell r="BZ75">
            <v>539</v>
          </cell>
          <cell r="CA75">
            <v>117</v>
          </cell>
          <cell r="CB75">
            <v>905</v>
          </cell>
          <cell r="CC75">
            <v>33793</v>
          </cell>
          <cell r="CD75">
            <v>10912</v>
          </cell>
          <cell r="CE75">
            <v>10473</v>
          </cell>
          <cell r="CF75">
            <v>257</v>
          </cell>
          <cell r="CG75">
            <v>182</v>
          </cell>
          <cell r="CH75">
            <v>13927</v>
          </cell>
          <cell r="CI75">
            <v>1064</v>
          </cell>
          <cell r="CJ75">
            <v>7053</v>
          </cell>
          <cell r="CK75">
            <v>4375</v>
          </cell>
          <cell r="CL75">
            <v>1435</v>
          </cell>
          <cell r="CM75">
            <v>8954</v>
          </cell>
          <cell r="CN75">
            <v>1519</v>
          </cell>
          <cell r="CO75">
            <v>2179</v>
          </cell>
          <cell r="CP75">
            <v>3733</v>
          </cell>
          <cell r="CQ75">
            <v>972</v>
          </cell>
          <cell r="CR75">
            <v>551</v>
          </cell>
          <cell r="CS75">
            <v>5701</v>
          </cell>
          <cell r="CT75">
            <v>187</v>
          </cell>
          <cell r="CU75">
            <v>1041</v>
          </cell>
          <cell r="CV75">
            <v>4473</v>
          </cell>
          <cell r="CW75">
            <v>24127</v>
          </cell>
          <cell r="CX75">
            <v>4728</v>
          </cell>
          <cell r="CY75">
            <v>1709</v>
          </cell>
          <cell r="CZ75">
            <v>367</v>
          </cell>
          <cell r="DA75">
            <v>1094</v>
          </cell>
          <cell r="DB75">
            <v>1523</v>
          </cell>
          <cell r="DC75">
            <v>35</v>
          </cell>
          <cell r="DD75">
            <v>1908</v>
          </cell>
          <cell r="DE75">
            <v>1362</v>
          </cell>
          <cell r="DF75">
            <v>108</v>
          </cell>
          <cell r="DG75">
            <v>438</v>
          </cell>
          <cell r="DH75">
            <v>5613</v>
          </cell>
          <cell r="DI75">
            <v>2342</v>
          </cell>
          <cell r="DJ75">
            <v>898</v>
          </cell>
          <cell r="DK75">
            <v>1025</v>
          </cell>
          <cell r="DL75">
            <v>950</v>
          </cell>
          <cell r="DM75">
            <v>398</v>
          </cell>
          <cell r="DN75">
            <v>8349</v>
          </cell>
          <cell r="DO75">
            <v>1812</v>
          </cell>
          <cell r="DP75">
            <v>4239</v>
          </cell>
          <cell r="DQ75">
            <v>2298</v>
          </cell>
          <cell r="DR75">
            <v>3529</v>
          </cell>
          <cell r="DS75">
            <v>859</v>
          </cell>
          <cell r="DT75">
            <v>1312</v>
          </cell>
          <cell r="DU75">
            <v>766</v>
          </cell>
          <cell r="DV75">
            <v>592</v>
          </cell>
          <cell r="DW75">
            <v>0</v>
          </cell>
          <cell r="DX75">
            <v>2928</v>
          </cell>
          <cell r="DY75">
            <v>24347</v>
          </cell>
          <cell r="DZ75">
            <v>19678</v>
          </cell>
          <cell r="EA75">
            <v>18514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1164</v>
          </cell>
          <cell r="EG75">
            <v>4669</v>
          </cell>
          <cell r="EH75">
            <v>32211</v>
          </cell>
          <cell r="EI75">
            <v>5182</v>
          </cell>
          <cell r="EJ75">
            <v>1403</v>
          </cell>
          <cell r="EK75">
            <v>123</v>
          </cell>
          <cell r="EL75">
            <v>3656</v>
          </cell>
          <cell r="EM75">
            <v>982</v>
          </cell>
          <cell r="EN75">
            <v>1669</v>
          </cell>
          <cell r="EO75">
            <v>1328</v>
          </cell>
          <cell r="EP75">
            <v>341</v>
          </cell>
          <cell r="EQ75">
            <v>1894</v>
          </cell>
          <cell r="ER75">
            <v>5803</v>
          </cell>
          <cell r="ES75">
            <v>2938</v>
          </cell>
          <cell r="ET75">
            <v>595</v>
          </cell>
          <cell r="EU75">
            <v>806</v>
          </cell>
          <cell r="EV75">
            <v>716</v>
          </cell>
          <cell r="EW75">
            <v>748</v>
          </cell>
          <cell r="EX75">
            <v>13500</v>
          </cell>
          <cell r="EY75">
            <v>6610</v>
          </cell>
          <cell r="EZ75">
            <v>6890</v>
          </cell>
          <cell r="FA75">
            <v>3181</v>
          </cell>
          <cell r="FB75">
            <v>242145</v>
          </cell>
          <cell r="FC75">
            <v>193514</v>
          </cell>
          <cell r="FD75">
            <v>24977</v>
          </cell>
          <cell r="FE75">
            <v>6461</v>
          </cell>
          <cell r="FF75">
            <v>595</v>
          </cell>
          <cell r="FG75">
            <v>10912</v>
          </cell>
          <cell r="FH75">
            <v>1041</v>
          </cell>
          <cell r="FI75">
            <v>4640</v>
          </cell>
          <cell r="FJ75">
            <v>1328</v>
          </cell>
          <cell r="FK75">
            <v>99584</v>
          </cell>
          <cell r="FL75">
            <v>18615</v>
          </cell>
          <cell r="FM75">
            <v>8453</v>
          </cell>
          <cell r="FN75">
            <v>11648</v>
          </cell>
          <cell r="FO75">
            <v>7612</v>
          </cell>
          <cell r="FP75">
            <v>11158</v>
          </cell>
          <cell r="FQ75">
            <v>1673</v>
          </cell>
          <cell r="FR75">
            <v>19029</v>
          </cell>
          <cell r="FS75">
            <v>1041</v>
          </cell>
          <cell r="FT75">
            <v>14907</v>
          </cell>
          <cell r="FU75">
            <v>5448</v>
          </cell>
          <cell r="FV75">
            <v>52372</v>
          </cell>
          <cell r="FW75">
            <v>18615</v>
          </cell>
          <cell r="FX75">
            <v>8453</v>
          </cell>
          <cell r="FY75">
            <v>7612</v>
          </cell>
          <cell r="FZ75">
            <v>1260</v>
          </cell>
          <cell r="GA75">
            <v>1078</v>
          </cell>
          <cell r="GB75">
            <v>7053</v>
          </cell>
          <cell r="GC75">
            <v>4645</v>
          </cell>
          <cell r="GD75">
            <v>3656</v>
          </cell>
          <cell r="GE75">
            <v>3256</v>
          </cell>
          <cell r="GF75">
            <v>-5860</v>
          </cell>
          <cell r="GG75">
            <v>9116</v>
          </cell>
          <cell r="GH75">
            <v>139305</v>
          </cell>
          <cell r="GI75">
            <v>184</v>
          </cell>
          <cell r="GJ75">
            <v>53375</v>
          </cell>
          <cell r="GK75">
            <v>724</v>
          </cell>
          <cell r="GL75">
            <v>2340</v>
          </cell>
          <cell r="GM75">
            <v>14764</v>
          </cell>
          <cell r="GN75">
            <v>4660</v>
          </cell>
          <cell r="GO75">
            <v>9220</v>
          </cell>
          <cell r="GP75">
            <v>2928</v>
          </cell>
          <cell r="GQ75">
            <v>24347</v>
          </cell>
          <cell r="GR75">
            <v>26763</v>
          </cell>
          <cell r="GS75">
            <v>22235</v>
          </cell>
          <cell r="GT75">
            <v>11648</v>
          </cell>
          <cell r="GU75">
            <v>3437</v>
          </cell>
          <cell r="GV75">
            <v>1064</v>
          </cell>
          <cell r="GW75">
            <v>5622</v>
          </cell>
          <cell r="GX75">
            <v>464</v>
          </cell>
        </row>
        <row r="76">
          <cell r="A76" t="str">
            <v>2007 Q4</v>
          </cell>
          <cell r="B76">
            <v>239358</v>
          </cell>
          <cell r="C76">
            <v>18849</v>
          </cell>
          <cell r="D76">
            <v>16725</v>
          </cell>
          <cell r="E76">
            <v>3067</v>
          </cell>
          <cell r="F76">
            <v>3575</v>
          </cell>
          <cell r="G76">
            <v>794</v>
          </cell>
          <cell r="H76">
            <v>2387</v>
          </cell>
          <cell r="I76">
            <v>450</v>
          </cell>
          <cell r="J76">
            <v>1484</v>
          </cell>
          <cell r="K76">
            <v>2569</v>
          </cell>
          <cell r="L76">
            <v>1686</v>
          </cell>
          <cell r="M76">
            <v>713</v>
          </cell>
          <cell r="N76">
            <v>2124</v>
          </cell>
          <cell r="O76">
            <v>365</v>
          </cell>
          <cell r="P76">
            <v>1759</v>
          </cell>
          <cell r="Q76">
            <v>8370</v>
          </cell>
          <cell r="R76">
            <v>3293</v>
          </cell>
          <cell r="S76">
            <v>831</v>
          </cell>
          <cell r="T76">
            <v>1600</v>
          </cell>
          <cell r="U76">
            <v>862</v>
          </cell>
          <cell r="V76">
            <v>3924</v>
          </cell>
          <cell r="W76">
            <v>1153</v>
          </cell>
          <cell r="X76">
            <v>11743</v>
          </cell>
          <cell r="Y76">
            <v>10084</v>
          </cell>
          <cell r="Z76">
            <v>43</v>
          </cell>
          <cell r="AA76">
            <v>9085</v>
          </cell>
          <cell r="AB76">
            <v>794</v>
          </cell>
          <cell r="AC76">
            <v>162</v>
          </cell>
          <cell r="AD76">
            <v>1659</v>
          </cell>
          <cell r="AE76">
            <v>1639</v>
          </cell>
          <cell r="AF76">
            <v>20</v>
          </cell>
          <cell r="AG76">
            <v>60931</v>
          </cell>
          <cell r="AH76">
            <v>11680</v>
          </cell>
          <cell r="AI76">
            <v>11650</v>
          </cell>
          <cell r="AJ76">
            <v>30</v>
          </cell>
          <cell r="AK76">
            <v>40717</v>
          </cell>
          <cell r="AL76">
            <v>39234</v>
          </cell>
          <cell r="AM76">
            <v>1483</v>
          </cell>
          <cell r="AN76">
            <v>464</v>
          </cell>
          <cell r="AO76">
            <v>152</v>
          </cell>
          <cell r="AP76">
            <v>312</v>
          </cell>
          <cell r="AQ76">
            <v>1906</v>
          </cell>
          <cell r="AR76">
            <v>982</v>
          </cell>
          <cell r="AS76">
            <v>26</v>
          </cell>
          <cell r="AT76">
            <v>898</v>
          </cell>
          <cell r="AU76">
            <v>0</v>
          </cell>
          <cell r="AV76">
            <v>6164</v>
          </cell>
          <cell r="AW76">
            <v>2762</v>
          </cell>
          <cell r="AX76">
            <v>3000</v>
          </cell>
          <cell r="AY76">
            <v>335</v>
          </cell>
          <cell r="AZ76">
            <v>67</v>
          </cell>
          <cell r="BA76">
            <v>0</v>
          </cell>
          <cell r="BB76">
            <v>11922</v>
          </cell>
          <cell r="BC76">
            <v>4913</v>
          </cell>
          <cell r="BD76">
            <v>3866</v>
          </cell>
          <cell r="BE76">
            <v>1038</v>
          </cell>
          <cell r="BF76">
            <v>9</v>
          </cell>
          <cell r="BG76">
            <v>1134</v>
          </cell>
          <cell r="BH76">
            <v>1688</v>
          </cell>
          <cell r="BI76">
            <v>1354</v>
          </cell>
          <cell r="BJ76">
            <v>270</v>
          </cell>
          <cell r="BK76">
            <v>64</v>
          </cell>
          <cell r="BL76">
            <v>1128</v>
          </cell>
          <cell r="BM76">
            <v>1180</v>
          </cell>
          <cell r="BN76">
            <v>155</v>
          </cell>
          <cell r="BO76">
            <v>1025</v>
          </cell>
          <cell r="BP76">
            <v>1879</v>
          </cell>
          <cell r="BQ76">
            <v>1261</v>
          </cell>
          <cell r="BR76">
            <v>618</v>
          </cell>
          <cell r="BS76">
            <v>4136</v>
          </cell>
          <cell r="BT76">
            <v>1813</v>
          </cell>
          <cell r="BU76">
            <v>1112</v>
          </cell>
          <cell r="BV76">
            <v>64</v>
          </cell>
          <cell r="BW76">
            <v>637</v>
          </cell>
          <cell r="BX76">
            <v>1384</v>
          </cell>
          <cell r="BY76">
            <v>790</v>
          </cell>
          <cell r="BZ76">
            <v>484</v>
          </cell>
          <cell r="CA76">
            <v>110</v>
          </cell>
          <cell r="CB76">
            <v>939</v>
          </cell>
          <cell r="CC76">
            <v>35002</v>
          </cell>
          <cell r="CD76">
            <v>11010</v>
          </cell>
          <cell r="CE76">
            <v>10562</v>
          </cell>
          <cell r="CF76">
            <v>257</v>
          </cell>
          <cell r="CG76">
            <v>191</v>
          </cell>
          <cell r="CH76">
            <v>14578</v>
          </cell>
          <cell r="CI76">
            <v>1238</v>
          </cell>
          <cell r="CJ76">
            <v>7394</v>
          </cell>
          <cell r="CK76">
            <v>4498</v>
          </cell>
          <cell r="CL76">
            <v>1448</v>
          </cell>
          <cell r="CM76">
            <v>9414</v>
          </cell>
          <cell r="CN76">
            <v>1547</v>
          </cell>
          <cell r="CO76">
            <v>2258</v>
          </cell>
          <cell r="CP76">
            <v>3789</v>
          </cell>
          <cell r="CQ76">
            <v>1234</v>
          </cell>
          <cell r="CR76">
            <v>586</v>
          </cell>
          <cell r="CS76">
            <v>5818</v>
          </cell>
          <cell r="CT76">
            <v>187</v>
          </cell>
          <cell r="CU76">
            <v>1065</v>
          </cell>
          <cell r="CV76">
            <v>4566</v>
          </cell>
          <cell r="CW76">
            <v>24365</v>
          </cell>
          <cell r="CX76">
            <v>4585</v>
          </cell>
          <cell r="CY76">
            <v>1724</v>
          </cell>
          <cell r="CZ76">
            <v>393</v>
          </cell>
          <cell r="DA76">
            <v>1106</v>
          </cell>
          <cell r="DB76">
            <v>1325</v>
          </cell>
          <cell r="DC76">
            <v>37</v>
          </cell>
          <cell r="DD76">
            <v>1893</v>
          </cell>
          <cell r="DE76">
            <v>1394</v>
          </cell>
          <cell r="DF76">
            <v>60</v>
          </cell>
          <cell r="DG76">
            <v>439</v>
          </cell>
          <cell r="DH76">
            <v>5642</v>
          </cell>
          <cell r="DI76">
            <v>2173</v>
          </cell>
          <cell r="DJ76">
            <v>977</v>
          </cell>
          <cell r="DK76">
            <v>1118</v>
          </cell>
          <cell r="DL76">
            <v>1004</v>
          </cell>
          <cell r="DM76">
            <v>370</v>
          </cell>
          <cell r="DN76">
            <v>8708</v>
          </cell>
          <cell r="DO76">
            <v>2005</v>
          </cell>
          <cell r="DP76">
            <v>4240</v>
          </cell>
          <cell r="DQ76">
            <v>2463</v>
          </cell>
          <cell r="DR76">
            <v>3537</v>
          </cell>
          <cell r="DS76">
            <v>857</v>
          </cell>
          <cell r="DT76">
            <v>1316</v>
          </cell>
          <cell r="DU76">
            <v>777</v>
          </cell>
          <cell r="DV76">
            <v>587</v>
          </cell>
          <cell r="DW76">
            <v>0</v>
          </cell>
          <cell r="DX76">
            <v>3001</v>
          </cell>
          <cell r="DY76">
            <v>23917</v>
          </cell>
          <cell r="DZ76">
            <v>19436</v>
          </cell>
          <cell r="EA76">
            <v>18218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1218</v>
          </cell>
          <cell r="EG76">
            <v>4481</v>
          </cell>
          <cell r="EH76">
            <v>31304</v>
          </cell>
          <cell r="EI76">
            <v>5191</v>
          </cell>
          <cell r="EJ76">
            <v>1404</v>
          </cell>
          <cell r="EK76">
            <v>103</v>
          </cell>
          <cell r="EL76">
            <v>3684</v>
          </cell>
          <cell r="EM76">
            <v>997</v>
          </cell>
          <cell r="EN76">
            <v>1797</v>
          </cell>
          <cell r="EO76">
            <v>1483</v>
          </cell>
          <cell r="EP76">
            <v>314</v>
          </cell>
          <cell r="EQ76">
            <v>2031</v>
          </cell>
          <cell r="ER76">
            <v>5895</v>
          </cell>
          <cell r="ES76">
            <v>2939</v>
          </cell>
          <cell r="ET76">
            <v>646</v>
          </cell>
          <cell r="EU76">
            <v>809</v>
          </cell>
          <cell r="EV76">
            <v>704</v>
          </cell>
          <cell r="EW76">
            <v>797</v>
          </cell>
          <cell r="EX76">
            <v>12456</v>
          </cell>
          <cell r="EY76">
            <v>5513</v>
          </cell>
          <cell r="EZ76">
            <v>6943</v>
          </cell>
          <cell r="FA76">
            <v>2937</v>
          </cell>
          <cell r="FB76">
            <v>242534</v>
          </cell>
          <cell r="FC76">
            <v>196017</v>
          </cell>
          <cell r="FD76">
            <v>25285</v>
          </cell>
          <cell r="FE76">
            <v>6413</v>
          </cell>
          <cell r="FF76">
            <v>637</v>
          </cell>
          <cell r="FG76">
            <v>11010</v>
          </cell>
          <cell r="FH76">
            <v>1065</v>
          </cell>
          <cell r="FI76">
            <v>4677</v>
          </cell>
          <cell r="FJ76">
            <v>1483</v>
          </cell>
          <cell r="FK76">
            <v>100224</v>
          </cell>
          <cell r="FL76">
            <v>18849</v>
          </cell>
          <cell r="FM76">
            <v>8370</v>
          </cell>
          <cell r="FN76">
            <v>11561</v>
          </cell>
          <cell r="FO76">
            <v>7298</v>
          </cell>
          <cell r="FP76">
            <v>11231</v>
          </cell>
          <cell r="FQ76">
            <v>1813</v>
          </cell>
          <cell r="FR76">
            <v>19642</v>
          </cell>
          <cell r="FS76">
            <v>1065</v>
          </cell>
          <cell r="FT76">
            <v>14811</v>
          </cell>
          <cell r="FU76">
            <v>5584</v>
          </cell>
          <cell r="FV76">
            <v>52834</v>
          </cell>
          <cell r="FW76">
            <v>18849</v>
          </cell>
          <cell r="FX76">
            <v>8370</v>
          </cell>
          <cell r="FY76">
            <v>7298</v>
          </cell>
          <cell r="FZ76">
            <v>1261</v>
          </cell>
          <cell r="GA76">
            <v>1176</v>
          </cell>
          <cell r="GB76">
            <v>7394</v>
          </cell>
          <cell r="GC76">
            <v>4802</v>
          </cell>
          <cell r="GD76">
            <v>3684</v>
          </cell>
          <cell r="GE76">
            <v>3176</v>
          </cell>
          <cell r="GF76">
            <v>-5937</v>
          </cell>
          <cell r="GG76">
            <v>9113</v>
          </cell>
          <cell r="GH76">
            <v>139134</v>
          </cell>
          <cell r="GI76">
            <v>182</v>
          </cell>
          <cell r="GJ76">
            <v>53633</v>
          </cell>
          <cell r="GK76">
            <v>691</v>
          </cell>
          <cell r="GL76">
            <v>2323</v>
          </cell>
          <cell r="GM76">
            <v>15360</v>
          </cell>
          <cell r="GN76">
            <v>4753</v>
          </cell>
          <cell r="GO76">
            <v>9554</v>
          </cell>
          <cell r="GP76">
            <v>3001</v>
          </cell>
          <cell r="GQ76">
            <v>23917</v>
          </cell>
          <cell r="GR76">
            <v>25720</v>
          </cell>
          <cell r="GS76">
            <v>22105</v>
          </cell>
          <cell r="GT76">
            <v>11561</v>
          </cell>
          <cell r="GU76">
            <v>3557</v>
          </cell>
          <cell r="GV76">
            <v>1238</v>
          </cell>
          <cell r="GW76">
            <v>5332</v>
          </cell>
          <cell r="GX76">
            <v>417</v>
          </cell>
        </row>
        <row r="77">
          <cell r="A77" t="str">
            <v>2008 Q1</v>
          </cell>
          <cell r="B77">
            <v>243046</v>
          </cell>
          <cell r="C77">
            <v>18981</v>
          </cell>
          <cell r="D77">
            <v>16835</v>
          </cell>
          <cell r="E77">
            <v>3118</v>
          </cell>
          <cell r="F77">
            <v>3538</v>
          </cell>
          <cell r="G77">
            <v>820</v>
          </cell>
          <cell r="H77">
            <v>2331</v>
          </cell>
          <cell r="I77">
            <v>523</v>
          </cell>
          <cell r="J77">
            <v>1517</v>
          </cell>
          <cell r="K77">
            <v>2503</v>
          </cell>
          <cell r="L77">
            <v>1729</v>
          </cell>
          <cell r="M77">
            <v>756</v>
          </cell>
          <cell r="N77">
            <v>2146</v>
          </cell>
          <cell r="O77">
            <v>354</v>
          </cell>
          <cell r="P77">
            <v>1792</v>
          </cell>
          <cell r="Q77">
            <v>8384</v>
          </cell>
          <cell r="R77">
            <v>3163</v>
          </cell>
          <cell r="S77">
            <v>860</v>
          </cell>
          <cell r="T77">
            <v>1476</v>
          </cell>
          <cell r="U77">
            <v>827</v>
          </cell>
          <cell r="V77">
            <v>4047</v>
          </cell>
          <cell r="W77">
            <v>1174</v>
          </cell>
          <cell r="X77">
            <v>11889</v>
          </cell>
          <cell r="Y77">
            <v>10195</v>
          </cell>
          <cell r="Z77">
            <v>24</v>
          </cell>
          <cell r="AA77">
            <v>9220</v>
          </cell>
          <cell r="AB77">
            <v>776</v>
          </cell>
          <cell r="AC77">
            <v>175</v>
          </cell>
          <cell r="AD77">
            <v>1694</v>
          </cell>
          <cell r="AE77">
            <v>1674</v>
          </cell>
          <cell r="AF77">
            <v>20</v>
          </cell>
          <cell r="AG77">
            <v>61776</v>
          </cell>
          <cell r="AH77">
            <v>12006</v>
          </cell>
          <cell r="AI77">
            <v>11976</v>
          </cell>
          <cell r="AJ77">
            <v>30</v>
          </cell>
          <cell r="AK77">
            <v>41190</v>
          </cell>
          <cell r="AL77">
            <v>39686</v>
          </cell>
          <cell r="AM77">
            <v>1504</v>
          </cell>
          <cell r="AN77">
            <v>582</v>
          </cell>
          <cell r="AO77">
            <v>200</v>
          </cell>
          <cell r="AP77">
            <v>382</v>
          </cell>
          <cell r="AQ77">
            <v>1862</v>
          </cell>
          <cell r="AR77">
            <v>966</v>
          </cell>
          <cell r="AS77">
            <v>33</v>
          </cell>
          <cell r="AT77">
            <v>863</v>
          </cell>
          <cell r="AU77">
            <v>0</v>
          </cell>
          <cell r="AV77">
            <v>6136</v>
          </cell>
          <cell r="AW77">
            <v>3236</v>
          </cell>
          <cell r="AX77">
            <v>2473</v>
          </cell>
          <cell r="AY77">
            <v>353</v>
          </cell>
          <cell r="AZ77">
            <v>74</v>
          </cell>
          <cell r="BA77">
            <v>0</v>
          </cell>
          <cell r="BB77">
            <v>11581</v>
          </cell>
          <cell r="BC77">
            <v>4896</v>
          </cell>
          <cell r="BD77">
            <v>3931</v>
          </cell>
          <cell r="BE77">
            <v>960</v>
          </cell>
          <cell r="BF77">
            <v>5</v>
          </cell>
          <cell r="BG77">
            <v>984</v>
          </cell>
          <cell r="BH77">
            <v>1673</v>
          </cell>
          <cell r="BI77">
            <v>1386</v>
          </cell>
          <cell r="BJ77">
            <v>225</v>
          </cell>
          <cell r="BK77">
            <v>62</v>
          </cell>
          <cell r="BL77">
            <v>1107</v>
          </cell>
          <cell r="BM77">
            <v>1062</v>
          </cell>
          <cell r="BN77">
            <v>156</v>
          </cell>
          <cell r="BO77">
            <v>906</v>
          </cell>
          <cell r="BP77">
            <v>1859</v>
          </cell>
          <cell r="BQ77">
            <v>1256</v>
          </cell>
          <cell r="BR77">
            <v>603</v>
          </cell>
          <cell r="BS77">
            <v>4008</v>
          </cell>
          <cell r="BT77">
            <v>1683</v>
          </cell>
          <cell r="BU77">
            <v>951</v>
          </cell>
          <cell r="BV77">
            <v>66</v>
          </cell>
          <cell r="BW77">
            <v>666</v>
          </cell>
          <cell r="BX77">
            <v>1350</v>
          </cell>
          <cell r="BY77">
            <v>799</v>
          </cell>
          <cell r="BZ77">
            <v>441</v>
          </cell>
          <cell r="CA77">
            <v>110</v>
          </cell>
          <cell r="CB77">
            <v>975</v>
          </cell>
          <cell r="CC77">
            <v>35651</v>
          </cell>
          <cell r="CD77">
            <v>10877</v>
          </cell>
          <cell r="CE77">
            <v>10419</v>
          </cell>
          <cell r="CF77">
            <v>257</v>
          </cell>
          <cell r="CG77">
            <v>201</v>
          </cell>
          <cell r="CH77">
            <v>15291</v>
          </cell>
          <cell r="CI77">
            <v>1138</v>
          </cell>
          <cell r="CJ77">
            <v>8124</v>
          </cell>
          <cell r="CK77">
            <v>4582</v>
          </cell>
          <cell r="CL77">
            <v>1447</v>
          </cell>
          <cell r="CM77">
            <v>9483</v>
          </cell>
          <cell r="CN77">
            <v>1628</v>
          </cell>
          <cell r="CO77">
            <v>2211</v>
          </cell>
          <cell r="CP77">
            <v>3941</v>
          </cell>
          <cell r="CQ77">
            <v>1147</v>
          </cell>
          <cell r="CR77">
            <v>556</v>
          </cell>
          <cell r="CS77">
            <v>5703</v>
          </cell>
          <cell r="CT77">
            <v>174</v>
          </cell>
          <cell r="CU77">
            <v>1009</v>
          </cell>
          <cell r="CV77">
            <v>4520</v>
          </cell>
          <cell r="CW77">
            <v>25072</v>
          </cell>
          <cell r="CX77">
            <v>4778</v>
          </cell>
          <cell r="CY77">
            <v>1555</v>
          </cell>
          <cell r="CZ77">
            <v>515</v>
          </cell>
          <cell r="DA77">
            <v>1089</v>
          </cell>
          <cell r="DB77">
            <v>1586</v>
          </cell>
          <cell r="DC77">
            <v>33</v>
          </cell>
          <cell r="DD77">
            <v>1857</v>
          </cell>
          <cell r="DE77">
            <v>1379</v>
          </cell>
          <cell r="DF77">
            <v>39</v>
          </cell>
          <cell r="DG77">
            <v>439</v>
          </cell>
          <cell r="DH77">
            <v>6049</v>
          </cell>
          <cell r="DI77">
            <v>2536</v>
          </cell>
          <cell r="DJ77">
            <v>984</v>
          </cell>
          <cell r="DK77">
            <v>1145</v>
          </cell>
          <cell r="DL77">
            <v>977</v>
          </cell>
          <cell r="DM77">
            <v>407</v>
          </cell>
          <cell r="DN77">
            <v>8857</v>
          </cell>
          <cell r="DO77">
            <v>1973</v>
          </cell>
          <cell r="DP77">
            <v>4252</v>
          </cell>
          <cell r="DQ77">
            <v>2632</v>
          </cell>
          <cell r="DR77">
            <v>3531</v>
          </cell>
          <cell r="DS77">
            <v>848</v>
          </cell>
          <cell r="DT77">
            <v>1306</v>
          </cell>
          <cell r="DU77">
            <v>784</v>
          </cell>
          <cell r="DV77">
            <v>593</v>
          </cell>
          <cell r="DW77">
            <v>0</v>
          </cell>
          <cell r="DX77">
            <v>3020</v>
          </cell>
          <cell r="DY77">
            <v>24395</v>
          </cell>
          <cell r="DZ77">
            <v>19815</v>
          </cell>
          <cell r="EA77">
            <v>18654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1161</v>
          </cell>
          <cell r="EG77">
            <v>4580</v>
          </cell>
          <cell r="EH77">
            <v>32586</v>
          </cell>
          <cell r="EI77">
            <v>5181</v>
          </cell>
          <cell r="EJ77">
            <v>1454</v>
          </cell>
          <cell r="EK77">
            <v>82</v>
          </cell>
          <cell r="EL77">
            <v>3645</v>
          </cell>
          <cell r="EM77">
            <v>1011</v>
          </cell>
          <cell r="EN77">
            <v>1715</v>
          </cell>
          <cell r="EO77">
            <v>1381</v>
          </cell>
          <cell r="EP77">
            <v>334</v>
          </cell>
          <cell r="EQ77">
            <v>2670</v>
          </cell>
          <cell r="ER77">
            <v>5026</v>
          </cell>
          <cell r="ES77">
            <v>1885</v>
          </cell>
          <cell r="ET77">
            <v>674</v>
          </cell>
          <cell r="EU77">
            <v>802</v>
          </cell>
          <cell r="EV77">
            <v>791</v>
          </cell>
          <cell r="EW77">
            <v>874</v>
          </cell>
          <cell r="EX77">
            <v>13982</v>
          </cell>
          <cell r="EY77">
            <v>7396</v>
          </cell>
          <cell r="EZ77">
            <v>6586</v>
          </cell>
          <cell r="FA77">
            <v>3001</v>
          </cell>
          <cell r="FB77">
            <v>247311</v>
          </cell>
          <cell r="FC77">
            <v>196003</v>
          </cell>
          <cell r="FD77">
            <v>24943</v>
          </cell>
          <cell r="FE77">
            <v>6433</v>
          </cell>
          <cell r="FF77">
            <v>666</v>
          </cell>
          <cell r="FG77">
            <v>10877</v>
          </cell>
          <cell r="FH77">
            <v>1009</v>
          </cell>
          <cell r="FI77">
            <v>4577</v>
          </cell>
          <cell r="FJ77">
            <v>1381</v>
          </cell>
          <cell r="FK77">
            <v>100881</v>
          </cell>
          <cell r="FL77">
            <v>18981</v>
          </cell>
          <cell r="FM77">
            <v>8384</v>
          </cell>
          <cell r="FN77">
            <v>11694</v>
          </cell>
          <cell r="FO77">
            <v>7302</v>
          </cell>
          <cell r="FP77">
            <v>10911</v>
          </cell>
          <cell r="FQ77">
            <v>1683</v>
          </cell>
          <cell r="FR77">
            <v>20139</v>
          </cell>
          <cell r="FS77">
            <v>1009</v>
          </cell>
          <cell r="FT77">
            <v>15336</v>
          </cell>
          <cell r="FU77">
            <v>5442</v>
          </cell>
          <cell r="FV77">
            <v>53514</v>
          </cell>
          <cell r="FW77">
            <v>18981</v>
          </cell>
          <cell r="FX77">
            <v>8384</v>
          </cell>
          <cell r="FY77">
            <v>7302</v>
          </cell>
          <cell r="FZ77">
            <v>1256</v>
          </cell>
          <cell r="GA77">
            <v>1017</v>
          </cell>
          <cell r="GB77">
            <v>8124</v>
          </cell>
          <cell r="GC77">
            <v>4805</v>
          </cell>
          <cell r="GD77">
            <v>3645</v>
          </cell>
          <cell r="GE77">
            <v>4265</v>
          </cell>
          <cell r="GF77">
            <v>-5977</v>
          </cell>
          <cell r="GG77">
            <v>10242</v>
          </cell>
          <cell r="GH77">
            <v>142165</v>
          </cell>
          <cell r="GI77">
            <v>195</v>
          </cell>
          <cell r="GJ77">
            <v>54474</v>
          </cell>
          <cell r="GK77">
            <v>670</v>
          </cell>
          <cell r="GL77">
            <v>2325</v>
          </cell>
          <cell r="GM77">
            <v>15512</v>
          </cell>
          <cell r="GN77">
            <v>4694</v>
          </cell>
          <cell r="GO77">
            <v>9736</v>
          </cell>
          <cell r="GP77">
            <v>3020</v>
          </cell>
          <cell r="GQ77">
            <v>24395</v>
          </cell>
          <cell r="GR77">
            <v>27144</v>
          </cell>
          <cell r="GS77">
            <v>22424</v>
          </cell>
          <cell r="GT77">
            <v>11694</v>
          </cell>
          <cell r="GU77">
            <v>3222</v>
          </cell>
          <cell r="GV77">
            <v>1138</v>
          </cell>
          <cell r="GW77">
            <v>5954</v>
          </cell>
          <cell r="GX77">
            <v>416</v>
          </cell>
        </row>
        <row r="78">
          <cell r="A78" t="str">
            <v>2008 Q2</v>
          </cell>
          <cell r="B78">
            <v>244155</v>
          </cell>
          <cell r="C78">
            <v>19939</v>
          </cell>
          <cell r="D78">
            <v>17739</v>
          </cell>
          <cell r="E78">
            <v>3300</v>
          </cell>
          <cell r="F78">
            <v>3549</v>
          </cell>
          <cell r="G78">
            <v>876</v>
          </cell>
          <cell r="H78">
            <v>2508</v>
          </cell>
          <cell r="I78">
            <v>583</v>
          </cell>
          <cell r="J78">
            <v>1587</v>
          </cell>
          <cell r="K78">
            <v>2723</v>
          </cell>
          <cell r="L78">
            <v>1782</v>
          </cell>
          <cell r="M78">
            <v>831</v>
          </cell>
          <cell r="N78">
            <v>2200</v>
          </cell>
          <cell r="O78">
            <v>364</v>
          </cell>
          <cell r="P78">
            <v>1836</v>
          </cell>
          <cell r="Q78">
            <v>8746</v>
          </cell>
          <cell r="R78">
            <v>3337</v>
          </cell>
          <cell r="S78">
            <v>850</v>
          </cell>
          <cell r="T78">
            <v>1625</v>
          </cell>
          <cell r="U78">
            <v>862</v>
          </cell>
          <cell r="V78">
            <v>4146</v>
          </cell>
          <cell r="W78">
            <v>1263</v>
          </cell>
          <cell r="X78">
            <v>12240</v>
          </cell>
          <cell r="Y78">
            <v>10518</v>
          </cell>
          <cell r="Z78">
            <v>43</v>
          </cell>
          <cell r="AA78">
            <v>9498</v>
          </cell>
          <cell r="AB78">
            <v>790</v>
          </cell>
          <cell r="AC78">
            <v>187</v>
          </cell>
          <cell r="AD78">
            <v>1722</v>
          </cell>
          <cell r="AE78">
            <v>1703</v>
          </cell>
          <cell r="AF78">
            <v>19</v>
          </cell>
          <cell r="AG78">
            <v>63130</v>
          </cell>
          <cell r="AH78">
            <v>12274</v>
          </cell>
          <cell r="AI78">
            <v>12244</v>
          </cell>
          <cell r="AJ78">
            <v>30</v>
          </cell>
          <cell r="AK78">
            <v>41457</v>
          </cell>
          <cell r="AL78">
            <v>39924</v>
          </cell>
          <cell r="AM78">
            <v>1533</v>
          </cell>
          <cell r="AN78">
            <v>553</v>
          </cell>
          <cell r="AO78">
            <v>171</v>
          </cell>
          <cell r="AP78">
            <v>382</v>
          </cell>
          <cell r="AQ78">
            <v>1883</v>
          </cell>
          <cell r="AR78">
            <v>969</v>
          </cell>
          <cell r="AS78">
            <v>41</v>
          </cell>
          <cell r="AT78">
            <v>873</v>
          </cell>
          <cell r="AU78">
            <v>0</v>
          </cell>
          <cell r="AV78">
            <v>6963</v>
          </cell>
          <cell r="AW78">
            <v>3558</v>
          </cell>
          <cell r="AX78">
            <v>2816</v>
          </cell>
          <cell r="AY78">
            <v>502</v>
          </cell>
          <cell r="AZ78">
            <v>87</v>
          </cell>
          <cell r="BA78">
            <v>0</v>
          </cell>
          <cell r="BB78">
            <v>11444</v>
          </cell>
          <cell r="BC78">
            <v>4805</v>
          </cell>
          <cell r="BD78">
            <v>3959</v>
          </cell>
          <cell r="BE78">
            <v>840</v>
          </cell>
          <cell r="BF78">
            <v>6</v>
          </cell>
          <cell r="BG78">
            <v>989</v>
          </cell>
          <cell r="BH78">
            <v>1628</v>
          </cell>
          <cell r="BI78">
            <v>1390</v>
          </cell>
          <cell r="BJ78">
            <v>185</v>
          </cell>
          <cell r="BK78">
            <v>53</v>
          </cell>
          <cell r="BL78">
            <v>1089</v>
          </cell>
          <cell r="BM78">
            <v>1059</v>
          </cell>
          <cell r="BN78">
            <v>138</v>
          </cell>
          <cell r="BO78">
            <v>921</v>
          </cell>
          <cell r="BP78">
            <v>1874</v>
          </cell>
          <cell r="BQ78">
            <v>1246</v>
          </cell>
          <cell r="BR78">
            <v>628</v>
          </cell>
          <cell r="BS78">
            <v>3919</v>
          </cell>
          <cell r="BT78">
            <v>1553</v>
          </cell>
          <cell r="BU78">
            <v>859</v>
          </cell>
          <cell r="BV78">
            <v>65</v>
          </cell>
          <cell r="BW78">
            <v>629</v>
          </cell>
          <cell r="BX78">
            <v>1357</v>
          </cell>
          <cell r="BY78">
            <v>796</v>
          </cell>
          <cell r="BZ78">
            <v>449</v>
          </cell>
          <cell r="CA78">
            <v>112</v>
          </cell>
          <cell r="CB78">
            <v>1009</v>
          </cell>
          <cell r="CC78">
            <v>35422</v>
          </cell>
          <cell r="CD78">
            <v>10683</v>
          </cell>
          <cell r="CE78">
            <v>10237</v>
          </cell>
          <cell r="CF78">
            <v>239</v>
          </cell>
          <cell r="CG78">
            <v>207</v>
          </cell>
          <cell r="CH78">
            <v>15276</v>
          </cell>
          <cell r="CI78">
            <v>949</v>
          </cell>
          <cell r="CJ78">
            <v>8275</v>
          </cell>
          <cell r="CK78">
            <v>4592</v>
          </cell>
          <cell r="CL78">
            <v>1460</v>
          </cell>
          <cell r="CM78">
            <v>9463</v>
          </cell>
          <cell r="CN78">
            <v>1686</v>
          </cell>
          <cell r="CO78">
            <v>2202</v>
          </cell>
          <cell r="CP78">
            <v>3925</v>
          </cell>
          <cell r="CQ78">
            <v>1146</v>
          </cell>
          <cell r="CR78">
            <v>504</v>
          </cell>
          <cell r="CS78">
            <v>5824</v>
          </cell>
          <cell r="CT78">
            <v>142</v>
          </cell>
          <cell r="CU78">
            <v>1020</v>
          </cell>
          <cell r="CV78">
            <v>4662</v>
          </cell>
          <cell r="CW78">
            <v>24784</v>
          </cell>
          <cell r="CX78">
            <v>4627</v>
          </cell>
          <cell r="CY78">
            <v>1557</v>
          </cell>
          <cell r="CZ78">
            <v>520</v>
          </cell>
          <cell r="DA78">
            <v>1090</v>
          </cell>
          <cell r="DB78">
            <v>1432</v>
          </cell>
          <cell r="DC78">
            <v>28</v>
          </cell>
          <cell r="DD78">
            <v>1892</v>
          </cell>
          <cell r="DE78">
            <v>1375</v>
          </cell>
          <cell r="DF78">
            <v>76</v>
          </cell>
          <cell r="DG78">
            <v>441</v>
          </cell>
          <cell r="DH78">
            <v>5926</v>
          </cell>
          <cell r="DI78">
            <v>2516</v>
          </cell>
          <cell r="DJ78">
            <v>929</v>
          </cell>
          <cell r="DK78">
            <v>1139</v>
          </cell>
          <cell r="DL78">
            <v>961</v>
          </cell>
          <cell r="DM78">
            <v>381</v>
          </cell>
          <cell r="DN78">
            <v>8840</v>
          </cell>
          <cell r="DO78">
            <v>2005</v>
          </cell>
          <cell r="DP78">
            <v>4232</v>
          </cell>
          <cell r="DQ78">
            <v>2603</v>
          </cell>
          <cell r="DR78">
            <v>3499</v>
          </cell>
          <cell r="DS78">
            <v>853</v>
          </cell>
          <cell r="DT78">
            <v>1294</v>
          </cell>
          <cell r="DU78">
            <v>727</v>
          </cell>
          <cell r="DV78">
            <v>625</v>
          </cell>
          <cell r="DW78">
            <v>0</v>
          </cell>
          <cell r="DX78">
            <v>3042</v>
          </cell>
          <cell r="DY78">
            <v>24706</v>
          </cell>
          <cell r="DZ78">
            <v>20090</v>
          </cell>
          <cell r="EA78">
            <v>18913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1177</v>
          </cell>
          <cell r="EG78">
            <v>4616</v>
          </cell>
          <cell r="EH78">
            <v>30959</v>
          </cell>
          <cell r="EI78">
            <v>5128</v>
          </cell>
          <cell r="EJ78">
            <v>1430</v>
          </cell>
          <cell r="EK78">
            <v>91</v>
          </cell>
          <cell r="EL78">
            <v>3607</v>
          </cell>
          <cell r="EM78">
            <v>1024</v>
          </cell>
          <cell r="EN78">
            <v>1851</v>
          </cell>
          <cell r="EO78">
            <v>1569</v>
          </cell>
          <cell r="EP78">
            <v>282</v>
          </cell>
          <cell r="EQ78">
            <v>2359</v>
          </cell>
          <cell r="ER78">
            <v>3820</v>
          </cell>
          <cell r="ES78">
            <v>1800</v>
          </cell>
          <cell r="ET78">
            <v>480</v>
          </cell>
          <cell r="EU78">
            <v>558</v>
          </cell>
          <cell r="EV78">
            <v>396</v>
          </cell>
          <cell r="EW78">
            <v>586</v>
          </cell>
          <cell r="EX78">
            <v>13721</v>
          </cell>
          <cell r="EY78">
            <v>7439</v>
          </cell>
          <cell r="EZ78">
            <v>6282</v>
          </cell>
          <cell r="FA78">
            <v>3056</v>
          </cell>
          <cell r="FB78">
            <v>247752</v>
          </cell>
          <cell r="FC78">
            <v>196855</v>
          </cell>
          <cell r="FD78">
            <v>24846</v>
          </cell>
          <cell r="FE78">
            <v>6327</v>
          </cell>
          <cell r="FF78">
            <v>629</v>
          </cell>
          <cell r="FG78">
            <v>10683</v>
          </cell>
          <cell r="FH78">
            <v>1020</v>
          </cell>
          <cell r="FI78">
            <v>4618</v>
          </cell>
          <cell r="FJ78">
            <v>1569</v>
          </cell>
          <cell r="FK78">
            <v>102702</v>
          </cell>
          <cell r="FL78">
            <v>19939</v>
          </cell>
          <cell r="FM78">
            <v>8746</v>
          </cell>
          <cell r="FN78">
            <v>12034</v>
          </cell>
          <cell r="FO78">
            <v>8103</v>
          </cell>
          <cell r="FP78">
            <v>10757</v>
          </cell>
          <cell r="FQ78">
            <v>1553</v>
          </cell>
          <cell r="FR78">
            <v>19907</v>
          </cell>
          <cell r="FS78">
            <v>1020</v>
          </cell>
          <cell r="FT78">
            <v>15094</v>
          </cell>
          <cell r="FU78">
            <v>5549</v>
          </cell>
          <cell r="FV78">
            <v>55586</v>
          </cell>
          <cell r="FW78">
            <v>19939</v>
          </cell>
          <cell r="FX78">
            <v>8746</v>
          </cell>
          <cell r="FY78">
            <v>8103</v>
          </cell>
          <cell r="FZ78">
            <v>1246</v>
          </cell>
          <cell r="GA78">
            <v>924</v>
          </cell>
          <cell r="GB78">
            <v>8275</v>
          </cell>
          <cell r="GC78">
            <v>4746</v>
          </cell>
          <cell r="GD78">
            <v>3607</v>
          </cell>
          <cell r="GE78">
            <v>3597</v>
          </cell>
          <cell r="GF78">
            <v>-5985</v>
          </cell>
          <cell r="GG78">
            <v>9582</v>
          </cell>
          <cell r="GH78">
            <v>141453</v>
          </cell>
          <cell r="GI78">
            <v>206</v>
          </cell>
          <cell r="GJ78">
            <v>55027</v>
          </cell>
          <cell r="GK78">
            <v>687</v>
          </cell>
          <cell r="GL78">
            <v>2366</v>
          </cell>
          <cell r="GM78">
            <v>15515</v>
          </cell>
          <cell r="GN78">
            <v>4804</v>
          </cell>
          <cell r="GO78">
            <v>9690</v>
          </cell>
          <cell r="GP78">
            <v>3042</v>
          </cell>
          <cell r="GQ78">
            <v>24706</v>
          </cell>
          <cell r="GR78">
            <v>25410</v>
          </cell>
          <cell r="GS78">
            <v>22270</v>
          </cell>
          <cell r="GT78">
            <v>12034</v>
          </cell>
          <cell r="GU78">
            <v>3184</v>
          </cell>
          <cell r="GV78">
            <v>949</v>
          </cell>
          <cell r="GW78">
            <v>5730</v>
          </cell>
          <cell r="GX78">
            <v>373</v>
          </cell>
        </row>
        <row r="79">
          <cell r="A79" t="str">
            <v>2008 Q3</v>
          </cell>
          <cell r="B79">
            <v>243521</v>
          </cell>
          <cell r="C79">
            <v>19734</v>
          </cell>
          <cell r="D79">
            <v>17555</v>
          </cell>
          <cell r="E79">
            <v>3310</v>
          </cell>
          <cell r="F79">
            <v>3651</v>
          </cell>
          <cell r="G79">
            <v>829</v>
          </cell>
          <cell r="H79">
            <v>2415</v>
          </cell>
          <cell r="I79">
            <v>577</v>
          </cell>
          <cell r="J79">
            <v>1563</v>
          </cell>
          <cell r="K79">
            <v>2754</v>
          </cell>
          <cell r="L79">
            <v>1635</v>
          </cell>
          <cell r="M79">
            <v>821</v>
          </cell>
          <cell r="N79">
            <v>2179</v>
          </cell>
          <cell r="O79">
            <v>372</v>
          </cell>
          <cell r="P79">
            <v>1807</v>
          </cell>
          <cell r="Q79">
            <v>9006</v>
          </cell>
          <cell r="R79">
            <v>3469</v>
          </cell>
          <cell r="S79">
            <v>892</v>
          </cell>
          <cell r="T79">
            <v>1709</v>
          </cell>
          <cell r="U79">
            <v>868</v>
          </cell>
          <cell r="V79">
            <v>4128</v>
          </cell>
          <cell r="W79">
            <v>1409</v>
          </cell>
          <cell r="X79">
            <v>12198</v>
          </cell>
          <cell r="Y79">
            <v>10411</v>
          </cell>
          <cell r="Z79">
            <v>90</v>
          </cell>
          <cell r="AA79">
            <v>9446</v>
          </cell>
          <cell r="AB79">
            <v>683</v>
          </cell>
          <cell r="AC79">
            <v>192</v>
          </cell>
          <cell r="AD79">
            <v>1787</v>
          </cell>
          <cell r="AE79">
            <v>1767</v>
          </cell>
          <cell r="AF79">
            <v>20</v>
          </cell>
          <cell r="AG79">
            <v>64208</v>
          </cell>
          <cell r="AH79">
            <v>12524</v>
          </cell>
          <cell r="AI79">
            <v>12492</v>
          </cell>
          <cell r="AJ79">
            <v>32</v>
          </cell>
          <cell r="AK79">
            <v>41730</v>
          </cell>
          <cell r="AL79">
            <v>40156</v>
          </cell>
          <cell r="AM79">
            <v>1574</v>
          </cell>
          <cell r="AN79">
            <v>514</v>
          </cell>
          <cell r="AO79">
            <v>172</v>
          </cell>
          <cell r="AP79">
            <v>342</v>
          </cell>
          <cell r="AQ79">
            <v>1892</v>
          </cell>
          <cell r="AR79">
            <v>975</v>
          </cell>
          <cell r="AS79">
            <v>41</v>
          </cell>
          <cell r="AT79">
            <v>876</v>
          </cell>
          <cell r="AU79">
            <v>0</v>
          </cell>
          <cell r="AV79">
            <v>7548</v>
          </cell>
          <cell r="AW79">
            <v>3612</v>
          </cell>
          <cell r="AX79">
            <v>3485</v>
          </cell>
          <cell r="AY79">
            <v>358</v>
          </cell>
          <cell r="AZ79">
            <v>93</v>
          </cell>
          <cell r="BA79">
            <v>0</v>
          </cell>
          <cell r="BB79">
            <v>11249</v>
          </cell>
          <cell r="BC79">
            <v>4605</v>
          </cell>
          <cell r="BD79">
            <v>3823</v>
          </cell>
          <cell r="BE79">
            <v>765</v>
          </cell>
          <cell r="BF79">
            <v>17</v>
          </cell>
          <cell r="BG79">
            <v>1011</v>
          </cell>
          <cell r="BH79">
            <v>1628</v>
          </cell>
          <cell r="BI79">
            <v>1381</v>
          </cell>
          <cell r="BJ79">
            <v>194</v>
          </cell>
          <cell r="BK79">
            <v>53</v>
          </cell>
          <cell r="BL79">
            <v>1023</v>
          </cell>
          <cell r="BM79">
            <v>1028</v>
          </cell>
          <cell r="BN79">
            <v>152</v>
          </cell>
          <cell r="BO79">
            <v>876</v>
          </cell>
          <cell r="BP79">
            <v>1954</v>
          </cell>
          <cell r="BQ79">
            <v>1249</v>
          </cell>
          <cell r="BR79">
            <v>705</v>
          </cell>
          <cell r="BS79">
            <v>3873</v>
          </cell>
          <cell r="BT79">
            <v>1424</v>
          </cell>
          <cell r="BU79">
            <v>755</v>
          </cell>
          <cell r="BV79">
            <v>65</v>
          </cell>
          <cell r="BW79">
            <v>604</v>
          </cell>
          <cell r="BX79">
            <v>1389</v>
          </cell>
          <cell r="BY79">
            <v>803</v>
          </cell>
          <cell r="BZ79">
            <v>459</v>
          </cell>
          <cell r="CA79">
            <v>127</v>
          </cell>
          <cell r="CB79">
            <v>1060</v>
          </cell>
          <cell r="CC79">
            <v>34226</v>
          </cell>
          <cell r="CD79">
            <v>10122</v>
          </cell>
          <cell r="CE79">
            <v>9649</v>
          </cell>
          <cell r="CF79">
            <v>261</v>
          </cell>
          <cell r="CG79">
            <v>212</v>
          </cell>
          <cell r="CH79">
            <v>15132</v>
          </cell>
          <cell r="CI79">
            <v>1210</v>
          </cell>
          <cell r="CJ79">
            <v>7978</v>
          </cell>
          <cell r="CK79">
            <v>4469</v>
          </cell>
          <cell r="CL79">
            <v>1475</v>
          </cell>
          <cell r="CM79">
            <v>8972</v>
          </cell>
          <cell r="CN79">
            <v>1656</v>
          </cell>
          <cell r="CO79">
            <v>2172</v>
          </cell>
          <cell r="CP79">
            <v>3655</v>
          </cell>
          <cell r="CQ79">
            <v>1103</v>
          </cell>
          <cell r="CR79">
            <v>386</v>
          </cell>
          <cell r="CS79">
            <v>5639</v>
          </cell>
          <cell r="CT79">
            <v>123</v>
          </cell>
          <cell r="CU79">
            <v>987</v>
          </cell>
          <cell r="CV79">
            <v>4529</v>
          </cell>
          <cell r="CW79">
            <v>24591</v>
          </cell>
          <cell r="CX79">
            <v>4563</v>
          </cell>
          <cell r="CY79">
            <v>1554</v>
          </cell>
          <cell r="CZ79">
            <v>511</v>
          </cell>
          <cell r="DA79">
            <v>1072</v>
          </cell>
          <cell r="DB79">
            <v>1398</v>
          </cell>
          <cell r="DC79">
            <v>28</v>
          </cell>
          <cell r="DD79">
            <v>1889</v>
          </cell>
          <cell r="DE79">
            <v>1383</v>
          </cell>
          <cell r="DF79">
            <v>64</v>
          </cell>
          <cell r="DG79">
            <v>442</v>
          </cell>
          <cell r="DH79">
            <v>5798</v>
          </cell>
          <cell r="DI79">
            <v>2300</v>
          </cell>
          <cell r="DJ79">
            <v>925</v>
          </cell>
          <cell r="DK79">
            <v>1135</v>
          </cell>
          <cell r="DL79">
            <v>969</v>
          </cell>
          <cell r="DM79">
            <v>469</v>
          </cell>
          <cell r="DN79">
            <v>8815</v>
          </cell>
          <cell r="DO79">
            <v>2101</v>
          </cell>
          <cell r="DP79">
            <v>4331</v>
          </cell>
          <cell r="DQ79">
            <v>2383</v>
          </cell>
          <cell r="DR79">
            <v>3526</v>
          </cell>
          <cell r="DS79">
            <v>841</v>
          </cell>
          <cell r="DT79">
            <v>1281</v>
          </cell>
          <cell r="DU79">
            <v>826</v>
          </cell>
          <cell r="DV79">
            <v>578</v>
          </cell>
          <cell r="DW79">
            <v>0</v>
          </cell>
          <cell r="DX79">
            <v>3098</v>
          </cell>
          <cell r="DY79">
            <v>24505</v>
          </cell>
          <cell r="DZ79">
            <v>19966</v>
          </cell>
          <cell r="EA79">
            <v>18747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1219</v>
          </cell>
          <cell r="EG79">
            <v>4539</v>
          </cell>
          <cell r="EH79">
            <v>31194</v>
          </cell>
          <cell r="EI79">
            <v>4990</v>
          </cell>
          <cell r="EJ79">
            <v>1419</v>
          </cell>
          <cell r="EK79">
            <v>83</v>
          </cell>
          <cell r="EL79">
            <v>3488</v>
          </cell>
          <cell r="EM79">
            <v>1032</v>
          </cell>
          <cell r="EN79">
            <v>1827</v>
          </cell>
          <cell r="EO79">
            <v>1559</v>
          </cell>
          <cell r="EP79">
            <v>268</v>
          </cell>
          <cell r="EQ79">
            <v>2360</v>
          </cell>
          <cell r="ER79">
            <v>4375</v>
          </cell>
          <cell r="ES79">
            <v>1724</v>
          </cell>
          <cell r="ET79">
            <v>567</v>
          </cell>
          <cell r="EU79">
            <v>737</v>
          </cell>
          <cell r="EV79">
            <v>648</v>
          </cell>
          <cell r="EW79">
            <v>699</v>
          </cell>
          <cell r="EX79">
            <v>13624</v>
          </cell>
          <cell r="EY79">
            <v>7601</v>
          </cell>
          <cell r="EZ79">
            <v>6023</v>
          </cell>
          <cell r="FA79">
            <v>2986</v>
          </cell>
          <cell r="FB79">
            <v>247137</v>
          </cell>
          <cell r="FC79">
            <v>198141</v>
          </cell>
          <cell r="FD79">
            <v>23977</v>
          </cell>
          <cell r="FE79">
            <v>6121</v>
          </cell>
          <cell r="FF79">
            <v>604</v>
          </cell>
          <cell r="FG79">
            <v>10122</v>
          </cell>
          <cell r="FH79">
            <v>987</v>
          </cell>
          <cell r="FI79">
            <v>4584</v>
          </cell>
          <cell r="FJ79">
            <v>1559</v>
          </cell>
          <cell r="FK79">
            <v>101851</v>
          </cell>
          <cell r="FL79">
            <v>19734</v>
          </cell>
          <cell r="FM79">
            <v>9006</v>
          </cell>
          <cell r="FN79">
            <v>11986</v>
          </cell>
          <cell r="FO79">
            <v>8695</v>
          </cell>
          <cell r="FP79">
            <v>10474</v>
          </cell>
          <cell r="FQ79">
            <v>1424</v>
          </cell>
          <cell r="FR79">
            <v>19310</v>
          </cell>
          <cell r="FS79">
            <v>987</v>
          </cell>
          <cell r="FT79">
            <v>14837</v>
          </cell>
          <cell r="FU79">
            <v>5398</v>
          </cell>
          <cell r="FV79">
            <v>55759</v>
          </cell>
          <cell r="FW79">
            <v>19734</v>
          </cell>
          <cell r="FX79">
            <v>9006</v>
          </cell>
          <cell r="FY79">
            <v>8695</v>
          </cell>
          <cell r="FZ79">
            <v>1249</v>
          </cell>
          <cell r="GA79">
            <v>820</v>
          </cell>
          <cell r="GB79">
            <v>7978</v>
          </cell>
          <cell r="GC79">
            <v>4789</v>
          </cell>
          <cell r="GD79">
            <v>3488</v>
          </cell>
          <cell r="GE79">
            <v>3616</v>
          </cell>
          <cell r="GF79">
            <v>-5965</v>
          </cell>
          <cell r="GG79">
            <v>9581</v>
          </cell>
          <cell r="GH79">
            <v>141670</v>
          </cell>
          <cell r="GI79">
            <v>212</v>
          </cell>
          <cell r="GJ79">
            <v>55513</v>
          </cell>
          <cell r="GK79">
            <v>775</v>
          </cell>
          <cell r="GL79">
            <v>2449</v>
          </cell>
          <cell r="GM79">
            <v>14916</v>
          </cell>
          <cell r="GN79">
            <v>4652</v>
          </cell>
          <cell r="GO79">
            <v>9754</v>
          </cell>
          <cell r="GP79">
            <v>3098</v>
          </cell>
          <cell r="GQ79">
            <v>24505</v>
          </cell>
          <cell r="GR79">
            <v>25796</v>
          </cell>
          <cell r="GS79">
            <v>22115</v>
          </cell>
          <cell r="GT79">
            <v>11986</v>
          </cell>
          <cell r="GU79">
            <v>3104</v>
          </cell>
          <cell r="GV79">
            <v>1210</v>
          </cell>
          <cell r="GW79">
            <v>5464</v>
          </cell>
          <cell r="GX79">
            <v>351</v>
          </cell>
        </row>
        <row r="80">
          <cell r="A80" t="str">
            <v>2008 Q4</v>
          </cell>
          <cell r="B80">
            <v>236111</v>
          </cell>
          <cell r="C80">
            <v>19231</v>
          </cell>
          <cell r="D80">
            <v>17061</v>
          </cell>
          <cell r="E80">
            <v>3175</v>
          </cell>
          <cell r="F80">
            <v>3354</v>
          </cell>
          <cell r="G80">
            <v>767</v>
          </cell>
          <cell r="H80">
            <v>2472</v>
          </cell>
          <cell r="I80">
            <v>620</v>
          </cell>
          <cell r="J80">
            <v>1563</v>
          </cell>
          <cell r="K80">
            <v>2620</v>
          </cell>
          <cell r="L80">
            <v>1683</v>
          </cell>
          <cell r="M80">
            <v>807</v>
          </cell>
          <cell r="N80">
            <v>2170</v>
          </cell>
          <cell r="O80">
            <v>368</v>
          </cell>
          <cell r="P80">
            <v>1802</v>
          </cell>
          <cell r="Q80">
            <v>9171</v>
          </cell>
          <cell r="R80">
            <v>3578</v>
          </cell>
          <cell r="S80">
            <v>903</v>
          </cell>
          <cell r="T80">
            <v>1731</v>
          </cell>
          <cell r="U80">
            <v>944</v>
          </cell>
          <cell r="V80">
            <v>4011</v>
          </cell>
          <cell r="W80">
            <v>1582</v>
          </cell>
          <cell r="X80">
            <v>11690</v>
          </cell>
          <cell r="Y80">
            <v>9948</v>
          </cell>
          <cell r="Z80">
            <v>120</v>
          </cell>
          <cell r="AA80">
            <v>8887</v>
          </cell>
          <cell r="AB80">
            <v>770</v>
          </cell>
          <cell r="AC80">
            <v>171</v>
          </cell>
          <cell r="AD80">
            <v>1742</v>
          </cell>
          <cell r="AE80">
            <v>1719</v>
          </cell>
          <cell r="AF80">
            <v>23</v>
          </cell>
          <cell r="AG80">
            <v>65651</v>
          </cell>
          <cell r="AH80">
            <v>12753</v>
          </cell>
          <cell r="AI80">
            <v>12719</v>
          </cell>
          <cell r="AJ80">
            <v>34</v>
          </cell>
          <cell r="AK80">
            <v>42283</v>
          </cell>
          <cell r="AL80">
            <v>40657</v>
          </cell>
          <cell r="AM80">
            <v>1626</v>
          </cell>
          <cell r="AN80">
            <v>656</v>
          </cell>
          <cell r="AO80">
            <v>178</v>
          </cell>
          <cell r="AP80">
            <v>478</v>
          </cell>
          <cell r="AQ80">
            <v>1906</v>
          </cell>
          <cell r="AR80">
            <v>983</v>
          </cell>
          <cell r="AS80">
            <v>35</v>
          </cell>
          <cell r="AT80">
            <v>888</v>
          </cell>
          <cell r="AU80">
            <v>0</v>
          </cell>
          <cell r="AV80">
            <v>8053</v>
          </cell>
          <cell r="AW80">
            <v>3667</v>
          </cell>
          <cell r="AX80">
            <v>3911</v>
          </cell>
          <cell r="AY80">
            <v>358</v>
          </cell>
          <cell r="AZ80">
            <v>117</v>
          </cell>
          <cell r="BA80">
            <v>0</v>
          </cell>
          <cell r="BB80">
            <v>10630</v>
          </cell>
          <cell r="BC80">
            <v>4174</v>
          </cell>
          <cell r="BD80">
            <v>3496</v>
          </cell>
          <cell r="BE80">
            <v>659</v>
          </cell>
          <cell r="BF80">
            <v>19</v>
          </cell>
          <cell r="BG80">
            <v>1008</v>
          </cell>
          <cell r="BH80">
            <v>1596</v>
          </cell>
          <cell r="BI80">
            <v>1322</v>
          </cell>
          <cell r="BJ80">
            <v>216</v>
          </cell>
          <cell r="BK80">
            <v>58</v>
          </cell>
          <cell r="BL80">
            <v>954</v>
          </cell>
          <cell r="BM80">
            <v>990</v>
          </cell>
          <cell r="BN80">
            <v>131</v>
          </cell>
          <cell r="BO80">
            <v>859</v>
          </cell>
          <cell r="BP80">
            <v>1908</v>
          </cell>
          <cell r="BQ80">
            <v>1204</v>
          </cell>
          <cell r="BR80">
            <v>704</v>
          </cell>
          <cell r="BS80">
            <v>3866</v>
          </cell>
          <cell r="BT80">
            <v>1339</v>
          </cell>
          <cell r="BU80">
            <v>671</v>
          </cell>
          <cell r="BV80">
            <v>55</v>
          </cell>
          <cell r="BW80">
            <v>613</v>
          </cell>
          <cell r="BX80">
            <v>1399</v>
          </cell>
          <cell r="BY80">
            <v>796</v>
          </cell>
          <cell r="BZ80">
            <v>468</v>
          </cell>
          <cell r="CA80">
            <v>135</v>
          </cell>
          <cell r="CB80">
            <v>1128</v>
          </cell>
          <cell r="CC80">
            <v>30771</v>
          </cell>
          <cell r="CD80">
            <v>8857</v>
          </cell>
          <cell r="CE80">
            <v>8350</v>
          </cell>
          <cell r="CF80">
            <v>296</v>
          </cell>
          <cell r="CG80">
            <v>211</v>
          </cell>
          <cell r="CH80">
            <v>13455</v>
          </cell>
          <cell r="CI80">
            <v>1434</v>
          </cell>
          <cell r="CJ80">
            <v>6355</v>
          </cell>
          <cell r="CK80">
            <v>4192</v>
          </cell>
          <cell r="CL80">
            <v>1474</v>
          </cell>
          <cell r="CM80">
            <v>8459</v>
          </cell>
          <cell r="CN80">
            <v>1514</v>
          </cell>
          <cell r="CO80">
            <v>1971</v>
          </cell>
          <cell r="CP80">
            <v>3595</v>
          </cell>
          <cell r="CQ80">
            <v>903</v>
          </cell>
          <cell r="CR80">
            <v>476</v>
          </cell>
          <cell r="CS80">
            <v>5580</v>
          </cell>
          <cell r="CT80">
            <v>138</v>
          </cell>
          <cell r="CU80">
            <v>965</v>
          </cell>
          <cell r="CV80">
            <v>4477</v>
          </cell>
          <cell r="CW80">
            <v>23516</v>
          </cell>
          <cell r="CX80">
            <v>4424</v>
          </cell>
          <cell r="CY80">
            <v>1525</v>
          </cell>
          <cell r="CZ80">
            <v>475</v>
          </cell>
          <cell r="DA80">
            <v>1036</v>
          </cell>
          <cell r="DB80">
            <v>1357</v>
          </cell>
          <cell r="DC80">
            <v>31</v>
          </cell>
          <cell r="DD80">
            <v>1877</v>
          </cell>
          <cell r="DE80">
            <v>1401</v>
          </cell>
          <cell r="DF80">
            <v>34</v>
          </cell>
          <cell r="DG80">
            <v>442</v>
          </cell>
          <cell r="DH80">
            <v>5524</v>
          </cell>
          <cell r="DI80">
            <v>2135</v>
          </cell>
          <cell r="DJ80">
            <v>868</v>
          </cell>
          <cell r="DK80">
            <v>1055</v>
          </cell>
          <cell r="DL80">
            <v>980</v>
          </cell>
          <cell r="DM80">
            <v>486</v>
          </cell>
          <cell r="DN80">
            <v>8294</v>
          </cell>
          <cell r="DO80">
            <v>2025</v>
          </cell>
          <cell r="DP80">
            <v>3922</v>
          </cell>
          <cell r="DQ80">
            <v>2347</v>
          </cell>
          <cell r="DR80">
            <v>3397</v>
          </cell>
          <cell r="DS80">
            <v>799</v>
          </cell>
          <cell r="DT80">
            <v>1267</v>
          </cell>
          <cell r="DU80">
            <v>745</v>
          </cell>
          <cell r="DV80">
            <v>586</v>
          </cell>
          <cell r="DW80">
            <v>0</v>
          </cell>
          <cell r="DX80">
            <v>3162</v>
          </cell>
          <cell r="DY80">
            <v>22279</v>
          </cell>
          <cell r="DZ80">
            <v>18017</v>
          </cell>
          <cell r="EA80">
            <v>16801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1216</v>
          </cell>
          <cell r="EG80">
            <v>4262</v>
          </cell>
          <cell r="EH80">
            <v>30564</v>
          </cell>
          <cell r="EI80">
            <v>4615</v>
          </cell>
          <cell r="EJ80">
            <v>1367</v>
          </cell>
          <cell r="EK80">
            <v>104</v>
          </cell>
          <cell r="EL80">
            <v>3144</v>
          </cell>
          <cell r="EM80">
            <v>1040</v>
          </cell>
          <cell r="EN80">
            <v>1658</v>
          </cell>
          <cell r="EO80">
            <v>1398</v>
          </cell>
          <cell r="EP80">
            <v>260</v>
          </cell>
          <cell r="EQ80">
            <v>2336</v>
          </cell>
          <cell r="ER80">
            <v>4094</v>
          </cell>
          <cell r="ES80">
            <v>1655</v>
          </cell>
          <cell r="ET80">
            <v>556</v>
          </cell>
          <cell r="EU80">
            <v>662</v>
          </cell>
          <cell r="EV80">
            <v>530</v>
          </cell>
          <cell r="EW80">
            <v>691</v>
          </cell>
          <cell r="EX80">
            <v>13933</v>
          </cell>
          <cell r="EY80">
            <v>8015</v>
          </cell>
          <cell r="EZ80">
            <v>5918</v>
          </cell>
          <cell r="FA80">
            <v>2888</v>
          </cell>
          <cell r="FB80">
            <v>238877</v>
          </cell>
          <cell r="FC80">
            <v>195627</v>
          </cell>
          <cell r="FD80">
            <v>21912</v>
          </cell>
          <cell r="FE80">
            <v>5608</v>
          </cell>
          <cell r="FF80">
            <v>613</v>
          </cell>
          <cell r="FG80">
            <v>8857</v>
          </cell>
          <cell r="FH80">
            <v>965</v>
          </cell>
          <cell r="FI80">
            <v>4471</v>
          </cell>
          <cell r="FJ80">
            <v>1398</v>
          </cell>
          <cell r="FK80">
            <v>97080</v>
          </cell>
          <cell r="FL80">
            <v>19231</v>
          </cell>
          <cell r="FM80">
            <v>9171</v>
          </cell>
          <cell r="FN80">
            <v>11496</v>
          </cell>
          <cell r="FO80">
            <v>9214</v>
          </cell>
          <cell r="FP80">
            <v>9849</v>
          </cell>
          <cell r="FQ80">
            <v>1339</v>
          </cell>
          <cell r="FR80">
            <v>16646</v>
          </cell>
          <cell r="FS80">
            <v>965</v>
          </cell>
          <cell r="FT80">
            <v>14263</v>
          </cell>
          <cell r="FU80">
            <v>4906</v>
          </cell>
          <cell r="FV80">
            <v>53678</v>
          </cell>
          <cell r="FW80">
            <v>19231</v>
          </cell>
          <cell r="FX80">
            <v>9171</v>
          </cell>
          <cell r="FY80">
            <v>9214</v>
          </cell>
          <cell r="FZ80">
            <v>1204</v>
          </cell>
          <cell r="GA80">
            <v>726</v>
          </cell>
          <cell r="GB80">
            <v>6355</v>
          </cell>
          <cell r="GC80">
            <v>4633</v>
          </cell>
          <cell r="GD80">
            <v>3144</v>
          </cell>
          <cell r="GE80">
            <v>2766</v>
          </cell>
          <cell r="GF80">
            <v>-6003</v>
          </cell>
          <cell r="GG80">
            <v>8769</v>
          </cell>
          <cell r="GH80">
            <v>139031</v>
          </cell>
          <cell r="GI80">
            <v>194</v>
          </cell>
          <cell r="GJ80">
            <v>56437</v>
          </cell>
          <cell r="GK80">
            <v>781</v>
          </cell>
          <cell r="GL80">
            <v>2527</v>
          </cell>
          <cell r="GM80">
            <v>14125</v>
          </cell>
          <cell r="GN80">
            <v>4615</v>
          </cell>
          <cell r="GO80">
            <v>9253</v>
          </cell>
          <cell r="GP80">
            <v>3162</v>
          </cell>
          <cell r="GQ80">
            <v>22279</v>
          </cell>
          <cell r="GR80">
            <v>25658</v>
          </cell>
          <cell r="GS80">
            <v>21490</v>
          </cell>
          <cell r="GT80">
            <v>11496</v>
          </cell>
          <cell r="GU80">
            <v>3037</v>
          </cell>
          <cell r="GV80">
            <v>1434</v>
          </cell>
          <cell r="GW80">
            <v>5159</v>
          </cell>
          <cell r="GX80">
            <v>364</v>
          </cell>
        </row>
        <row r="81">
          <cell r="A81" t="str">
            <v>2009 Q1</v>
          </cell>
          <cell r="B81">
            <v>235329</v>
          </cell>
          <cell r="C81">
            <v>19579</v>
          </cell>
          <cell r="D81">
            <v>17413</v>
          </cell>
          <cell r="E81">
            <v>3310</v>
          </cell>
          <cell r="F81">
            <v>3592</v>
          </cell>
          <cell r="G81">
            <v>792</v>
          </cell>
          <cell r="H81">
            <v>2438</v>
          </cell>
          <cell r="I81">
            <v>547</v>
          </cell>
          <cell r="J81">
            <v>1607</v>
          </cell>
          <cell r="K81">
            <v>2661</v>
          </cell>
          <cell r="L81">
            <v>1663</v>
          </cell>
          <cell r="M81">
            <v>803</v>
          </cell>
          <cell r="N81">
            <v>2166</v>
          </cell>
          <cell r="O81">
            <v>396</v>
          </cell>
          <cell r="P81">
            <v>1770</v>
          </cell>
          <cell r="Q81">
            <v>9275</v>
          </cell>
          <cell r="R81">
            <v>3423</v>
          </cell>
          <cell r="S81">
            <v>832</v>
          </cell>
          <cell r="T81">
            <v>1644</v>
          </cell>
          <cell r="U81">
            <v>947</v>
          </cell>
          <cell r="V81">
            <v>4124</v>
          </cell>
          <cell r="W81">
            <v>1728</v>
          </cell>
          <cell r="X81">
            <v>12262</v>
          </cell>
          <cell r="Y81">
            <v>10396</v>
          </cell>
          <cell r="Z81">
            <v>68</v>
          </cell>
          <cell r="AA81">
            <v>9492</v>
          </cell>
          <cell r="AB81">
            <v>682</v>
          </cell>
          <cell r="AC81">
            <v>154</v>
          </cell>
          <cell r="AD81">
            <v>1866</v>
          </cell>
          <cell r="AE81">
            <v>1843</v>
          </cell>
          <cell r="AF81">
            <v>23</v>
          </cell>
          <cell r="AG81">
            <v>65459</v>
          </cell>
          <cell r="AH81">
            <v>12930</v>
          </cell>
          <cell r="AI81">
            <v>12896</v>
          </cell>
          <cell r="AJ81">
            <v>34</v>
          </cell>
          <cell r="AK81">
            <v>42144</v>
          </cell>
          <cell r="AL81">
            <v>40481</v>
          </cell>
          <cell r="AM81">
            <v>1663</v>
          </cell>
          <cell r="AN81">
            <v>553</v>
          </cell>
          <cell r="AO81">
            <v>173</v>
          </cell>
          <cell r="AP81">
            <v>380</v>
          </cell>
          <cell r="AQ81">
            <v>1960</v>
          </cell>
          <cell r="AR81">
            <v>1002</v>
          </cell>
          <cell r="AS81">
            <v>41</v>
          </cell>
          <cell r="AT81">
            <v>917</v>
          </cell>
          <cell r="AU81">
            <v>0</v>
          </cell>
          <cell r="AV81">
            <v>7872</v>
          </cell>
          <cell r="AW81">
            <v>3703</v>
          </cell>
          <cell r="AX81">
            <v>3800</v>
          </cell>
          <cell r="AY81">
            <v>272</v>
          </cell>
          <cell r="AZ81">
            <v>97</v>
          </cell>
          <cell r="BA81">
            <v>0</v>
          </cell>
          <cell r="BB81">
            <v>10551</v>
          </cell>
          <cell r="BC81">
            <v>4211</v>
          </cell>
          <cell r="BD81">
            <v>3514</v>
          </cell>
          <cell r="BE81">
            <v>685</v>
          </cell>
          <cell r="BF81">
            <v>12</v>
          </cell>
          <cell r="BG81">
            <v>1088</v>
          </cell>
          <cell r="BH81">
            <v>1551</v>
          </cell>
          <cell r="BI81">
            <v>1312</v>
          </cell>
          <cell r="BJ81">
            <v>192</v>
          </cell>
          <cell r="BK81">
            <v>47</v>
          </cell>
          <cell r="BL81">
            <v>884</v>
          </cell>
          <cell r="BM81">
            <v>917</v>
          </cell>
          <cell r="BN81">
            <v>93</v>
          </cell>
          <cell r="BO81">
            <v>824</v>
          </cell>
          <cell r="BP81">
            <v>1900</v>
          </cell>
          <cell r="BQ81">
            <v>1235</v>
          </cell>
          <cell r="BR81">
            <v>665</v>
          </cell>
          <cell r="BS81">
            <v>3810</v>
          </cell>
          <cell r="BT81">
            <v>1347</v>
          </cell>
          <cell r="BU81">
            <v>612</v>
          </cell>
          <cell r="BV81">
            <v>64</v>
          </cell>
          <cell r="BW81">
            <v>671</v>
          </cell>
          <cell r="BX81">
            <v>1317</v>
          </cell>
          <cell r="BY81">
            <v>734</v>
          </cell>
          <cell r="BZ81">
            <v>427</v>
          </cell>
          <cell r="CA81">
            <v>156</v>
          </cell>
          <cell r="CB81">
            <v>1146</v>
          </cell>
          <cell r="CC81">
            <v>30257</v>
          </cell>
          <cell r="CD81">
            <v>8823</v>
          </cell>
          <cell r="CE81">
            <v>8341</v>
          </cell>
          <cell r="CF81">
            <v>266</v>
          </cell>
          <cell r="CG81">
            <v>216</v>
          </cell>
          <cell r="CH81">
            <v>12913</v>
          </cell>
          <cell r="CI81">
            <v>1117</v>
          </cell>
          <cell r="CJ81">
            <v>6210</v>
          </cell>
          <cell r="CK81">
            <v>4139</v>
          </cell>
          <cell r="CL81">
            <v>1447</v>
          </cell>
          <cell r="CM81">
            <v>8521</v>
          </cell>
          <cell r="CN81">
            <v>1575</v>
          </cell>
          <cell r="CO81">
            <v>1843</v>
          </cell>
          <cell r="CP81">
            <v>3780</v>
          </cell>
          <cell r="CQ81">
            <v>879</v>
          </cell>
          <cell r="CR81">
            <v>444</v>
          </cell>
          <cell r="CS81">
            <v>5419</v>
          </cell>
          <cell r="CT81">
            <v>165</v>
          </cell>
          <cell r="CU81">
            <v>984</v>
          </cell>
          <cell r="CV81">
            <v>4270</v>
          </cell>
          <cell r="CW81">
            <v>23901</v>
          </cell>
          <cell r="CX81">
            <v>4187</v>
          </cell>
          <cell r="CY81">
            <v>1445</v>
          </cell>
          <cell r="CZ81">
            <v>371</v>
          </cell>
          <cell r="DA81">
            <v>1037</v>
          </cell>
          <cell r="DB81">
            <v>1298</v>
          </cell>
          <cell r="DC81">
            <v>36</v>
          </cell>
          <cell r="DD81">
            <v>1882</v>
          </cell>
          <cell r="DE81">
            <v>1388</v>
          </cell>
          <cell r="DF81">
            <v>52</v>
          </cell>
          <cell r="DG81">
            <v>442</v>
          </cell>
          <cell r="DH81">
            <v>5758</v>
          </cell>
          <cell r="DI81">
            <v>2288</v>
          </cell>
          <cell r="DJ81">
            <v>997</v>
          </cell>
          <cell r="DK81">
            <v>1023</v>
          </cell>
          <cell r="DL81">
            <v>977</v>
          </cell>
          <cell r="DM81">
            <v>473</v>
          </cell>
          <cell r="DN81">
            <v>8548</v>
          </cell>
          <cell r="DO81">
            <v>2001</v>
          </cell>
          <cell r="DP81">
            <v>4173</v>
          </cell>
          <cell r="DQ81">
            <v>2374</v>
          </cell>
          <cell r="DR81">
            <v>3526</v>
          </cell>
          <cell r="DS81">
            <v>825</v>
          </cell>
          <cell r="DT81">
            <v>1288</v>
          </cell>
          <cell r="DU81">
            <v>822</v>
          </cell>
          <cell r="DV81">
            <v>591</v>
          </cell>
          <cell r="DW81">
            <v>0</v>
          </cell>
          <cell r="DX81">
            <v>3299</v>
          </cell>
          <cell r="DY81">
            <v>22607</v>
          </cell>
          <cell r="DZ81">
            <v>18355</v>
          </cell>
          <cell r="EA81">
            <v>17151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1204</v>
          </cell>
          <cell r="EG81">
            <v>4252</v>
          </cell>
          <cell r="EH81">
            <v>28910</v>
          </cell>
          <cell r="EI81">
            <v>4860</v>
          </cell>
          <cell r="EJ81">
            <v>1443</v>
          </cell>
          <cell r="EK81">
            <v>76</v>
          </cell>
          <cell r="EL81">
            <v>3341</v>
          </cell>
          <cell r="EM81">
            <v>1046</v>
          </cell>
          <cell r="EN81">
            <v>1844</v>
          </cell>
          <cell r="EO81">
            <v>1583</v>
          </cell>
          <cell r="EP81">
            <v>261</v>
          </cell>
          <cell r="EQ81">
            <v>2431</v>
          </cell>
          <cell r="ER81">
            <v>4689</v>
          </cell>
          <cell r="ES81">
            <v>2519</v>
          </cell>
          <cell r="ET81">
            <v>494</v>
          </cell>
          <cell r="EU81">
            <v>547</v>
          </cell>
          <cell r="EV81">
            <v>495</v>
          </cell>
          <cell r="EW81">
            <v>634</v>
          </cell>
          <cell r="EX81">
            <v>11172</v>
          </cell>
          <cell r="EY81">
            <v>5168</v>
          </cell>
          <cell r="EZ81">
            <v>6004</v>
          </cell>
          <cell r="FA81">
            <v>2868</v>
          </cell>
          <cell r="FB81">
            <v>238481</v>
          </cell>
          <cell r="FC81">
            <v>194035</v>
          </cell>
          <cell r="FD81">
            <v>21958</v>
          </cell>
          <cell r="FE81">
            <v>5604</v>
          </cell>
          <cell r="FF81">
            <v>671</v>
          </cell>
          <cell r="FG81">
            <v>8823</v>
          </cell>
          <cell r="FH81">
            <v>984</v>
          </cell>
          <cell r="FI81">
            <v>4293</v>
          </cell>
          <cell r="FJ81">
            <v>1583</v>
          </cell>
          <cell r="FK81">
            <v>97957</v>
          </cell>
          <cell r="FL81">
            <v>19579</v>
          </cell>
          <cell r="FM81">
            <v>9275</v>
          </cell>
          <cell r="FN81">
            <v>12085</v>
          </cell>
          <cell r="FO81">
            <v>9047</v>
          </cell>
          <cell r="FP81">
            <v>9827</v>
          </cell>
          <cell r="FQ81">
            <v>1347</v>
          </cell>
          <cell r="FR81">
            <v>16150</v>
          </cell>
          <cell r="FS81">
            <v>984</v>
          </cell>
          <cell r="FT81">
            <v>14402</v>
          </cell>
          <cell r="FU81">
            <v>5261</v>
          </cell>
          <cell r="FV81">
            <v>54064</v>
          </cell>
          <cell r="FW81">
            <v>19579</v>
          </cell>
          <cell r="FX81">
            <v>9275</v>
          </cell>
          <cell r="FY81">
            <v>9047</v>
          </cell>
          <cell r="FZ81">
            <v>1235</v>
          </cell>
          <cell r="GA81">
            <v>676</v>
          </cell>
          <cell r="GB81">
            <v>6210</v>
          </cell>
          <cell r="GC81">
            <v>4701</v>
          </cell>
          <cell r="GD81">
            <v>3341</v>
          </cell>
          <cell r="GE81">
            <v>3152</v>
          </cell>
          <cell r="GF81">
            <v>-6330</v>
          </cell>
          <cell r="GG81">
            <v>9482</v>
          </cell>
          <cell r="GH81">
            <v>137372</v>
          </cell>
          <cell r="GI81">
            <v>177</v>
          </cell>
          <cell r="GJ81">
            <v>56412</v>
          </cell>
          <cell r="GK81">
            <v>724</v>
          </cell>
          <cell r="GL81">
            <v>2463</v>
          </cell>
          <cell r="GM81">
            <v>14107</v>
          </cell>
          <cell r="GN81">
            <v>4435</v>
          </cell>
          <cell r="GO81">
            <v>9499</v>
          </cell>
          <cell r="GP81">
            <v>3299</v>
          </cell>
          <cell r="GQ81">
            <v>22607</v>
          </cell>
          <cell r="GR81">
            <v>23649</v>
          </cell>
          <cell r="GS81">
            <v>21935</v>
          </cell>
          <cell r="GT81">
            <v>12085</v>
          </cell>
          <cell r="GU81">
            <v>2988</v>
          </cell>
          <cell r="GV81">
            <v>1117</v>
          </cell>
          <cell r="GW81">
            <v>5408</v>
          </cell>
          <cell r="GX81">
            <v>337</v>
          </cell>
        </row>
        <row r="82">
          <cell r="A82" t="str">
            <v>2009 Q2</v>
          </cell>
          <cell r="B82">
            <v>235855</v>
          </cell>
          <cell r="C82">
            <v>20339</v>
          </cell>
          <cell r="D82">
            <v>18054</v>
          </cell>
          <cell r="E82">
            <v>3469</v>
          </cell>
          <cell r="F82">
            <v>3795</v>
          </cell>
          <cell r="G82">
            <v>740</v>
          </cell>
          <cell r="H82">
            <v>2469</v>
          </cell>
          <cell r="I82">
            <v>544</v>
          </cell>
          <cell r="J82">
            <v>1796</v>
          </cell>
          <cell r="K82">
            <v>2714</v>
          </cell>
          <cell r="L82">
            <v>1699</v>
          </cell>
          <cell r="M82">
            <v>828</v>
          </cell>
          <cell r="N82">
            <v>2285</v>
          </cell>
          <cell r="O82">
            <v>397</v>
          </cell>
          <cell r="P82">
            <v>1888</v>
          </cell>
          <cell r="Q82">
            <v>9585</v>
          </cell>
          <cell r="R82">
            <v>3543</v>
          </cell>
          <cell r="S82">
            <v>882</v>
          </cell>
          <cell r="T82">
            <v>1638</v>
          </cell>
          <cell r="U82">
            <v>1023</v>
          </cell>
          <cell r="V82">
            <v>4251</v>
          </cell>
          <cell r="W82">
            <v>1791</v>
          </cell>
          <cell r="X82">
            <v>12102</v>
          </cell>
          <cell r="Y82">
            <v>10208</v>
          </cell>
          <cell r="Z82">
            <v>113</v>
          </cell>
          <cell r="AA82">
            <v>9287</v>
          </cell>
          <cell r="AB82">
            <v>661</v>
          </cell>
          <cell r="AC82">
            <v>147</v>
          </cell>
          <cell r="AD82">
            <v>1894</v>
          </cell>
          <cell r="AE82">
            <v>1871</v>
          </cell>
          <cell r="AF82">
            <v>23</v>
          </cell>
          <cell r="AG82">
            <v>64353</v>
          </cell>
          <cell r="AH82">
            <v>13077</v>
          </cell>
          <cell r="AI82">
            <v>13041</v>
          </cell>
          <cell r="AJ82">
            <v>36</v>
          </cell>
          <cell r="AK82">
            <v>41905</v>
          </cell>
          <cell r="AL82">
            <v>40196</v>
          </cell>
          <cell r="AM82">
            <v>1709</v>
          </cell>
          <cell r="AN82">
            <v>455</v>
          </cell>
          <cell r="AO82">
            <v>139</v>
          </cell>
          <cell r="AP82">
            <v>316</v>
          </cell>
          <cell r="AQ82">
            <v>1985</v>
          </cell>
          <cell r="AR82">
            <v>1008</v>
          </cell>
          <cell r="AS82">
            <v>35</v>
          </cell>
          <cell r="AT82">
            <v>942</v>
          </cell>
          <cell r="AU82">
            <v>0</v>
          </cell>
          <cell r="AV82">
            <v>6931</v>
          </cell>
          <cell r="AW82">
            <v>3449</v>
          </cell>
          <cell r="AX82">
            <v>3115</v>
          </cell>
          <cell r="AY82">
            <v>281</v>
          </cell>
          <cell r="AZ82">
            <v>86</v>
          </cell>
          <cell r="BA82">
            <v>0</v>
          </cell>
          <cell r="BB82">
            <v>10582</v>
          </cell>
          <cell r="BC82">
            <v>4365</v>
          </cell>
          <cell r="BD82">
            <v>3631</v>
          </cell>
          <cell r="BE82">
            <v>721</v>
          </cell>
          <cell r="BF82">
            <v>13</v>
          </cell>
          <cell r="BG82">
            <v>1149</v>
          </cell>
          <cell r="BH82">
            <v>1480</v>
          </cell>
          <cell r="BI82">
            <v>1149</v>
          </cell>
          <cell r="BJ82">
            <v>276</v>
          </cell>
          <cell r="BK82">
            <v>55</v>
          </cell>
          <cell r="BL82">
            <v>814</v>
          </cell>
          <cell r="BM82">
            <v>847</v>
          </cell>
          <cell r="BN82">
            <v>79</v>
          </cell>
          <cell r="BO82">
            <v>768</v>
          </cell>
          <cell r="BP82">
            <v>1927</v>
          </cell>
          <cell r="BQ82">
            <v>1269</v>
          </cell>
          <cell r="BR82">
            <v>658</v>
          </cell>
          <cell r="BS82">
            <v>3849</v>
          </cell>
          <cell r="BT82">
            <v>1355</v>
          </cell>
          <cell r="BU82">
            <v>602</v>
          </cell>
          <cell r="BV82">
            <v>77</v>
          </cell>
          <cell r="BW82">
            <v>676</v>
          </cell>
          <cell r="BX82">
            <v>1310</v>
          </cell>
          <cell r="BY82">
            <v>733</v>
          </cell>
          <cell r="BZ82">
            <v>413</v>
          </cell>
          <cell r="CA82">
            <v>164</v>
          </cell>
          <cell r="CB82">
            <v>1184</v>
          </cell>
          <cell r="CC82">
            <v>31639</v>
          </cell>
          <cell r="CD82">
            <v>9729</v>
          </cell>
          <cell r="CE82">
            <v>9236</v>
          </cell>
          <cell r="CF82">
            <v>273</v>
          </cell>
          <cell r="CG82">
            <v>220</v>
          </cell>
          <cell r="CH82">
            <v>13356</v>
          </cell>
          <cell r="CI82">
            <v>1152</v>
          </cell>
          <cell r="CJ82">
            <v>6664</v>
          </cell>
          <cell r="CK82">
            <v>4056</v>
          </cell>
          <cell r="CL82">
            <v>1484</v>
          </cell>
          <cell r="CM82">
            <v>8554</v>
          </cell>
          <cell r="CN82">
            <v>1579</v>
          </cell>
          <cell r="CO82">
            <v>1718</v>
          </cell>
          <cell r="CP82">
            <v>3736</v>
          </cell>
          <cell r="CQ82">
            <v>1087</v>
          </cell>
          <cell r="CR82">
            <v>434</v>
          </cell>
          <cell r="CS82">
            <v>5582</v>
          </cell>
          <cell r="CT82">
            <v>165</v>
          </cell>
          <cell r="CU82">
            <v>971</v>
          </cell>
          <cell r="CV82">
            <v>4446</v>
          </cell>
          <cell r="CW82">
            <v>23599</v>
          </cell>
          <cell r="CX82">
            <v>4154</v>
          </cell>
          <cell r="CY82">
            <v>1430</v>
          </cell>
          <cell r="CZ82">
            <v>387</v>
          </cell>
          <cell r="DA82">
            <v>1056</v>
          </cell>
          <cell r="DB82">
            <v>1233</v>
          </cell>
          <cell r="DC82">
            <v>48</v>
          </cell>
          <cell r="DD82">
            <v>1923</v>
          </cell>
          <cell r="DE82">
            <v>1438</v>
          </cell>
          <cell r="DF82">
            <v>43</v>
          </cell>
          <cell r="DG82">
            <v>442</v>
          </cell>
          <cell r="DH82">
            <v>5798</v>
          </cell>
          <cell r="DI82">
            <v>2345</v>
          </cell>
          <cell r="DJ82">
            <v>1032</v>
          </cell>
          <cell r="DK82">
            <v>986</v>
          </cell>
          <cell r="DL82">
            <v>986</v>
          </cell>
          <cell r="DM82">
            <v>449</v>
          </cell>
          <cell r="DN82">
            <v>8337</v>
          </cell>
          <cell r="DO82">
            <v>1992</v>
          </cell>
          <cell r="DP82">
            <v>4055</v>
          </cell>
          <cell r="DQ82">
            <v>2290</v>
          </cell>
          <cell r="DR82">
            <v>3387</v>
          </cell>
          <cell r="DS82">
            <v>799</v>
          </cell>
          <cell r="DT82">
            <v>1270</v>
          </cell>
          <cell r="DU82">
            <v>823</v>
          </cell>
          <cell r="DV82">
            <v>495</v>
          </cell>
          <cell r="DW82">
            <v>0</v>
          </cell>
          <cell r="DX82">
            <v>3385</v>
          </cell>
          <cell r="DY82">
            <v>22633</v>
          </cell>
          <cell r="DZ82">
            <v>18473</v>
          </cell>
          <cell r="EA82">
            <v>17227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1246</v>
          </cell>
          <cell r="EG82">
            <v>4160</v>
          </cell>
          <cell r="EH82">
            <v>28207</v>
          </cell>
          <cell r="EI82">
            <v>4963</v>
          </cell>
          <cell r="EJ82">
            <v>1475</v>
          </cell>
          <cell r="EK82">
            <v>76</v>
          </cell>
          <cell r="EL82">
            <v>3412</v>
          </cell>
          <cell r="EM82">
            <v>1052</v>
          </cell>
          <cell r="EN82">
            <v>1821</v>
          </cell>
          <cell r="EO82">
            <v>1537</v>
          </cell>
          <cell r="EP82">
            <v>284</v>
          </cell>
          <cell r="EQ82">
            <v>2400</v>
          </cell>
          <cell r="ER82">
            <v>4815</v>
          </cell>
          <cell r="ES82">
            <v>2533</v>
          </cell>
          <cell r="ET82">
            <v>495</v>
          </cell>
          <cell r="EU82">
            <v>633</v>
          </cell>
          <cell r="EV82">
            <v>534</v>
          </cell>
          <cell r="EW82">
            <v>620</v>
          </cell>
          <cell r="EX82">
            <v>10182</v>
          </cell>
          <cell r="EY82">
            <v>4463</v>
          </cell>
          <cell r="EZ82">
            <v>5719</v>
          </cell>
          <cell r="FA82">
            <v>2974</v>
          </cell>
          <cell r="FB82">
            <v>238580</v>
          </cell>
          <cell r="FC82">
            <v>192136</v>
          </cell>
          <cell r="FD82">
            <v>22847</v>
          </cell>
          <cell r="FE82">
            <v>5580</v>
          </cell>
          <cell r="FF82">
            <v>676</v>
          </cell>
          <cell r="FG82">
            <v>9729</v>
          </cell>
          <cell r="FH82">
            <v>971</v>
          </cell>
          <cell r="FI82">
            <v>4354</v>
          </cell>
          <cell r="FJ82">
            <v>1537</v>
          </cell>
          <cell r="FK82">
            <v>99293</v>
          </cell>
          <cell r="FL82">
            <v>20339</v>
          </cell>
          <cell r="FM82">
            <v>9585</v>
          </cell>
          <cell r="FN82">
            <v>11932</v>
          </cell>
          <cell r="FO82">
            <v>8078</v>
          </cell>
          <cell r="FP82">
            <v>9856</v>
          </cell>
          <cell r="FQ82">
            <v>1355</v>
          </cell>
          <cell r="FR82">
            <v>17545</v>
          </cell>
          <cell r="FS82">
            <v>971</v>
          </cell>
          <cell r="FT82">
            <v>14323</v>
          </cell>
          <cell r="FU82">
            <v>5309</v>
          </cell>
          <cell r="FV82">
            <v>54586</v>
          </cell>
          <cell r="FW82">
            <v>20339</v>
          </cell>
          <cell r="FX82">
            <v>9585</v>
          </cell>
          <cell r="FY82">
            <v>8078</v>
          </cell>
          <cell r="FZ82">
            <v>1269</v>
          </cell>
          <cell r="GA82">
            <v>679</v>
          </cell>
          <cell r="GB82">
            <v>6664</v>
          </cell>
          <cell r="GC82">
            <v>4560</v>
          </cell>
          <cell r="GD82">
            <v>3412</v>
          </cell>
          <cell r="GE82">
            <v>2725</v>
          </cell>
          <cell r="GF82">
            <v>-6384</v>
          </cell>
          <cell r="GG82">
            <v>9109</v>
          </cell>
          <cell r="GH82">
            <v>136562</v>
          </cell>
          <cell r="GI82">
            <v>170</v>
          </cell>
          <cell r="GJ82">
            <v>56275</v>
          </cell>
          <cell r="GK82">
            <v>726</v>
          </cell>
          <cell r="GL82">
            <v>2494</v>
          </cell>
          <cell r="GM82">
            <v>14094</v>
          </cell>
          <cell r="GN82">
            <v>4611</v>
          </cell>
          <cell r="GO82">
            <v>9276</v>
          </cell>
          <cell r="GP82">
            <v>3385</v>
          </cell>
          <cell r="GQ82">
            <v>22633</v>
          </cell>
          <cell r="GR82">
            <v>22898</v>
          </cell>
          <cell r="GS82">
            <v>21860</v>
          </cell>
          <cell r="GT82">
            <v>11932</v>
          </cell>
          <cell r="GU82">
            <v>3007</v>
          </cell>
          <cell r="GV82">
            <v>1152</v>
          </cell>
          <cell r="GW82">
            <v>5409</v>
          </cell>
          <cell r="GX82">
            <v>360</v>
          </cell>
        </row>
        <row r="83">
          <cell r="A83" t="str">
            <v>2009 Q3</v>
          </cell>
          <cell r="B83">
            <v>236848</v>
          </cell>
          <cell r="C83">
            <v>20060</v>
          </cell>
          <cell r="D83">
            <v>17855</v>
          </cell>
          <cell r="E83">
            <v>3524</v>
          </cell>
          <cell r="F83">
            <v>3803</v>
          </cell>
          <cell r="G83">
            <v>769</v>
          </cell>
          <cell r="H83">
            <v>2465</v>
          </cell>
          <cell r="I83">
            <v>520</v>
          </cell>
          <cell r="J83">
            <v>1606</v>
          </cell>
          <cell r="K83">
            <v>2623</v>
          </cell>
          <cell r="L83">
            <v>1685</v>
          </cell>
          <cell r="M83">
            <v>860</v>
          </cell>
          <cell r="N83">
            <v>2205</v>
          </cell>
          <cell r="O83">
            <v>402</v>
          </cell>
          <cell r="P83">
            <v>1803</v>
          </cell>
          <cell r="Q83">
            <v>9622</v>
          </cell>
          <cell r="R83">
            <v>3621</v>
          </cell>
          <cell r="S83">
            <v>892</v>
          </cell>
          <cell r="T83">
            <v>1631</v>
          </cell>
          <cell r="U83">
            <v>1098</v>
          </cell>
          <cell r="V83">
            <v>4278</v>
          </cell>
          <cell r="W83">
            <v>1723</v>
          </cell>
          <cell r="X83">
            <v>12050</v>
          </cell>
          <cell r="Y83">
            <v>10222</v>
          </cell>
          <cell r="Z83">
            <v>107</v>
          </cell>
          <cell r="AA83">
            <v>9296</v>
          </cell>
          <cell r="AB83">
            <v>678</v>
          </cell>
          <cell r="AC83">
            <v>141</v>
          </cell>
          <cell r="AD83">
            <v>1828</v>
          </cell>
          <cell r="AE83">
            <v>1805</v>
          </cell>
          <cell r="AF83">
            <v>23</v>
          </cell>
          <cell r="AG83">
            <v>64498</v>
          </cell>
          <cell r="AH83">
            <v>13177</v>
          </cell>
          <cell r="AI83">
            <v>13140</v>
          </cell>
          <cell r="AJ83">
            <v>37</v>
          </cell>
          <cell r="AK83">
            <v>41768</v>
          </cell>
          <cell r="AL83">
            <v>40006</v>
          </cell>
          <cell r="AM83">
            <v>1762</v>
          </cell>
          <cell r="AN83">
            <v>556</v>
          </cell>
          <cell r="AO83">
            <v>189</v>
          </cell>
          <cell r="AP83">
            <v>367</v>
          </cell>
          <cell r="AQ83">
            <v>2011</v>
          </cell>
          <cell r="AR83">
            <v>1017</v>
          </cell>
          <cell r="AS83">
            <v>36</v>
          </cell>
          <cell r="AT83">
            <v>958</v>
          </cell>
          <cell r="AU83">
            <v>0</v>
          </cell>
          <cell r="AV83">
            <v>6986</v>
          </cell>
          <cell r="AW83">
            <v>3429</v>
          </cell>
          <cell r="AX83">
            <v>3201</v>
          </cell>
          <cell r="AY83">
            <v>277</v>
          </cell>
          <cell r="AZ83">
            <v>79</v>
          </cell>
          <cell r="BA83">
            <v>0</v>
          </cell>
          <cell r="BB83">
            <v>10818</v>
          </cell>
          <cell r="BC83">
            <v>4619</v>
          </cell>
          <cell r="BD83">
            <v>3798</v>
          </cell>
          <cell r="BE83">
            <v>804</v>
          </cell>
          <cell r="BF83">
            <v>17</v>
          </cell>
          <cell r="BG83">
            <v>1215</v>
          </cell>
          <cell r="BH83">
            <v>1436</v>
          </cell>
          <cell r="BI83">
            <v>1215</v>
          </cell>
          <cell r="BJ83">
            <v>163</v>
          </cell>
          <cell r="BK83">
            <v>58</v>
          </cell>
          <cell r="BL83">
            <v>812</v>
          </cell>
          <cell r="BM83">
            <v>868</v>
          </cell>
          <cell r="BN83">
            <v>68</v>
          </cell>
          <cell r="BO83">
            <v>800</v>
          </cell>
          <cell r="BP83">
            <v>1868</v>
          </cell>
          <cell r="BQ83">
            <v>1245</v>
          </cell>
          <cell r="BR83">
            <v>623</v>
          </cell>
          <cell r="BS83">
            <v>3858</v>
          </cell>
          <cell r="BT83">
            <v>1307</v>
          </cell>
          <cell r="BU83">
            <v>635</v>
          </cell>
          <cell r="BV83">
            <v>63</v>
          </cell>
          <cell r="BW83">
            <v>609</v>
          </cell>
          <cell r="BX83">
            <v>1323</v>
          </cell>
          <cell r="BY83">
            <v>718</v>
          </cell>
          <cell r="BZ83">
            <v>435</v>
          </cell>
          <cell r="CA83">
            <v>170</v>
          </cell>
          <cell r="CB83">
            <v>1228</v>
          </cell>
          <cell r="CC83">
            <v>32403</v>
          </cell>
          <cell r="CD83">
            <v>10323</v>
          </cell>
          <cell r="CE83">
            <v>9823</v>
          </cell>
          <cell r="CF83">
            <v>267</v>
          </cell>
          <cell r="CG83">
            <v>233</v>
          </cell>
          <cell r="CH83">
            <v>13756</v>
          </cell>
          <cell r="CI83">
            <v>1209</v>
          </cell>
          <cell r="CJ83">
            <v>7021</v>
          </cell>
          <cell r="CK83">
            <v>4020</v>
          </cell>
          <cell r="CL83">
            <v>1506</v>
          </cell>
          <cell r="CM83">
            <v>8324</v>
          </cell>
          <cell r="CN83">
            <v>1601</v>
          </cell>
          <cell r="CO83">
            <v>1677</v>
          </cell>
          <cell r="CP83">
            <v>3522</v>
          </cell>
          <cell r="CQ83">
            <v>1110</v>
          </cell>
          <cell r="CR83">
            <v>414</v>
          </cell>
          <cell r="CS83">
            <v>5572</v>
          </cell>
          <cell r="CT83">
            <v>173</v>
          </cell>
          <cell r="CU83">
            <v>1015</v>
          </cell>
          <cell r="CV83">
            <v>4384</v>
          </cell>
          <cell r="CW83">
            <v>23854</v>
          </cell>
          <cell r="CX83">
            <v>4281</v>
          </cell>
          <cell r="CY83">
            <v>1497</v>
          </cell>
          <cell r="CZ83">
            <v>383</v>
          </cell>
          <cell r="DA83">
            <v>1123</v>
          </cell>
          <cell r="DB83">
            <v>1216</v>
          </cell>
          <cell r="DC83">
            <v>62</v>
          </cell>
          <cell r="DD83">
            <v>2007</v>
          </cell>
          <cell r="DE83">
            <v>1436</v>
          </cell>
          <cell r="DF83">
            <v>130</v>
          </cell>
          <cell r="DG83">
            <v>441</v>
          </cell>
          <cell r="DH83">
            <v>5757</v>
          </cell>
          <cell r="DI83">
            <v>2346</v>
          </cell>
          <cell r="DJ83">
            <v>928</v>
          </cell>
          <cell r="DK83">
            <v>1029</v>
          </cell>
          <cell r="DL83">
            <v>1008</v>
          </cell>
          <cell r="DM83">
            <v>446</v>
          </cell>
          <cell r="DN83">
            <v>8417</v>
          </cell>
          <cell r="DO83">
            <v>1965</v>
          </cell>
          <cell r="DP83">
            <v>4164</v>
          </cell>
          <cell r="DQ83">
            <v>2288</v>
          </cell>
          <cell r="DR83">
            <v>3392</v>
          </cell>
          <cell r="DS83">
            <v>790</v>
          </cell>
          <cell r="DT83">
            <v>1252</v>
          </cell>
          <cell r="DU83">
            <v>752</v>
          </cell>
          <cell r="DV83">
            <v>598</v>
          </cell>
          <cell r="DW83">
            <v>0</v>
          </cell>
          <cell r="DX83">
            <v>3467</v>
          </cell>
          <cell r="DY83">
            <v>22839</v>
          </cell>
          <cell r="DZ83">
            <v>18719</v>
          </cell>
          <cell r="EA83">
            <v>17443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1276</v>
          </cell>
          <cell r="EG83">
            <v>4120</v>
          </cell>
          <cell r="EH83">
            <v>27807</v>
          </cell>
          <cell r="EI83">
            <v>5002</v>
          </cell>
          <cell r="EJ83">
            <v>1444</v>
          </cell>
          <cell r="EK83">
            <v>83</v>
          </cell>
          <cell r="EL83">
            <v>3475</v>
          </cell>
          <cell r="EM83">
            <v>1060</v>
          </cell>
          <cell r="EN83">
            <v>1737</v>
          </cell>
          <cell r="EO83">
            <v>1436</v>
          </cell>
          <cell r="EP83">
            <v>301</v>
          </cell>
          <cell r="EQ83">
            <v>2432</v>
          </cell>
          <cell r="ER83">
            <v>4985</v>
          </cell>
          <cell r="ES83">
            <v>2585</v>
          </cell>
          <cell r="ET83">
            <v>517</v>
          </cell>
          <cell r="EU83">
            <v>666</v>
          </cell>
          <cell r="EV83">
            <v>583</v>
          </cell>
          <cell r="EW83">
            <v>634</v>
          </cell>
          <cell r="EX83">
            <v>9613</v>
          </cell>
          <cell r="EY83">
            <v>3912</v>
          </cell>
          <cell r="EZ83">
            <v>5701</v>
          </cell>
          <cell r="FA83">
            <v>2978</v>
          </cell>
          <cell r="FB83">
            <v>239629</v>
          </cell>
          <cell r="FC83">
            <v>194791</v>
          </cell>
          <cell r="FD83">
            <v>23837</v>
          </cell>
          <cell r="FE83">
            <v>5885</v>
          </cell>
          <cell r="FF83">
            <v>609</v>
          </cell>
          <cell r="FG83">
            <v>10323</v>
          </cell>
          <cell r="FH83">
            <v>1015</v>
          </cell>
          <cell r="FI83">
            <v>4569</v>
          </cell>
          <cell r="FJ83">
            <v>1436</v>
          </cell>
          <cell r="FK83">
            <v>100538</v>
          </cell>
          <cell r="FL83">
            <v>20060</v>
          </cell>
          <cell r="FM83">
            <v>9622</v>
          </cell>
          <cell r="FN83">
            <v>11886</v>
          </cell>
          <cell r="FO83">
            <v>8192</v>
          </cell>
          <cell r="FP83">
            <v>10120</v>
          </cell>
          <cell r="FQ83">
            <v>1307</v>
          </cell>
          <cell r="FR83">
            <v>18553</v>
          </cell>
          <cell r="FS83">
            <v>1015</v>
          </cell>
          <cell r="FT83">
            <v>14488</v>
          </cell>
          <cell r="FU83">
            <v>5295</v>
          </cell>
          <cell r="FV83">
            <v>54952</v>
          </cell>
          <cell r="FW83">
            <v>20060</v>
          </cell>
          <cell r="FX83">
            <v>9622</v>
          </cell>
          <cell r="FY83">
            <v>8192</v>
          </cell>
          <cell r="FZ83">
            <v>1245</v>
          </cell>
          <cell r="GA83">
            <v>698</v>
          </cell>
          <cell r="GB83">
            <v>7021</v>
          </cell>
          <cell r="GC83">
            <v>4639</v>
          </cell>
          <cell r="GD83">
            <v>3475</v>
          </cell>
          <cell r="GE83">
            <v>2781</v>
          </cell>
          <cell r="GF83">
            <v>-6412</v>
          </cell>
          <cell r="GG83">
            <v>9193</v>
          </cell>
          <cell r="GH83">
            <v>136310</v>
          </cell>
          <cell r="GI83">
            <v>164</v>
          </cell>
          <cell r="GJ83">
            <v>56306</v>
          </cell>
          <cell r="GK83">
            <v>698</v>
          </cell>
          <cell r="GL83">
            <v>2551</v>
          </cell>
          <cell r="GM83">
            <v>13850</v>
          </cell>
          <cell r="GN83">
            <v>4557</v>
          </cell>
          <cell r="GO83">
            <v>9366</v>
          </cell>
          <cell r="GP83">
            <v>3467</v>
          </cell>
          <cell r="GQ83">
            <v>22839</v>
          </cell>
          <cell r="GR83">
            <v>22512</v>
          </cell>
          <cell r="GS83">
            <v>21749</v>
          </cell>
          <cell r="GT83">
            <v>11886</v>
          </cell>
          <cell r="GU83">
            <v>2990</v>
          </cell>
          <cell r="GV83">
            <v>1209</v>
          </cell>
          <cell r="GW83">
            <v>5280</v>
          </cell>
          <cell r="GX83">
            <v>384</v>
          </cell>
        </row>
        <row r="84">
          <cell r="A84" t="str">
            <v>2009 Q4</v>
          </cell>
          <cell r="B84">
            <v>237610</v>
          </cell>
          <cell r="C84">
            <v>20092</v>
          </cell>
          <cell r="D84">
            <v>17835</v>
          </cell>
          <cell r="E84">
            <v>3553</v>
          </cell>
          <cell r="F84">
            <v>3799</v>
          </cell>
          <cell r="G84">
            <v>747</v>
          </cell>
          <cell r="H84">
            <v>2466</v>
          </cell>
          <cell r="I84">
            <v>507</v>
          </cell>
          <cell r="J84">
            <v>1629</v>
          </cell>
          <cell r="K84">
            <v>2545</v>
          </cell>
          <cell r="L84">
            <v>1701</v>
          </cell>
          <cell r="M84">
            <v>888</v>
          </cell>
          <cell r="N84">
            <v>2257</v>
          </cell>
          <cell r="O84">
            <v>404</v>
          </cell>
          <cell r="P84">
            <v>1853</v>
          </cell>
          <cell r="Q84">
            <v>9513</v>
          </cell>
          <cell r="R84">
            <v>3720</v>
          </cell>
          <cell r="S84">
            <v>920</v>
          </cell>
          <cell r="T84">
            <v>1807</v>
          </cell>
          <cell r="U84">
            <v>993</v>
          </cell>
          <cell r="V84">
            <v>4252</v>
          </cell>
          <cell r="W84">
            <v>1541</v>
          </cell>
          <cell r="X84">
            <v>11943</v>
          </cell>
          <cell r="Y84">
            <v>10141</v>
          </cell>
          <cell r="Z84">
            <v>84</v>
          </cell>
          <cell r="AA84">
            <v>9283</v>
          </cell>
          <cell r="AB84">
            <v>639</v>
          </cell>
          <cell r="AC84">
            <v>135</v>
          </cell>
          <cell r="AD84">
            <v>1802</v>
          </cell>
          <cell r="AE84">
            <v>1775</v>
          </cell>
          <cell r="AF84">
            <v>27</v>
          </cell>
          <cell r="AG84">
            <v>64643</v>
          </cell>
          <cell r="AH84">
            <v>13293</v>
          </cell>
          <cell r="AI84">
            <v>13255</v>
          </cell>
          <cell r="AJ84">
            <v>38</v>
          </cell>
          <cell r="AK84">
            <v>41813</v>
          </cell>
          <cell r="AL84">
            <v>39999</v>
          </cell>
          <cell r="AM84">
            <v>1814</v>
          </cell>
          <cell r="AN84">
            <v>616</v>
          </cell>
          <cell r="AO84">
            <v>210</v>
          </cell>
          <cell r="AP84">
            <v>406</v>
          </cell>
          <cell r="AQ84">
            <v>2026</v>
          </cell>
          <cell r="AR84">
            <v>1020</v>
          </cell>
          <cell r="AS84">
            <v>42</v>
          </cell>
          <cell r="AT84">
            <v>964</v>
          </cell>
          <cell r="AU84">
            <v>0</v>
          </cell>
          <cell r="AV84">
            <v>6895</v>
          </cell>
          <cell r="AW84">
            <v>3293</v>
          </cell>
          <cell r="AX84">
            <v>3195</v>
          </cell>
          <cell r="AY84">
            <v>331</v>
          </cell>
          <cell r="AZ84">
            <v>76</v>
          </cell>
          <cell r="BA84">
            <v>0</v>
          </cell>
          <cell r="BB84">
            <v>11098</v>
          </cell>
          <cell r="BC84">
            <v>4758</v>
          </cell>
          <cell r="BD84">
            <v>3929</v>
          </cell>
          <cell r="BE84">
            <v>811</v>
          </cell>
          <cell r="BF84">
            <v>18</v>
          </cell>
          <cell r="BG84">
            <v>1255</v>
          </cell>
          <cell r="BH84">
            <v>1429</v>
          </cell>
          <cell r="BI84">
            <v>1177</v>
          </cell>
          <cell r="BJ84">
            <v>196</v>
          </cell>
          <cell r="BK84">
            <v>56</v>
          </cell>
          <cell r="BL84">
            <v>835</v>
          </cell>
          <cell r="BM84">
            <v>903</v>
          </cell>
          <cell r="BN84">
            <v>85</v>
          </cell>
          <cell r="BO84">
            <v>818</v>
          </cell>
          <cell r="BP84">
            <v>1918</v>
          </cell>
          <cell r="BQ84">
            <v>1256</v>
          </cell>
          <cell r="BR84">
            <v>662</v>
          </cell>
          <cell r="BS84">
            <v>3944</v>
          </cell>
          <cell r="BT84">
            <v>1342</v>
          </cell>
          <cell r="BU84">
            <v>686</v>
          </cell>
          <cell r="BV84">
            <v>63</v>
          </cell>
          <cell r="BW84">
            <v>593</v>
          </cell>
          <cell r="BX84">
            <v>1358</v>
          </cell>
          <cell r="BY84">
            <v>710</v>
          </cell>
          <cell r="BZ84">
            <v>486</v>
          </cell>
          <cell r="CA84">
            <v>162</v>
          </cell>
          <cell r="CB84">
            <v>1244</v>
          </cell>
          <cell r="CC84">
            <v>33645</v>
          </cell>
          <cell r="CD84">
            <v>11022</v>
          </cell>
          <cell r="CE84">
            <v>10509</v>
          </cell>
          <cell r="CF84">
            <v>264</v>
          </cell>
          <cell r="CG84">
            <v>249</v>
          </cell>
          <cell r="CH84">
            <v>14114</v>
          </cell>
          <cell r="CI84">
            <v>1320</v>
          </cell>
          <cell r="CJ84">
            <v>7162</v>
          </cell>
          <cell r="CK84">
            <v>4052</v>
          </cell>
          <cell r="CL84">
            <v>1580</v>
          </cell>
          <cell r="CM84">
            <v>8509</v>
          </cell>
          <cell r="CN84">
            <v>1643</v>
          </cell>
          <cell r="CO84">
            <v>1675</v>
          </cell>
          <cell r="CP84">
            <v>3578</v>
          </cell>
          <cell r="CQ84">
            <v>1183</v>
          </cell>
          <cell r="CR84">
            <v>430</v>
          </cell>
          <cell r="CS84">
            <v>5429</v>
          </cell>
          <cell r="CT84">
            <v>166</v>
          </cell>
          <cell r="CU84">
            <v>922</v>
          </cell>
          <cell r="CV84">
            <v>4341</v>
          </cell>
          <cell r="CW84">
            <v>23860</v>
          </cell>
          <cell r="CX84">
            <v>4433</v>
          </cell>
          <cell r="CY84">
            <v>1571</v>
          </cell>
          <cell r="CZ84">
            <v>389</v>
          </cell>
          <cell r="DA84">
            <v>1177</v>
          </cell>
          <cell r="DB84">
            <v>1226</v>
          </cell>
          <cell r="DC84">
            <v>70</v>
          </cell>
          <cell r="DD84">
            <v>2050</v>
          </cell>
          <cell r="DE84">
            <v>1454</v>
          </cell>
          <cell r="DF84">
            <v>158</v>
          </cell>
          <cell r="DG84">
            <v>438</v>
          </cell>
          <cell r="DH84">
            <v>5750</v>
          </cell>
          <cell r="DI84">
            <v>2310</v>
          </cell>
          <cell r="DJ84">
            <v>881</v>
          </cell>
          <cell r="DK84">
            <v>1029</v>
          </cell>
          <cell r="DL84">
            <v>1052</v>
          </cell>
          <cell r="DM84">
            <v>478</v>
          </cell>
          <cell r="DN84">
            <v>8208</v>
          </cell>
          <cell r="DO84">
            <v>2033</v>
          </cell>
          <cell r="DP84">
            <v>3979</v>
          </cell>
          <cell r="DQ84">
            <v>2196</v>
          </cell>
          <cell r="DR84">
            <v>3419</v>
          </cell>
          <cell r="DS84">
            <v>818</v>
          </cell>
          <cell r="DT84">
            <v>1226</v>
          </cell>
          <cell r="DU84">
            <v>819</v>
          </cell>
          <cell r="DV84">
            <v>556</v>
          </cell>
          <cell r="DW84">
            <v>0</v>
          </cell>
          <cell r="DX84">
            <v>3519</v>
          </cell>
          <cell r="DY84">
            <v>22414</v>
          </cell>
          <cell r="DZ84">
            <v>18283</v>
          </cell>
          <cell r="EA84">
            <v>16994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1289</v>
          </cell>
          <cell r="EG84">
            <v>4131</v>
          </cell>
          <cell r="EH84">
            <v>27510</v>
          </cell>
          <cell r="EI84">
            <v>5038</v>
          </cell>
          <cell r="EJ84">
            <v>1414</v>
          </cell>
          <cell r="EK84">
            <v>66</v>
          </cell>
          <cell r="EL84">
            <v>3558</v>
          </cell>
          <cell r="EM84">
            <v>1069</v>
          </cell>
          <cell r="EN84">
            <v>1771</v>
          </cell>
          <cell r="EO84">
            <v>1455</v>
          </cell>
          <cell r="EP84">
            <v>316</v>
          </cell>
          <cell r="EQ84">
            <v>2557</v>
          </cell>
          <cell r="ER84">
            <v>4717</v>
          </cell>
          <cell r="ES84">
            <v>2633</v>
          </cell>
          <cell r="ET84">
            <v>477</v>
          </cell>
          <cell r="EU84">
            <v>556</v>
          </cell>
          <cell r="EV84">
            <v>456</v>
          </cell>
          <cell r="EW84">
            <v>595</v>
          </cell>
          <cell r="EX84">
            <v>9358</v>
          </cell>
          <cell r="EY84">
            <v>3664</v>
          </cell>
          <cell r="EZ84">
            <v>5694</v>
          </cell>
          <cell r="FA84">
            <v>3000</v>
          </cell>
          <cell r="FB84">
            <v>240358</v>
          </cell>
          <cell r="FC84">
            <v>197609</v>
          </cell>
          <cell r="FD84">
            <v>24743</v>
          </cell>
          <cell r="FE84">
            <v>6002</v>
          </cell>
          <cell r="FF84">
            <v>593</v>
          </cell>
          <cell r="FG84">
            <v>11022</v>
          </cell>
          <cell r="FH84">
            <v>922</v>
          </cell>
          <cell r="FI84">
            <v>4749</v>
          </cell>
          <cell r="FJ84">
            <v>1455</v>
          </cell>
          <cell r="FK84">
            <v>101702</v>
          </cell>
          <cell r="FL84">
            <v>20092</v>
          </cell>
          <cell r="FM84">
            <v>9513</v>
          </cell>
          <cell r="FN84">
            <v>11781</v>
          </cell>
          <cell r="FO84">
            <v>8125</v>
          </cell>
          <cell r="FP84">
            <v>10362</v>
          </cell>
          <cell r="FQ84">
            <v>1342</v>
          </cell>
          <cell r="FR84">
            <v>19504</v>
          </cell>
          <cell r="FS84">
            <v>922</v>
          </cell>
          <cell r="FT84">
            <v>14666</v>
          </cell>
          <cell r="FU84">
            <v>5395</v>
          </cell>
          <cell r="FV84">
            <v>55137</v>
          </cell>
          <cell r="FW84">
            <v>20092</v>
          </cell>
          <cell r="FX84">
            <v>9513</v>
          </cell>
          <cell r="FY84">
            <v>8125</v>
          </cell>
          <cell r="FZ84">
            <v>1256</v>
          </cell>
          <cell r="GA84">
            <v>749</v>
          </cell>
          <cell r="GB84">
            <v>7162</v>
          </cell>
          <cell r="GC84">
            <v>4682</v>
          </cell>
          <cell r="GD84">
            <v>3558</v>
          </cell>
          <cell r="GE84">
            <v>2748</v>
          </cell>
          <cell r="GF84">
            <v>-6528</v>
          </cell>
          <cell r="GG84">
            <v>9276</v>
          </cell>
          <cell r="GH84">
            <v>135908</v>
          </cell>
          <cell r="GI84">
            <v>162</v>
          </cell>
          <cell r="GJ84">
            <v>56518</v>
          </cell>
          <cell r="GK84">
            <v>736</v>
          </cell>
          <cell r="GL84">
            <v>2602</v>
          </cell>
          <cell r="GM84">
            <v>14141</v>
          </cell>
          <cell r="GN84">
            <v>4507</v>
          </cell>
          <cell r="GO84">
            <v>9194</v>
          </cell>
          <cell r="GP84">
            <v>3519</v>
          </cell>
          <cell r="GQ84">
            <v>22414</v>
          </cell>
          <cell r="GR84">
            <v>22115</v>
          </cell>
          <cell r="GS84">
            <v>21822</v>
          </cell>
          <cell r="GT84">
            <v>11781</v>
          </cell>
          <cell r="GU84">
            <v>3104</v>
          </cell>
          <cell r="GV84">
            <v>1320</v>
          </cell>
          <cell r="GW84">
            <v>5235</v>
          </cell>
          <cell r="GX84">
            <v>382</v>
          </cell>
        </row>
        <row r="85">
          <cell r="A85" t="str">
            <v>2010 Q1</v>
          </cell>
          <cell r="B85">
            <v>236314</v>
          </cell>
          <cell r="C85">
            <v>19323</v>
          </cell>
          <cell r="D85">
            <v>17097</v>
          </cell>
          <cell r="E85">
            <v>3346</v>
          </cell>
          <cell r="F85">
            <v>3608</v>
          </cell>
          <cell r="G85">
            <v>771</v>
          </cell>
          <cell r="H85">
            <v>2317</v>
          </cell>
          <cell r="I85">
            <v>501</v>
          </cell>
          <cell r="J85">
            <v>1466</v>
          </cell>
          <cell r="K85">
            <v>2445</v>
          </cell>
          <cell r="L85">
            <v>1870</v>
          </cell>
          <cell r="M85">
            <v>773</v>
          </cell>
          <cell r="N85">
            <v>2226</v>
          </cell>
          <cell r="O85">
            <v>405</v>
          </cell>
          <cell r="P85">
            <v>1821</v>
          </cell>
          <cell r="Q85">
            <v>9210</v>
          </cell>
          <cell r="R85">
            <v>3578</v>
          </cell>
          <cell r="S85">
            <v>906</v>
          </cell>
          <cell r="T85">
            <v>1729</v>
          </cell>
          <cell r="U85">
            <v>943</v>
          </cell>
          <cell r="V85">
            <v>4296</v>
          </cell>
          <cell r="W85">
            <v>1336</v>
          </cell>
          <cell r="X85">
            <v>12073</v>
          </cell>
          <cell r="Y85">
            <v>10297</v>
          </cell>
          <cell r="Z85">
            <v>51</v>
          </cell>
          <cell r="AA85">
            <v>9241</v>
          </cell>
          <cell r="AB85">
            <v>871</v>
          </cell>
          <cell r="AC85">
            <v>134</v>
          </cell>
          <cell r="AD85">
            <v>1776</v>
          </cell>
          <cell r="AE85">
            <v>1749</v>
          </cell>
          <cell r="AF85">
            <v>27</v>
          </cell>
          <cell r="AG85">
            <v>65827</v>
          </cell>
          <cell r="AH85">
            <v>13495</v>
          </cell>
          <cell r="AI85">
            <v>13456</v>
          </cell>
          <cell r="AJ85">
            <v>39</v>
          </cell>
          <cell r="AK85">
            <v>42092</v>
          </cell>
          <cell r="AL85">
            <v>40211</v>
          </cell>
          <cell r="AM85">
            <v>1881</v>
          </cell>
          <cell r="AN85">
            <v>610</v>
          </cell>
          <cell r="AO85">
            <v>216</v>
          </cell>
          <cell r="AP85">
            <v>394</v>
          </cell>
          <cell r="AQ85">
            <v>2025</v>
          </cell>
          <cell r="AR85">
            <v>1021</v>
          </cell>
          <cell r="AS85">
            <v>35</v>
          </cell>
          <cell r="AT85">
            <v>969</v>
          </cell>
          <cell r="AU85">
            <v>0</v>
          </cell>
          <cell r="AV85">
            <v>7605</v>
          </cell>
          <cell r="AW85">
            <v>3327</v>
          </cell>
          <cell r="AX85">
            <v>3756</v>
          </cell>
          <cell r="AY85">
            <v>413</v>
          </cell>
          <cell r="AZ85">
            <v>109</v>
          </cell>
          <cell r="BA85">
            <v>0</v>
          </cell>
          <cell r="BB85">
            <v>11130</v>
          </cell>
          <cell r="BC85">
            <v>4458</v>
          </cell>
          <cell r="BD85">
            <v>3671</v>
          </cell>
          <cell r="BE85">
            <v>779</v>
          </cell>
          <cell r="BF85">
            <v>8</v>
          </cell>
          <cell r="BG85">
            <v>1280</v>
          </cell>
          <cell r="BH85">
            <v>1491</v>
          </cell>
          <cell r="BI85">
            <v>1228</v>
          </cell>
          <cell r="BJ85">
            <v>194</v>
          </cell>
          <cell r="BK85">
            <v>69</v>
          </cell>
          <cell r="BL85">
            <v>869</v>
          </cell>
          <cell r="BM85">
            <v>958</v>
          </cell>
          <cell r="BN85">
            <v>140</v>
          </cell>
          <cell r="BO85">
            <v>818</v>
          </cell>
          <cell r="BP85">
            <v>2074</v>
          </cell>
          <cell r="BQ85">
            <v>1262</v>
          </cell>
          <cell r="BR85">
            <v>812</v>
          </cell>
          <cell r="BS85">
            <v>4061</v>
          </cell>
          <cell r="BT85">
            <v>1462</v>
          </cell>
          <cell r="BU85">
            <v>797</v>
          </cell>
          <cell r="BV85">
            <v>62</v>
          </cell>
          <cell r="BW85">
            <v>603</v>
          </cell>
          <cell r="BX85">
            <v>1363</v>
          </cell>
          <cell r="BY85">
            <v>668</v>
          </cell>
          <cell r="BZ85">
            <v>532</v>
          </cell>
          <cell r="CA85">
            <v>163</v>
          </cell>
          <cell r="CB85">
            <v>1236</v>
          </cell>
          <cell r="CC85">
            <v>32993</v>
          </cell>
          <cell r="CD85">
            <v>10297</v>
          </cell>
          <cell r="CE85">
            <v>9781</v>
          </cell>
          <cell r="CF85">
            <v>252</v>
          </cell>
          <cell r="CG85">
            <v>264</v>
          </cell>
          <cell r="CH85">
            <v>14257</v>
          </cell>
          <cell r="CI85">
            <v>1084</v>
          </cell>
          <cell r="CJ85">
            <v>7326</v>
          </cell>
          <cell r="CK85">
            <v>4159</v>
          </cell>
          <cell r="CL85">
            <v>1688</v>
          </cell>
          <cell r="CM85">
            <v>8439</v>
          </cell>
          <cell r="CN85">
            <v>1643</v>
          </cell>
          <cell r="CO85">
            <v>1772</v>
          </cell>
          <cell r="CP85">
            <v>3507</v>
          </cell>
          <cell r="CQ85">
            <v>1014</v>
          </cell>
          <cell r="CR85">
            <v>503</v>
          </cell>
          <cell r="CS85">
            <v>5499</v>
          </cell>
          <cell r="CT85">
            <v>160</v>
          </cell>
          <cell r="CU85">
            <v>873</v>
          </cell>
          <cell r="CV85">
            <v>4466</v>
          </cell>
          <cell r="CW85">
            <v>23660</v>
          </cell>
          <cell r="CX85">
            <v>4314</v>
          </cell>
          <cell r="CY85">
            <v>1570</v>
          </cell>
          <cell r="CZ85">
            <v>386</v>
          </cell>
          <cell r="DA85">
            <v>1122</v>
          </cell>
          <cell r="DB85">
            <v>1175</v>
          </cell>
          <cell r="DC85">
            <v>61</v>
          </cell>
          <cell r="DD85">
            <v>2037</v>
          </cell>
          <cell r="DE85">
            <v>1553</v>
          </cell>
          <cell r="DF85">
            <v>48</v>
          </cell>
          <cell r="DG85">
            <v>436</v>
          </cell>
          <cell r="DH85">
            <v>5923</v>
          </cell>
          <cell r="DI85">
            <v>2254</v>
          </cell>
          <cell r="DJ85">
            <v>1121</v>
          </cell>
          <cell r="DK85">
            <v>1014</v>
          </cell>
          <cell r="DL85">
            <v>1097</v>
          </cell>
          <cell r="DM85">
            <v>437</v>
          </cell>
          <cell r="DN85">
            <v>8035</v>
          </cell>
          <cell r="DO85">
            <v>2097</v>
          </cell>
          <cell r="DP85">
            <v>3759</v>
          </cell>
          <cell r="DQ85">
            <v>2179</v>
          </cell>
          <cell r="DR85">
            <v>3351</v>
          </cell>
          <cell r="DS85">
            <v>811</v>
          </cell>
          <cell r="DT85">
            <v>1257</v>
          </cell>
          <cell r="DU85">
            <v>772</v>
          </cell>
          <cell r="DV85">
            <v>511</v>
          </cell>
          <cell r="DW85">
            <v>0</v>
          </cell>
          <cell r="DX85">
            <v>3582</v>
          </cell>
          <cell r="DY85">
            <v>21959</v>
          </cell>
          <cell r="DZ85">
            <v>18024</v>
          </cell>
          <cell r="EA85">
            <v>16806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1218</v>
          </cell>
          <cell r="EG85">
            <v>3935</v>
          </cell>
          <cell r="EH85">
            <v>26997</v>
          </cell>
          <cell r="EI85">
            <v>5072</v>
          </cell>
          <cell r="EJ85">
            <v>1493</v>
          </cell>
          <cell r="EK85">
            <v>69</v>
          </cell>
          <cell r="EL85">
            <v>3510</v>
          </cell>
          <cell r="EM85">
            <v>1079</v>
          </cell>
          <cell r="EN85">
            <v>1914</v>
          </cell>
          <cell r="EO85">
            <v>1493</v>
          </cell>
          <cell r="EP85">
            <v>421</v>
          </cell>
          <cell r="EQ85">
            <v>2684</v>
          </cell>
          <cell r="ER85">
            <v>4467</v>
          </cell>
          <cell r="ES85">
            <v>2442</v>
          </cell>
          <cell r="ET85">
            <v>448</v>
          </cell>
          <cell r="EU85">
            <v>521</v>
          </cell>
          <cell r="EV85">
            <v>480</v>
          </cell>
          <cell r="EW85">
            <v>576</v>
          </cell>
          <cell r="EX85">
            <v>8745</v>
          </cell>
          <cell r="EY85">
            <v>3110</v>
          </cell>
          <cell r="EZ85">
            <v>5635</v>
          </cell>
          <cell r="FA85">
            <v>3036</v>
          </cell>
          <cell r="FB85">
            <v>239180</v>
          </cell>
          <cell r="FC85">
            <v>200084</v>
          </cell>
          <cell r="FD85">
            <v>23763</v>
          </cell>
          <cell r="FE85">
            <v>5818</v>
          </cell>
          <cell r="FF85">
            <v>603</v>
          </cell>
          <cell r="FG85">
            <v>10297</v>
          </cell>
          <cell r="FH85">
            <v>873</v>
          </cell>
          <cell r="FI85">
            <v>4679</v>
          </cell>
          <cell r="FJ85">
            <v>1493</v>
          </cell>
          <cell r="FK85">
            <v>100754</v>
          </cell>
          <cell r="FL85">
            <v>19323</v>
          </cell>
          <cell r="FM85">
            <v>9210</v>
          </cell>
          <cell r="FN85">
            <v>11912</v>
          </cell>
          <cell r="FO85">
            <v>8842</v>
          </cell>
          <cell r="FP85">
            <v>10241</v>
          </cell>
          <cell r="FQ85">
            <v>1462</v>
          </cell>
          <cell r="FR85">
            <v>18707</v>
          </cell>
          <cell r="FS85">
            <v>873</v>
          </cell>
          <cell r="FT85">
            <v>14691</v>
          </cell>
          <cell r="FU85">
            <v>5493</v>
          </cell>
          <cell r="FV85">
            <v>54983</v>
          </cell>
          <cell r="FW85">
            <v>19323</v>
          </cell>
          <cell r="FX85">
            <v>9210</v>
          </cell>
          <cell r="FY85">
            <v>8842</v>
          </cell>
          <cell r="FZ85">
            <v>1262</v>
          </cell>
          <cell r="GA85">
            <v>859</v>
          </cell>
          <cell r="GB85">
            <v>7326</v>
          </cell>
          <cell r="GC85">
            <v>4651</v>
          </cell>
          <cell r="GD85">
            <v>3510</v>
          </cell>
          <cell r="GE85">
            <v>2866</v>
          </cell>
          <cell r="GF85">
            <v>-6493</v>
          </cell>
          <cell r="GG85">
            <v>9359</v>
          </cell>
          <cell r="GH85">
            <v>135560</v>
          </cell>
          <cell r="GI85">
            <v>161</v>
          </cell>
          <cell r="GJ85">
            <v>56985</v>
          </cell>
          <cell r="GK85">
            <v>889</v>
          </cell>
          <cell r="GL85">
            <v>2599</v>
          </cell>
          <cell r="GM85">
            <v>14286</v>
          </cell>
          <cell r="GN85">
            <v>4626</v>
          </cell>
          <cell r="GO85">
            <v>8969</v>
          </cell>
          <cell r="GP85">
            <v>3582</v>
          </cell>
          <cell r="GQ85">
            <v>21959</v>
          </cell>
          <cell r="GR85">
            <v>21504</v>
          </cell>
          <cell r="GS85">
            <v>22008</v>
          </cell>
          <cell r="GT85">
            <v>11912</v>
          </cell>
          <cell r="GU85">
            <v>3161</v>
          </cell>
          <cell r="GV85">
            <v>1084</v>
          </cell>
          <cell r="GW85">
            <v>5361</v>
          </cell>
          <cell r="GX85">
            <v>490</v>
          </cell>
        </row>
        <row r="86">
          <cell r="A86" t="str">
            <v>2010 Q2</v>
          </cell>
          <cell r="B86">
            <v>244320</v>
          </cell>
          <cell r="C86">
            <v>20870</v>
          </cell>
          <cell r="D86">
            <v>18550</v>
          </cell>
          <cell r="E86">
            <v>3645</v>
          </cell>
          <cell r="F86">
            <v>3699</v>
          </cell>
          <cell r="G86">
            <v>852</v>
          </cell>
          <cell r="H86">
            <v>2529</v>
          </cell>
          <cell r="I86">
            <v>517</v>
          </cell>
          <cell r="J86">
            <v>1720</v>
          </cell>
          <cell r="K86">
            <v>2856</v>
          </cell>
          <cell r="L86">
            <v>1853</v>
          </cell>
          <cell r="M86">
            <v>879</v>
          </cell>
          <cell r="N86">
            <v>2320</v>
          </cell>
          <cell r="O86">
            <v>413</v>
          </cell>
          <cell r="P86">
            <v>1907</v>
          </cell>
          <cell r="Q86">
            <v>9329</v>
          </cell>
          <cell r="R86">
            <v>3708</v>
          </cell>
          <cell r="S86">
            <v>935</v>
          </cell>
          <cell r="T86">
            <v>1788</v>
          </cell>
          <cell r="U86">
            <v>985</v>
          </cell>
          <cell r="V86">
            <v>4420</v>
          </cell>
          <cell r="W86">
            <v>1201</v>
          </cell>
          <cell r="X86">
            <v>12345</v>
          </cell>
          <cell r="Y86">
            <v>10592</v>
          </cell>
          <cell r="Z86">
            <v>85</v>
          </cell>
          <cell r="AA86">
            <v>9505</v>
          </cell>
          <cell r="AB86">
            <v>860</v>
          </cell>
          <cell r="AC86">
            <v>142</v>
          </cell>
          <cell r="AD86">
            <v>1753</v>
          </cell>
          <cell r="AE86">
            <v>1727</v>
          </cell>
          <cell r="AF86">
            <v>26</v>
          </cell>
          <cell r="AG86">
            <v>66061</v>
          </cell>
          <cell r="AH86">
            <v>13816</v>
          </cell>
          <cell r="AI86">
            <v>13775</v>
          </cell>
          <cell r="AJ86">
            <v>41</v>
          </cell>
          <cell r="AK86">
            <v>42395</v>
          </cell>
          <cell r="AL86">
            <v>40471</v>
          </cell>
          <cell r="AM86">
            <v>1924</v>
          </cell>
          <cell r="AN86">
            <v>606</v>
          </cell>
          <cell r="AO86">
            <v>236</v>
          </cell>
          <cell r="AP86">
            <v>370</v>
          </cell>
          <cell r="AQ86">
            <v>2035</v>
          </cell>
          <cell r="AR86">
            <v>1037</v>
          </cell>
          <cell r="AS86">
            <v>36</v>
          </cell>
          <cell r="AT86">
            <v>962</v>
          </cell>
          <cell r="AU86">
            <v>0</v>
          </cell>
          <cell r="AV86">
            <v>7209</v>
          </cell>
          <cell r="AW86">
            <v>3307</v>
          </cell>
          <cell r="AX86">
            <v>3471</v>
          </cell>
          <cell r="AY86">
            <v>344</v>
          </cell>
          <cell r="AZ86">
            <v>87</v>
          </cell>
          <cell r="BA86">
            <v>0</v>
          </cell>
          <cell r="BB86">
            <v>11442</v>
          </cell>
          <cell r="BC86">
            <v>4630</v>
          </cell>
          <cell r="BD86">
            <v>3782</v>
          </cell>
          <cell r="BE86">
            <v>842</v>
          </cell>
          <cell r="BF86">
            <v>6</v>
          </cell>
          <cell r="BG86">
            <v>1269</v>
          </cell>
          <cell r="BH86">
            <v>1587</v>
          </cell>
          <cell r="BI86">
            <v>1306</v>
          </cell>
          <cell r="BJ86">
            <v>217</v>
          </cell>
          <cell r="BK86">
            <v>64</v>
          </cell>
          <cell r="BL86">
            <v>927</v>
          </cell>
          <cell r="BM86">
            <v>881</v>
          </cell>
          <cell r="BN86">
            <v>133</v>
          </cell>
          <cell r="BO86">
            <v>748</v>
          </cell>
          <cell r="BP86">
            <v>2148</v>
          </cell>
          <cell r="BQ86">
            <v>1321</v>
          </cell>
          <cell r="BR86">
            <v>827</v>
          </cell>
          <cell r="BS86">
            <v>4156</v>
          </cell>
          <cell r="BT86">
            <v>1607</v>
          </cell>
          <cell r="BU86">
            <v>903</v>
          </cell>
          <cell r="BV86">
            <v>69</v>
          </cell>
          <cell r="BW86">
            <v>635</v>
          </cell>
          <cell r="BX86">
            <v>1334</v>
          </cell>
          <cell r="BY86">
            <v>682</v>
          </cell>
          <cell r="BZ86">
            <v>495</v>
          </cell>
          <cell r="CA86">
            <v>157</v>
          </cell>
          <cell r="CB86">
            <v>1215</v>
          </cell>
          <cell r="CC86">
            <v>34150</v>
          </cell>
          <cell r="CD86">
            <v>9914</v>
          </cell>
          <cell r="CE86">
            <v>9383</v>
          </cell>
          <cell r="CF86">
            <v>258</v>
          </cell>
          <cell r="CG86">
            <v>273</v>
          </cell>
          <cell r="CH86">
            <v>15235</v>
          </cell>
          <cell r="CI86">
            <v>1071</v>
          </cell>
          <cell r="CJ86">
            <v>7991</v>
          </cell>
          <cell r="CK86">
            <v>4404</v>
          </cell>
          <cell r="CL86">
            <v>1769</v>
          </cell>
          <cell r="CM86">
            <v>9001</v>
          </cell>
          <cell r="CN86">
            <v>1778</v>
          </cell>
          <cell r="CO86">
            <v>1875</v>
          </cell>
          <cell r="CP86">
            <v>3689</v>
          </cell>
          <cell r="CQ86">
            <v>1124</v>
          </cell>
          <cell r="CR86">
            <v>535</v>
          </cell>
          <cell r="CS86">
            <v>5864</v>
          </cell>
          <cell r="CT86">
            <v>183</v>
          </cell>
          <cell r="CU86">
            <v>940</v>
          </cell>
          <cell r="CV86">
            <v>4741</v>
          </cell>
          <cell r="CW86">
            <v>24544</v>
          </cell>
          <cell r="CX86">
            <v>4548</v>
          </cell>
          <cell r="CY86">
            <v>1688</v>
          </cell>
          <cell r="CZ86">
            <v>415</v>
          </cell>
          <cell r="DA86">
            <v>1224</v>
          </cell>
          <cell r="DB86">
            <v>1169</v>
          </cell>
          <cell r="DC86">
            <v>52</v>
          </cell>
          <cell r="DD86">
            <v>2018</v>
          </cell>
          <cell r="DE86">
            <v>1528</v>
          </cell>
          <cell r="DF86">
            <v>55</v>
          </cell>
          <cell r="DG86">
            <v>435</v>
          </cell>
          <cell r="DH86">
            <v>6071</v>
          </cell>
          <cell r="DI86">
            <v>2269</v>
          </cell>
          <cell r="DJ86">
            <v>1108</v>
          </cell>
          <cell r="DK86">
            <v>1077</v>
          </cell>
          <cell r="DL86">
            <v>1167</v>
          </cell>
          <cell r="DM86">
            <v>450</v>
          </cell>
          <cell r="DN86">
            <v>8540</v>
          </cell>
          <cell r="DO86">
            <v>2141</v>
          </cell>
          <cell r="DP86">
            <v>4177</v>
          </cell>
          <cell r="DQ86">
            <v>2222</v>
          </cell>
          <cell r="DR86">
            <v>3367</v>
          </cell>
          <cell r="DS86">
            <v>862</v>
          </cell>
          <cell r="DT86">
            <v>1281</v>
          </cell>
          <cell r="DU86">
            <v>637</v>
          </cell>
          <cell r="DV86">
            <v>587</v>
          </cell>
          <cell r="DW86">
            <v>0</v>
          </cell>
          <cell r="DX86">
            <v>3617</v>
          </cell>
          <cell r="DY86">
            <v>23916</v>
          </cell>
          <cell r="DZ86">
            <v>19391</v>
          </cell>
          <cell r="EA86">
            <v>18111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1280</v>
          </cell>
          <cell r="EG86">
            <v>4525</v>
          </cell>
          <cell r="EH86">
            <v>28026</v>
          </cell>
          <cell r="EI86">
            <v>5262</v>
          </cell>
          <cell r="EJ86">
            <v>1582</v>
          </cell>
          <cell r="EK86">
            <v>73</v>
          </cell>
          <cell r="EL86">
            <v>3607</v>
          </cell>
          <cell r="EM86">
            <v>1089</v>
          </cell>
          <cell r="EN86">
            <v>2201</v>
          </cell>
          <cell r="EO86">
            <v>1563</v>
          </cell>
          <cell r="EP86">
            <v>638</v>
          </cell>
          <cell r="EQ86">
            <v>2741</v>
          </cell>
          <cell r="ER86">
            <v>4488</v>
          </cell>
          <cell r="ES86">
            <v>2442</v>
          </cell>
          <cell r="ET86">
            <v>448</v>
          </cell>
          <cell r="EU86">
            <v>568</v>
          </cell>
          <cell r="EV86">
            <v>473</v>
          </cell>
          <cell r="EW86">
            <v>557</v>
          </cell>
          <cell r="EX86">
            <v>9051</v>
          </cell>
          <cell r="EY86">
            <v>3472</v>
          </cell>
          <cell r="EZ86">
            <v>5579</v>
          </cell>
          <cell r="FA86">
            <v>3194</v>
          </cell>
          <cell r="FB86">
            <v>247447</v>
          </cell>
          <cell r="FC86">
            <v>205663</v>
          </cell>
          <cell r="FD86">
            <v>24025</v>
          </cell>
          <cell r="FE86">
            <v>6063</v>
          </cell>
          <cell r="FF86">
            <v>635</v>
          </cell>
          <cell r="FG86">
            <v>9914</v>
          </cell>
          <cell r="FH86">
            <v>940</v>
          </cell>
          <cell r="FI86">
            <v>4910</v>
          </cell>
          <cell r="FJ86">
            <v>1563</v>
          </cell>
          <cell r="FK86">
            <v>103874</v>
          </cell>
          <cell r="FL86">
            <v>20870</v>
          </cell>
          <cell r="FM86">
            <v>9329</v>
          </cell>
          <cell r="FN86">
            <v>12177</v>
          </cell>
          <cell r="FO86">
            <v>8482</v>
          </cell>
          <cell r="FP86">
            <v>10545</v>
          </cell>
          <cell r="FQ86">
            <v>1607</v>
          </cell>
          <cell r="FR86">
            <v>18976</v>
          </cell>
          <cell r="FS86">
            <v>940</v>
          </cell>
          <cell r="FT86">
            <v>15067</v>
          </cell>
          <cell r="FU86">
            <v>5881</v>
          </cell>
          <cell r="FV86">
            <v>57321</v>
          </cell>
          <cell r="FW86">
            <v>20870</v>
          </cell>
          <cell r="FX86">
            <v>9329</v>
          </cell>
          <cell r="FY86">
            <v>8482</v>
          </cell>
          <cell r="FZ86">
            <v>1321</v>
          </cell>
          <cell r="GA86">
            <v>972</v>
          </cell>
          <cell r="GB86">
            <v>7991</v>
          </cell>
          <cell r="GC86">
            <v>4749</v>
          </cell>
          <cell r="GD86">
            <v>3607</v>
          </cell>
          <cell r="GE86">
            <v>3127</v>
          </cell>
          <cell r="GF86">
            <v>-6836</v>
          </cell>
          <cell r="GG86">
            <v>9963</v>
          </cell>
          <cell r="GH86">
            <v>140446</v>
          </cell>
          <cell r="GI86">
            <v>168</v>
          </cell>
          <cell r="GJ86">
            <v>57579</v>
          </cell>
          <cell r="GK86">
            <v>897</v>
          </cell>
          <cell r="GL86">
            <v>2549</v>
          </cell>
          <cell r="GM86">
            <v>15174</v>
          </cell>
          <cell r="GN86">
            <v>4924</v>
          </cell>
          <cell r="GO86">
            <v>9477</v>
          </cell>
          <cell r="GP86">
            <v>3617</v>
          </cell>
          <cell r="GQ86">
            <v>23916</v>
          </cell>
          <cell r="GR86">
            <v>22145</v>
          </cell>
          <cell r="GS86">
            <v>22528</v>
          </cell>
          <cell r="GT86">
            <v>12177</v>
          </cell>
          <cell r="GU86">
            <v>3161</v>
          </cell>
          <cell r="GV86">
            <v>1071</v>
          </cell>
          <cell r="GW86">
            <v>5408</v>
          </cell>
          <cell r="GX86">
            <v>711</v>
          </cell>
        </row>
        <row r="87">
          <cell r="A87" t="str">
            <v>2010 Q3</v>
          </cell>
          <cell r="B87">
            <v>245888</v>
          </cell>
          <cell r="C87">
            <v>20716</v>
          </cell>
          <cell r="D87">
            <v>18499</v>
          </cell>
          <cell r="E87">
            <v>3559</v>
          </cell>
          <cell r="F87">
            <v>3741</v>
          </cell>
          <cell r="G87">
            <v>897</v>
          </cell>
          <cell r="H87">
            <v>2450</v>
          </cell>
          <cell r="I87">
            <v>572</v>
          </cell>
          <cell r="J87">
            <v>1695</v>
          </cell>
          <cell r="K87">
            <v>2731</v>
          </cell>
          <cell r="L87">
            <v>1932</v>
          </cell>
          <cell r="M87">
            <v>922</v>
          </cell>
          <cell r="N87">
            <v>2217</v>
          </cell>
          <cell r="O87">
            <v>431</v>
          </cell>
          <cell r="P87">
            <v>1786</v>
          </cell>
          <cell r="Q87">
            <v>9231</v>
          </cell>
          <cell r="R87">
            <v>3553</v>
          </cell>
          <cell r="S87">
            <v>926</v>
          </cell>
          <cell r="T87">
            <v>1740</v>
          </cell>
          <cell r="U87">
            <v>887</v>
          </cell>
          <cell r="V87">
            <v>4454</v>
          </cell>
          <cell r="W87">
            <v>1224</v>
          </cell>
          <cell r="X87">
            <v>12556</v>
          </cell>
          <cell r="Y87">
            <v>10749</v>
          </cell>
          <cell r="Z87">
            <v>79</v>
          </cell>
          <cell r="AA87">
            <v>9622</v>
          </cell>
          <cell r="AB87">
            <v>897</v>
          </cell>
          <cell r="AC87">
            <v>151</v>
          </cell>
          <cell r="AD87">
            <v>1807</v>
          </cell>
          <cell r="AE87">
            <v>1786</v>
          </cell>
          <cell r="AF87">
            <v>21</v>
          </cell>
          <cell r="AG87">
            <v>66121</v>
          </cell>
          <cell r="AH87">
            <v>14174</v>
          </cell>
          <cell r="AI87">
            <v>14133</v>
          </cell>
          <cell r="AJ87">
            <v>41</v>
          </cell>
          <cell r="AK87">
            <v>42597</v>
          </cell>
          <cell r="AL87">
            <v>40654</v>
          </cell>
          <cell r="AM87">
            <v>1943</v>
          </cell>
          <cell r="AN87">
            <v>543</v>
          </cell>
          <cell r="AO87">
            <v>226</v>
          </cell>
          <cell r="AP87">
            <v>317</v>
          </cell>
          <cell r="AQ87">
            <v>2040</v>
          </cell>
          <cell r="AR87">
            <v>1039</v>
          </cell>
          <cell r="AS87">
            <v>31</v>
          </cell>
          <cell r="AT87">
            <v>970</v>
          </cell>
          <cell r="AU87">
            <v>0</v>
          </cell>
          <cell r="AV87">
            <v>6767</v>
          </cell>
          <cell r="AW87">
            <v>3353</v>
          </cell>
          <cell r="AX87">
            <v>2995</v>
          </cell>
          <cell r="AY87">
            <v>329</v>
          </cell>
          <cell r="AZ87">
            <v>90</v>
          </cell>
          <cell r="BA87">
            <v>0</v>
          </cell>
          <cell r="BB87">
            <v>11601</v>
          </cell>
          <cell r="BC87">
            <v>4657</v>
          </cell>
          <cell r="BD87">
            <v>3772</v>
          </cell>
          <cell r="BE87">
            <v>876</v>
          </cell>
          <cell r="BF87">
            <v>9</v>
          </cell>
          <cell r="BG87">
            <v>1289</v>
          </cell>
          <cell r="BH87">
            <v>1641</v>
          </cell>
          <cell r="BI87">
            <v>1302</v>
          </cell>
          <cell r="BJ87">
            <v>265</v>
          </cell>
          <cell r="BK87">
            <v>74</v>
          </cell>
          <cell r="BL87">
            <v>979</v>
          </cell>
          <cell r="BM87">
            <v>881</v>
          </cell>
          <cell r="BN87">
            <v>128</v>
          </cell>
          <cell r="BO87">
            <v>753</v>
          </cell>
          <cell r="BP87">
            <v>2154</v>
          </cell>
          <cell r="BQ87">
            <v>1321</v>
          </cell>
          <cell r="BR87">
            <v>833</v>
          </cell>
          <cell r="BS87">
            <v>4210</v>
          </cell>
          <cell r="BT87">
            <v>1637</v>
          </cell>
          <cell r="BU87">
            <v>957</v>
          </cell>
          <cell r="BV87">
            <v>60</v>
          </cell>
          <cell r="BW87">
            <v>620</v>
          </cell>
          <cell r="BX87">
            <v>1385</v>
          </cell>
          <cell r="BY87">
            <v>717</v>
          </cell>
          <cell r="BZ87">
            <v>520</v>
          </cell>
          <cell r="CA87">
            <v>148</v>
          </cell>
          <cell r="CB87">
            <v>1188</v>
          </cell>
          <cell r="CC87">
            <v>34271</v>
          </cell>
          <cell r="CD87">
            <v>9177</v>
          </cell>
          <cell r="CE87">
            <v>8662</v>
          </cell>
          <cell r="CF87">
            <v>242</v>
          </cell>
          <cell r="CG87">
            <v>273</v>
          </cell>
          <cell r="CH87">
            <v>15584</v>
          </cell>
          <cell r="CI87">
            <v>1131</v>
          </cell>
          <cell r="CJ87">
            <v>8170</v>
          </cell>
          <cell r="CK87">
            <v>4579</v>
          </cell>
          <cell r="CL87">
            <v>1704</v>
          </cell>
          <cell r="CM87">
            <v>9510</v>
          </cell>
          <cell r="CN87">
            <v>1837</v>
          </cell>
          <cell r="CO87">
            <v>1979</v>
          </cell>
          <cell r="CP87">
            <v>3885</v>
          </cell>
          <cell r="CQ87">
            <v>1226</v>
          </cell>
          <cell r="CR87">
            <v>583</v>
          </cell>
          <cell r="CS87">
            <v>6022</v>
          </cell>
          <cell r="CT87">
            <v>225</v>
          </cell>
          <cell r="CU87">
            <v>1005</v>
          </cell>
          <cell r="CV87">
            <v>4792</v>
          </cell>
          <cell r="CW87">
            <v>24833</v>
          </cell>
          <cell r="CX87">
            <v>4667</v>
          </cell>
          <cell r="CY87">
            <v>1741</v>
          </cell>
          <cell r="CZ87">
            <v>428</v>
          </cell>
          <cell r="DA87">
            <v>1300</v>
          </cell>
          <cell r="DB87">
            <v>1155</v>
          </cell>
          <cell r="DC87">
            <v>43</v>
          </cell>
          <cell r="DD87">
            <v>2046</v>
          </cell>
          <cell r="DE87">
            <v>1548</v>
          </cell>
          <cell r="DF87">
            <v>61</v>
          </cell>
          <cell r="DG87">
            <v>437</v>
          </cell>
          <cell r="DH87">
            <v>6106</v>
          </cell>
          <cell r="DI87">
            <v>2315</v>
          </cell>
          <cell r="DJ87">
            <v>1113</v>
          </cell>
          <cell r="DK87">
            <v>1010</v>
          </cell>
          <cell r="DL87">
            <v>1216</v>
          </cell>
          <cell r="DM87">
            <v>452</v>
          </cell>
          <cell r="DN87">
            <v>8574</v>
          </cell>
          <cell r="DO87">
            <v>2122</v>
          </cell>
          <cell r="DP87">
            <v>4256</v>
          </cell>
          <cell r="DQ87">
            <v>2196</v>
          </cell>
          <cell r="DR87">
            <v>3440</v>
          </cell>
          <cell r="DS87">
            <v>875</v>
          </cell>
          <cell r="DT87">
            <v>1283</v>
          </cell>
          <cell r="DU87">
            <v>742</v>
          </cell>
          <cell r="DV87">
            <v>540</v>
          </cell>
          <cell r="DW87">
            <v>0</v>
          </cell>
          <cell r="DX87">
            <v>3661</v>
          </cell>
          <cell r="DY87">
            <v>24222</v>
          </cell>
          <cell r="DZ87">
            <v>19561</v>
          </cell>
          <cell r="EA87">
            <v>18320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1241</v>
          </cell>
          <cell r="EG87">
            <v>4661</v>
          </cell>
          <cell r="EH87">
            <v>28444</v>
          </cell>
          <cell r="EI87">
            <v>5306</v>
          </cell>
          <cell r="EJ87">
            <v>1614</v>
          </cell>
          <cell r="EK87">
            <v>113</v>
          </cell>
          <cell r="EL87">
            <v>3579</v>
          </cell>
          <cell r="EM87">
            <v>1097</v>
          </cell>
          <cell r="EN87">
            <v>2406</v>
          </cell>
          <cell r="EO87">
            <v>1666</v>
          </cell>
          <cell r="EP87">
            <v>740</v>
          </cell>
          <cell r="EQ87">
            <v>2595</v>
          </cell>
          <cell r="ER87">
            <v>4630</v>
          </cell>
          <cell r="ES87">
            <v>2385</v>
          </cell>
          <cell r="ET87">
            <v>492</v>
          </cell>
          <cell r="EU87">
            <v>620</v>
          </cell>
          <cell r="EV87">
            <v>530</v>
          </cell>
          <cell r="EW87">
            <v>603</v>
          </cell>
          <cell r="EX87">
            <v>9309</v>
          </cell>
          <cell r="EY87">
            <v>3723</v>
          </cell>
          <cell r="EZ87">
            <v>5586</v>
          </cell>
          <cell r="FA87">
            <v>3101</v>
          </cell>
          <cell r="FB87">
            <v>249277</v>
          </cell>
          <cell r="FC87">
            <v>206804</v>
          </cell>
          <cell r="FD87">
            <v>23624</v>
          </cell>
          <cell r="FE87">
            <v>6078</v>
          </cell>
          <cell r="FF87">
            <v>620</v>
          </cell>
          <cell r="FG87">
            <v>9177</v>
          </cell>
          <cell r="FH87">
            <v>1005</v>
          </cell>
          <cell r="FI87">
            <v>5078</v>
          </cell>
          <cell r="FJ87">
            <v>1666</v>
          </cell>
          <cell r="FK87">
            <v>103593</v>
          </cell>
          <cell r="FL87">
            <v>20716</v>
          </cell>
          <cell r="FM87">
            <v>9231</v>
          </cell>
          <cell r="FN87">
            <v>12384</v>
          </cell>
          <cell r="FO87">
            <v>8032</v>
          </cell>
          <cell r="FP87">
            <v>10685</v>
          </cell>
          <cell r="FQ87">
            <v>1637</v>
          </cell>
          <cell r="FR87">
            <v>18478</v>
          </cell>
          <cell r="FS87">
            <v>1005</v>
          </cell>
          <cell r="FT87">
            <v>15327</v>
          </cell>
          <cell r="FU87">
            <v>6098</v>
          </cell>
          <cell r="FV87">
            <v>56857</v>
          </cell>
          <cell r="FW87">
            <v>20716</v>
          </cell>
          <cell r="FX87">
            <v>9231</v>
          </cell>
          <cell r="FY87">
            <v>8032</v>
          </cell>
          <cell r="FZ87">
            <v>1321</v>
          </cell>
          <cell r="GA87">
            <v>1017</v>
          </cell>
          <cell r="GB87">
            <v>8170</v>
          </cell>
          <cell r="GC87">
            <v>4791</v>
          </cell>
          <cell r="GD87">
            <v>3579</v>
          </cell>
          <cell r="GE87">
            <v>3389</v>
          </cell>
          <cell r="GF87">
            <v>-6617</v>
          </cell>
          <cell r="GG87">
            <v>10006</v>
          </cell>
          <cell r="GH87">
            <v>142295</v>
          </cell>
          <cell r="GI87">
            <v>172</v>
          </cell>
          <cell r="GJ87">
            <v>58089</v>
          </cell>
          <cell r="GK87">
            <v>916</v>
          </cell>
          <cell r="GL87">
            <v>2573</v>
          </cell>
          <cell r="GM87">
            <v>15793</v>
          </cell>
          <cell r="GN87">
            <v>5017</v>
          </cell>
          <cell r="GO87">
            <v>9506</v>
          </cell>
          <cell r="GP87">
            <v>3661</v>
          </cell>
          <cell r="GQ87">
            <v>24222</v>
          </cell>
          <cell r="GR87">
            <v>22346</v>
          </cell>
          <cell r="GS87">
            <v>23112</v>
          </cell>
          <cell r="GT87">
            <v>12384</v>
          </cell>
          <cell r="GU87">
            <v>3286</v>
          </cell>
          <cell r="GV87">
            <v>1131</v>
          </cell>
          <cell r="GW87">
            <v>5458</v>
          </cell>
          <cell r="GX87">
            <v>853</v>
          </cell>
        </row>
        <row r="88">
          <cell r="A88" t="str">
            <v>2010 Q4</v>
          </cell>
          <cell r="B88">
            <v>248290</v>
          </cell>
          <cell r="C88">
            <v>20515</v>
          </cell>
          <cell r="D88">
            <v>18342</v>
          </cell>
          <cell r="E88">
            <v>3481</v>
          </cell>
          <cell r="F88">
            <v>3670</v>
          </cell>
          <cell r="G88">
            <v>805</v>
          </cell>
          <cell r="H88">
            <v>2370</v>
          </cell>
          <cell r="I88">
            <v>583</v>
          </cell>
          <cell r="J88">
            <v>1708</v>
          </cell>
          <cell r="K88">
            <v>2853</v>
          </cell>
          <cell r="L88">
            <v>1969</v>
          </cell>
          <cell r="M88">
            <v>903</v>
          </cell>
          <cell r="N88">
            <v>2173</v>
          </cell>
          <cell r="O88">
            <v>438</v>
          </cell>
          <cell r="P88">
            <v>1735</v>
          </cell>
          <cell r="Q88">
            <v>9547</v>
          </cell>
          <cell r="R88">
            <v>3680</v>
          </cell>
          <cell r="S88">
            <v>972</v>
          </cell>
          <cell r="T88">
            <v>1790</v>
          </cell>
          <cell r="U88">
            <v>918</v>
          </cell>
          <cell r="V88">
            <v>4463</v>
          </cell>
          <cell r="W88">
            <v>1404</v>
          </cell>
          <cell r="X88">
            <v>12535</v>
          </cell>
          <cell r="Y88">
            <v>10705</v>
          </cell>
          <cell r="Z88">
            <v>79</v>
          </cell>
          <cell r="AA88">
            <v>9569</v>
          </cell>
          <cell r="AB88">
            <v>908</v>
          </cell>
          <cell r="AC88">
            <v>149</v>
          </cell>
          <cell r="AD88">
            <v>1830</v>
          </cell>
          <cell r="AE88">
            <v>1812</v>
          </cell>
          <cell r="AF88">
            <v>18</v>
          </cell>
          <cell r="AG88">
            <v>67751</v>
          </cell>
          <cell r="AH88">
            <v>14416</v>
          </cell>
          <cell r="AI88">
            <v>14375</v>
          </cell>
          <cell r="AJ88">
            <v>41</v>
          </cell>
          <cell r="AK88">
            <v>42615</v>
          </cell>
          <cell r="AL88">
            <v>40677</v>
          </cell>
          <cell r="AM88">
            <v>1938</v>
          </cell>
          <cell r="AN88">
            <v>423</v>
          </cell>
          <cell r="AO88">
            <v>153</v>
          </cell>
          <cell r="AP88">
            <v>270</v>
          </cell>
          <cell r="AQ88">
            <v>2058</v>
          </cell>
          <cell r="AR88">
            <v>1040</v>
          </cell>
          <cell r="AS88">
            <v>32</v>
          </cell>
          <cell r="AT88">
            <v>986</v>
          </cell>
          <cell r="AU88">
            <v>0</v>
          </cell>
          <cell r="AV88">
            <v>8239</v>
          </cell>
          <cell r="AW88">
            <v>3416</v>
          </cell>
          <cell r="AX88">
            <v>4241</v>
          </cell>
          <cell r="AY88">
            <v>491</v>
          </cell>
          <cell r="AZ88">
            <v>91</v>
          </cell>
          <cell r="BA88">
            <v>0</v>
          </cell>
          <cell r="BB88">
            <v>11577</v>
          </cell>
          <cell r="BC88">
            <v>4702</v>
          </cell>
          <cell r="BD88">
            <v>3780</v>
          </cell>
          <cell r="BE88">
            <v>905</v>
          </cell>
          <cell r="BF88">
            <v>17</v>
          </cell>
          <cell r="BG88">
            <v>1287</v>
          </cell>
          <cell r="BH88">
            <v>1673</v>
          </cell>
          <cell r="BI88">
            <v>1376</v>
          </cell>
          <cell r="BJ88">
            <v>236</v>
          </cell>
          <cell r="BK88">
            <v>61</v>
          </cell>
          <cell r="BL88">
            <v>1008</v>
          </cell>
          <cell r="BM88">
            <v>862</v>
          </cell>
          <cell r="BN88">
            <v>111</v>
          </cell>
          <cell r="BO88">
            <v>751</v>
          </cell>
          <cell r="BP88">
            <v>2045</v>
          </cell>
          <cell r="BQ88">
            <v>1301</v>
          </cell>
          <cell r="BR88">
            <v>744</v>
          </cell>
          <cell r="BS88">
            <v>4221</v>
          </cell>
          <cell r="BT88">
            <v>1652</v>
          </cell>
          <cell r="BU88">
            <v>971</v>
          </cell>
          <cell r="BV88">
            <v>58</v>
          </cell>
          <cell r="BW88">
            <v>623</v>
          </cell>
          <cell r="BX88">
            <v>1415</v>
          </cell>
          <cell r="BY88">
            <v>730</v>
          </cell>
          <cell r="BZ88">
            <v>552</v>
          </cell>
          <cell r="CA88">
            <v>133</v>
          </cell>
          <cell r="CB88">
            <v>1154</v>
          </cell>
          <cell r="CC88">
            <v>34494</v>
          </cell>
          <cell r="CD88">
            <v>9062</v>
          </cell>
          <cell r="CE88">
            <v>8555</v>
          </cell>
          <cell r="CF88">
            <v>238</v>
          </cell>
          <cell r="CG88">
            <v>269</v>
          </cell>
          <cell r="CH88">
            <v>15732</v>
          </cell>
          <cell r="CI88">
            <v>1164</v>
          </cell>
          <cell r="CJ88">
            <v>8205</v>
          </cell>
          <cell r="CK88">
            <v>4638</v>
          </cell>
          <cell r="CL88">
            <v>1725</v>
          </cell>
          <cell r="CM88">
            <v>9700</v>
          </cell>
          <cell r="CN88">
            <v>1851</v>
          </cell>
          <cell r="CO88">
            <v>2024</v>
          </cell>
          <cell r="CP88">
            <v>3989</v>
          </cell>
          <cell r="CQ88">
            <v>1234</v>
          </cell>
          <cell r="CR88">
            <v>602</v>
          </cell>
          <cell r="CS88">
            <v>6078</v>
          </cell>
          <cell r="CT88">
            <v>209</v>
          </cell>
          <cell r="CU88">
            <v>1033</v>
          </cell>
          <cell r="CV88">
            <v>4836</v>
          </cell>
          <cell r="CW88">
            <v>25122</v>
          </cell>
          <cell r="CX88">
            <v>4769</v>
          </cell>
          <cell r="CY88">
            <v>1764</v>
          </cell>
          <cell r="CZ88">
            <v>403</v>
          </cell>
          <cell r="DA88">
            <v>1354</v>
          </cell>
          <cell r="DB88">
            <v>1206</v>
          </cell>
          <cell r="DC88">
            <v>42</v>
          </cell>
          <cell r="DD88">
            <v>2078</v>
          </cell>
          <cell r="DE88">
            <v>1547</v>
          </cell>
          <cell r="DF88">
            <v>91</v>
          </cell>
          <cell r="DG88">
            <v>440</v>
          </cell>
          <cell r="DH88">
            <v>6120</v>
          </cell>
          <cell r="DI88">
            <v>2236</v>
          </cell>
          <cell r="DJ88">
            <v>1054</v>
          </cell>
          <cell r="DK88">
            <v>1102</v>
          </cell>
          <cell r="DL88">
            <v>1261</v>
          </cell>
          <cell r="DM88">
            <v>467</v>
          </cell>
          <cell r="DN88">
            <v>8810</v>
          </cell>
          <cell r="DO88">
            <v>2086</v>
          </cell>
          <cell r="DP88">
            <v>4387</v>
          </cell>
          <cell r="DQ88">
            <v>2337</v>
          </cell>
          <cell r="DR88">
            <v>3345</v>
          </cell>
          <cell r="DS88">
            <v>814</v>
          </cell>
          <cell r="DT88">
            <v>1282</v>
          </cell>
          <cell r="DU88">
            <v>720</v>
          </cell>
          <cell r="DV88">
            <v>529</v>
          </cell>
          <cell r="DW88">
            <v>0</v>
          </cell>
          <cell r="DX88">
            <v>3715</v>
          </cell>
          <cell r="DY88">
            <v>24456</v>
          </cell>
          <cell r="DZ88">
            <v>19887</v>
          </cell>
          <cell r="EA88">
            <v>18639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1248</v>
          </cell>
          <cell r="EG88">
            <v>4569</v>
          </cell>
          <cell r="EH88">
            <v>28279</v>
          </cell>
          <cell r="EI88">
            <v>5143</v>
          </cell>
          <cell r="EJ88">
            <v>1595</v>
          </cell>
          <cell r="EK88">
            <v>85</v>
          </cell>
          <cell r="EL88">
            <v>3463</v>
          </cell>
          <cell r="EM88">
            <v>1105</v>
          </cell>
          <cell r="EN88">
            <v>2378</v>
          </cell>
          <cell r="EO88">
            <v>1669</v>
          </cell>
          <cell r="EP88">
            <v>709</v>
          </cell>
          <cell r="EQ88">
            <v>2570</v>
          </cell>
          <cell r="ER88">
            <v>4461</v>
          </cell>
          <cell r="ES88">
            <v>2240</v>
          </cell>
          <cell r="ET88">
            <v>502</v>
          </cell>
          <cell r="EU88">
            <v>585</v>
          </cell>
          <cell r="EV88">
            <v>500</v>
          </cell>
          <cell r="EW88">
            <v>634</v>
          </cell>
          <cell r="EX88">
            <v>9362</v>
          </cell>
          <cell r="EY88">
            <v>3803</v>
          </cell>
          <cell r="EZ88">
            <v>5559</v>
          </cell>
          <cell r="FA88">
            <v>3260</v>
          </cell>
          <cell r="FB88">
            <v>251116</v>
          </cell>
          <cell r="FC88">
            <v>209653</v>
          </cell>
          <cell r="FD88">
            <v>23718</v>
          </cell>
          <cell r="FE88">
            <v>6172</v>
          </cell>
          <cell r="FF88">
            <v>623</v>
          </cell>
          <cell r="FG88">
            <v>9062</v>
          </cell>
          <cell r="FH88">
            <v>1033</v>
          </cell>
          <cell r="FI88">
            <v>5159</v>
          </cell>
          <cell r="FJ88">
            <v>1669</v>
          </cell>
          <cell r="FK88">
            <v>105022</v>
          </cell>
          <cell r="FL88">
            <v>20515</v>
          </cell>
          <cell r="FM88">
            <v>9547</v>
          </cell>
          <cell r="FN88">
            <v>12368</v>
          </cell>
          <cell r="FO88">
            <v>9432</v>
          </cell>
          <cell r="FP88">
            <v>10755</v>
          </cell>
          <cell r="FQ88">
            <v>1652</v>
          </cell>
          <cell r="FR88">
            <v>18431</v>
          </cell>
          <cell r="FS88">
            <v>1033</v>
          </cell>
          <cell r="FT88">
            <v>15363</v>
          </cell>
          <cell r="FU88">
            <v>5926</v>
          </cell>
          <cell r="FV88">
            <v>58386</v>
          </cell>
          <cell r="FW88">
            <v>20515</v>
          </cell>
          <cell r="FX88">
            <v>9547</v>
          </cell>
          <cell r="FY88">
            <v>9432</v>
          </cell>
          <cell r="FZ88">
            <v>1301</v>
          </cell>
          <cell r="GA88">
            <v>1029</v>
          </cell>
          <cell r="GB88">
            <v>8205</v>
          </cell>
          <cell r="GC88">
            <v>4894</v>
          </cell>
          <cell r="GD88">
            <v>3463</v>
          </cell>
          <cell r="GE88">
            <v>2826</v>
          </cell>
          <cell r="GF88">
            <v>-7108</v>
          </cell>
          <cell r="GG88">
            <v>9934</v>
          </cell>
          <cell r="GH88">
            <v>143268</v>
          </cell>
          <cell r="GI88">
            <v>167</v>
          </cell>
          <cell r="GJ88">
            <v>58319</v>
          </cell>
          <cell r="GK88">
            <v>822</v>
          </cell>
          <cell r="GL88">
            <v>2569</v>
          </cell>
          <cell r="GM88">
            <v>16063</v>
          </cell>
          <cell r="GN88">
            <v>5045</v>
          </cell>
          <cell r="GO88">
            <v>9759</v>
          </cell>
          <cell r="GP88">
            <v>3715</v>
          </cell>
          <cell r="GQ88">
            <v>24456</v>
          </cell>
          <cell r="GR88">
            <v>22353</v>
          </cell>
          <cell r="GS88">
            <v>22918</v>
          </cell>
          <cell r="GT88">
            <v>12368</v>
          </cell>
          <cell r="GU88">
            <v>3282</v>
          </cell>
          <cell r="GV88">
            <v>1164</v>
          </cell>
          <cell r="GW88">
            <v>5310</v>
          </cell>
          <cell r="GX88">
            <v>794</v>
          </cell>
        </row>
        <row r="89">
          <cell r="A89" t="str">
            <v>2011 Q1</v>
          </cell>
          <cell r="B89">
            <v>251238</v>
          </cell>
          <cell r="C89">
            <v>21597</v>
          </cell>
          <cell r="D89">
            <v>19348</v>
          </cell>
          <cell r="E89">
            <v>3602</v>
          </cell>
          <cell r="F89">
            <v>3835</v>
          </cell>
          <cell r="G89">
            <v>859</v>
          </cell>
          <cell r="H89">
            <v>2460</v>
          </cell>
          <cell r="I89">
            <v>639</v>
          </cell>
          <cell r="J89">
            <v>1834</v>
          </cell>
          <cell r="K89">
            <v>3176</v>
          </cell>
          <cell r="L89">
            <v>1991</v>
          </cell>
          <cell r="M89">
            <v>952</v>
          </cell>
          <cell r="N89">
            <v>2249</v>
          </cell>
          <cell r="O89">
            <v>440</v>
          </cell>
          <cell r="P89">
            <v>1809</v>
          </cell>
          <cell r="Q89">
            <v>9967</v>
          </cell>
          <cell r="R89">
            <v>3764</v>
          </cell>
          <cell r="S89">
            <v>1003</v>
          </cell>
          <cell r="T89">
            <v>1768</v>
          </cell>
          <cell r="U89">
            <v>993</v>
          </cell>
          <cell r="V89">
            <v>4559</v>
          </cell>
          <cell r="W89">
            <v>1644</v>
          </cell>
          <cell r="X89">
            <v>12669</v>
          </cell>
          <cell r="Y89">
            <v>10858</v>
          </cell>
          <cell r="Z89">
            <v>73</v>
          </cell>
          <cell r="AA89">
            <v>9699</v>
          </cell>
          <cell r="AB89">
            <v>941</v>
          </cell>
          <cell r="AC89">
            <v>145</v>
          </cell>
          <cell r="AD89">
            <v>1811</v>
          </cell>
          <cell r="AE89">
            <v>1794</v>
          </cell>
          <cell r="AF89">
            <v>17</v>
          </cell>
          <cell r="AG89">
            <v>66893</v>
          </cell>
          <cell r="AH89">
            <v>14561</v>
          </cell>
          <cell r="AI89">
            <v>14520</v>
          </cell>
          <cell r="AJ89">
            <v>41</v>
          </cell>
          <cell r="AK89">
            <v>42586</v>
          </cell>
          <cell r="AL89">
            <v>40649</v>
          </cell>
          <cell r="AM89">
            <v>1937</v>
          </cell>
          <cell r="AN89">
            <v>510</v>
          </cell>
          <cell r="AO89">
            <v>184</v>
          </cell>
          <cell r="AP89">
            <v>326</v>
          </cell>
          <cell r="AQ89">
            <v>2074</v>
          </cell>
          <cell r="AR89">
            <v>1039</v>
          </cell>
          <cell r="AS89">
            <v>28</v>
          </cell>
          <cell r="AT89">
            <v>1007</v>
          </cell>
          <cell r="AU89">
            <v>0</v>
          </cell>
          <cell r="AV89">
            <v>7162</v>
          </cell>
          <cell r="AW89">
            <v>3343</v>
          </cell>
          <cell r="AX89">
            <v>3324</v>
          </cell>
          <cell r="AY89">
            <v>400</v>
          </cell>
          <cell r="AZ89">
            <v>95</v>
          </cell>
          <cell r="BA89">
            <v>0</v>
          </cell>
          <cell r="BB89">
            <v>11635</v>
          </cell>
          <cell r="BC89">
            <v>4815</v>
          </cell>
          <cell r="BD89">
            <v>3897</v>
          </cell>
          <cell r="BE89">
            <v>901</v>
          </cell>
          <cell r="BF89">
            <v>17</v>
          </cell>
          <cell r="BG89">
            <v>1100</v>
          </cell>
          <cell r="BH89">
            <v>1675</v>
          </cell>
          <cell r="BI89">
            <v>1333</v>
          </cell>
          <cell r="BJ89">
            <v>284</v>
          </cell>
          <cell r="BK89">
            <v>58</v>
          </cell>
          <cell r="BL89">
            <v>1070</v>
          </cell>
          <cell r="BM89">
            <v>899</v>
          </cell>
          <cell r="BN89">
            <v>96</v>
          </cell>
          <cell r="BO89">
            <v>803</v>
          </cell>
          <cell r="BP89">
            <v>2076</v>
          </cell>
          <cell r="BQ89">
            <v>1262</v>
          </cell>
          <cell r="BR89">
            <v>814</v>
          </cell>
          <cell r="BS89">
            <v>4640</v>
          </cell>
          <cell r="BT89">
            <v>1670</v>
          </cell>
          <cell r="BU89">
            <v>970</v>
          </cell>
          <cell r="BV89">
            <v>61</v>
          </cell>
          <cell r="BW89">
            <v>639</v>
          </cell>
          <cell r="BX89">
            <v>1782</v>
          </cell>
          <cell r="BY89">
            <v>1028</v>
          </cell>
          <cell r="BZ89">
            <v>631</v>
          </cell>
          <cell r="CA89">
            <v>123</v>
          </cell>
          <cell r="CB89">
            <v>1188</v>
          </cell>
          <cell r="CC89">
            <v>35687</v>
          </cell>
          <cell r="CD89">
            <v>9543</v>
          </cell>
          <cell r="CE89">
            <v>9029</v>
          </cell>
          <cell r="CF89">
            <v>248</v>
          </cell>
          <cell r="CG89">
            <v>266</v>
          </cell>
          <cell r="CH89">
            <v>15960</v>
          </cell>
          <cell r="CI89">
            <v>1169</v>
          </cell>
          <cell r="CJ89">
            <v>8517</v>
          </cell>
          <cell r="CK89">
            <v>4537</v>
          </cell>
          <cell r="CL89">
            <v>1737</v>
          </cell>
          <cell r="CM89">
            <v>10184</v>
          </cell>
          <cell r="CN89">
            <v>1971</v>
          </cell>
          <cell r="CO89">
            <v>2045</v>
          </cell>
          <cell r="CP89">
            <v>4112</v>
          </cell>
          <cell r="CQ89">
            <v>1418</v>
          </cell>
          <cell r="CR89">
            <v>638</v>
          </cell>
          <cell r="CS89">
            <v>6098</v>
          </cell>
          <cell r="CT89">
            <v>184</v>
          </cell>
          <cell r="CU89">
            <v>1131</v>
          </cell>
          <cell r="CV89">
            <v>4783</v>
          </cell>
          <cell r="CW89">
            <v>25423</v>
          </cell>
          <cell r="CX89">
            <v>4651</v>
          </cell>
          <cell r="CY89">
            <v>1463</v>
          </cell>
          <cell r="CZ89">
            <v>452</v>
          </cell>
          <cell r="DA89">
            <v>1503</v>
          </cell>
          <cell r="DB89">
            <v>1193</v>
          </cell>
          <cell r="DC89">
            <v>40</v>
          </cell>
          <cell r="DD89">
            <v>2102</v>
          </cell>
          <cell r="DE89">
            <v>1503</v>
          </cell>
          <cell r="DF89">
            <v>153</v>
          </cell>
          <cell r="DG89">
            <v>446</v>
          </cell>
          <cell r="DH89">
            <v>6116</v>
          </cell>
          <cell r="DI89">
            <v>2140</v>
          </cell>
          <cell r="DJ89">
            <v>1001</v>
          </cell>
          <cell r="DK89">
            <v>1162</v>
          </cell>
          <cell r="DL89">
            <v>1314</v>
          </cell>
          <cell r="DM89">
            <v>499</v>
          </cell>
          <cell r="DN89">
            <v>9135</v>
          </cell>
          <cell r="DO89">
            <v>2143</v>
          </cell>
          <cell r="DP89">
            <v>4484</v>
          </cell>
          <cell r="DQ89">
            <v>2508</v>
          </cell>
          <cell r="DR89">
            <v>3419</v>
          </cell>
          <cell r="DS89">
            <v>788</v>
          </cell>
          <cell r="DT89">
            <v>1276</v>
          </cell>
          <cell r="DU89">
            <v>858</v>
          </cell>
          <cell r="DV89">
            <v>497</v>
          </cell>
          <cell r="DW89">
            <v>0</v>
          </cell>
          <cell r="DX89">
            <v>3794</v>
          </cell>
          <cell r="DY89">
            <v>24732</v>
          </cell>
          <cell r="DZ89">
            <v>19971</v>
          </cell>
          <cell r="EA89">
            <v>18710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1261</v>
          </cell>
          <cell r="EG89">
            <v>4761</v>
          </cell>
          <cell r="EH89">
            <v>28103</v>
          </cell>
          <cell r="EI89">
            <v>5084</v>
          </cell>
          <cell r="EJ89">
            <v>1555</v>
          </cell>
          <cell r="EK89">
            <v>120</v>
          </cell>
          <cell r="EL89">
            <v>3409</v>
          </cell>
          <cell r="EM89">
            <v>1111</v>
          </cell>
          <cell r="EN89">
            <v>2285</v>
          </cell>
          <cell r="EO89">
            <v>1611</v>
          </cell>
          <cell r="EP89">
            <v>674</v>
          </cell>
          <cell r="EQ89">
            <v>2701</v>
          </cell>
          <cell r="ER89">
            <v>4468</v>
          </cell>
          <cell r="ES89">
            <v>2082</v>
          </cell>
          <cell r="ET89">
            <v>585</v>
          </cell>
          <cell r="EU89">
            <v>623</v>
          </cell>
          <cell r="EV89">
            <v>454</v>
          </cell>
          <cell r="EW89">
            <v>724</v>
          </cell>
          <cell r="EX89">
            <v>9390</v>
          </cell>
          <cell r="EY89">
            <v>3814</v>
          </cell>
          <cell r="EZ89">
            <v>5576</v>
          </cell>
          <cell r="FA89">
            <v>3064</v>
          </cell>
          <cell r="FB89">
            <v>253563</v>
          </cell>
          <cell r="FC89">
            <v>211529</v>
          </cell>
          <cell r="FD89">
            <v>24225</v>
          </cell>
          <cell r="FE89">
            <v>6227</v>
          </cell>
          <cell r="FF89">
            <v>639</v>
          </cell>
          <cell r="FG89">
            <v>9543</v>
          </cell>
          <cell r="FH89">
            <v>1131</v>
          </cell>
          <cell r="FI89">
            <v>5074</v>
          </cell>
          <cell r="FJ89">
            <v>1611</v>
          </cell>
          <cell r="FK89">
            <v>106349</v>
          </cell>
          <cell r="FL89">
            <v>21597</v>
          </cell>
          <cell r="FM89">
            <v>9967</v>
          </cell>
          <cell r="FN89">
            <v>12507</v>
          </cell>
          <cell r="FO89">
            <v>8385</v>
          </cell>
          <cell r="FP89">
            <v>10746</v>
          </cell>
          <cell r="FQ89">
            <v>1670</v>
          </cell>
          <cell r="FR89">
            <v>19229</v>
          </cell>
          <cell r="FS89">
            <v>1131</v>
          </cell>
          <cell r="FT89">
            <v>15303</v>
          </cell>
          <cell r="FU89">
            <v>5814</v>
          </cell>
          <cell r="FV89">
            <v>59275</v>
          </cell>
          <cell r="FW89">
            <v>21597</v>
          </cell>
          <cell r="FX89">
            <v>9967</v>
          </cell>
          <cell r="FY89">
            <v>8385</v>
          </cell>
          <cell r="FZ89">
            <v>1262</v>
          </cell>
          <cell r="GA89">
            <v>1031</v>
          </cell>
          <cell r="GB89">
            <v>8517</v>
          </cell>
          <cell r="GC89">
            <v>5107</v>
          </cell>
          <cell r="GD89">
            <v>3409</v>
          </cell>
          <cell r="GE89">
            <v>2325</v>
          </cell>
          <cell r="GF89">
            <v>-7182</v>
          </cell>
          <cell r="GG89">
            <v>9507</v>
          </cell>
          <cell r="GH89">
            <v>144889</v>
          </cell>
          <cell r="GI89">
            <v>162</v>
          </cell>
          <cell r="GJ89">
            <v>58508</v>
          </cell>
          <cell r="GK89">
            <v>889</v>
          </cell>
          <cell r="GL89">
            <v>2970</v>
          </cell>
          <cell r="GM89">
            <v>16458</v>
          </cell>
          <cell r="GN89">
            <v>4967</v>
          </cell>
          <cell r="GO89">
            <v>10120</v>
          </cell>
          <cell r="GP89">
            <v>3794</v>
          </cell>
          <cell r="GQ89">
            <v>24732</v>
          </cell>
          <cell r="GR89">
            <v>22289</v>
          </cell>
          <cell r="GS89">
            <v>22849</v>
          </cell>
          <cell r="GT89">
            <v>12507</v>
          </cell>
          <cell r="GU89">
            <v>3257</v>
          </cell>
          <cell r="GV89">
            <v>1169</v>
          </cell>
          <cell r="GW89">
            <v>5122</v>
          </cell>
          <cell r="GX89">
            <v>794</v>
          </cell>
        </row>
        <row r="90">
          <cell r="A90" t="str">
            <v>2011 Q2</v>
          </cell>
          <cell r="B90">
            <v>250891</v>
          </cell>
          <cell r="C90">
            <v>21470</v>
          </cell>
          <cell r="D90">
            <v>19225</v>
          </cell>
          <cell r="E90">
            <v>3582</v>
          </cell>
          <cell r="F90">
            <v>3913</v>
          </cell>
          <cell r="G90">
            <v>846</v>
          </cell>
          <cell r="H90">
            <v>2464</v>
          </cell>
          <cell r="I90">
            <v>594</v>
          </cell>
          <cell r="J90">
            <v>1851</v>
          </cell>
          <cell r="K90">
            <v>3050</v>
          </cell>
          <cell r="L90">
            <v>2062</v>
          </cell>
          <cell r="M90">
            <v>863</v>
          </cell>
          <cell r="N90">
            <v>2245</v>
          </cell>
          <cell r="O90">
            <v>450</v>
          </cell>
          <cell r="P90">
            <v>1795</v>
          </cell>
          <cell r="Q90">
            <v>10483</v>
          </cell>
          <cell r="R90">
            <v>4001</v>
          </cell>
          <cell r="S90">
            <v>1130</v>
          </cell>
          <cell r="T90">
            <v>1889</v>
          </cell>
          <cell r="U90">
            <v>982</v>
          </cell>
          <cell r="V90">
            <v>4639</v>
          </cell>
          <cell r="W90">
            <v>1843</v>
          </cell>
          <cell r="X90">
            <v>12988</v>
          </cell>
          <cell r="Y90">
            <v>11114</v>
          </cell>
          <cell r="Z90">
            <v>69</v>
          </cell>
          <cell r="AA90">
            <v>9925</v>
          </cell>
          <cell r="AB90">
            <v>987</v>
          </cell>
          <cell r="AC90">
            <v>133</v>
          </cell>
          <cell r="AD90">
            <v>1874</v>
          </cell>
          <cell r="AE90">
            <v>1858</v>
          </cell>
          <cell r="AF90">
            <v>16</v>
          </cell>
          <cell r="AG90">
            <v>66885</v>
          </cell>
          <cell r="AH90">
            <v>14775</v>
          </cell>
          <cell r="AI90">
            <v>14735</v>
          </cell>
          <cell r="AJ90">
            <v>40</v>
          </cell>
          <cell r="AK90">
            <v>42690</v>
          </cell>
          <cell r="AL90">
            <v>40750</v>
          </cell>
          <cell r="AM90">
            <v>1940</v>
          </cell>
          <cell r="AN90">
            <v>607</v>
          </cell>
          <cell r="AO90">
            <v>229</v>
          </cell>
          <cell r="AP90">
            <v>378</v>
          </cell>
          <cell r="AQ90">
            <v>2076</v>
          </cell>
          <cell r="AR90">
            <v>1042</v>
          </cell>
          <cell r="AS90">
            <v>30</v>
          </cell>
          <cell r="AT90">
            <v>1004</v>
          </cell>
          <cell r="AU90">
            <v>0</v>
          </cell>
          <cell r="AV90">
            <v>6737</v>
          </cell>
          <cell r="AW90">
            <v>3348</v>
          </cell>
          <cell r="AX90">
            <v>2969</v>
          </cell>
          <cell r="AY90">
            <v>336</v>
          </cell>
          <cell r="AZ90">
            <v>84</v>
          </cell>
          <cell r="BA90">
            <v>0</v>
          </cell>
          <cell r="BB90">
            <v>11473</v>
          </cell>
          <cell r="BC90">
            <v>4699</v>
          </cell>
          <cell r="BD90">
            <v>3754</v>
          </cell>
          <cell r="BE90">
            <v>930</v>
          </cell>
          <cell r="BF90">
            <v>15</v>
          </cell>
          <cell r="BG90">
            <v>989</v>
          </cell>
          <cell r="BH90">
            <v>1759</v>
          </cell>
          <cell r="BI90">
            <v>1300</v>
          </cell>
          <cell r="BJ90">
            <v>383</v>
          </cell>
          <cell r="BK90">
            <v>76</v>
          </cell>
          <cell r="BL90">
            <v>1092</v>
          </cell>
          <cell r="BM90">
            <v>969</v>
          </cell>
          <cell r="BN90">
            <v>98</v>
          </cell>
          <cell r="BO90">
            <v>871</v>
          </cell>
          <cell r="BP90">
            <v>1965</v>
          </cell>
          <cell r="BQ90">
            <v>1200</v>
          </cell>
          <cell r="BR90">
            <v>765</v>
          </cell>
          <cell r="BS90">
            <v>4305</v>
          </cell>
          <cell r="BT90">
            <v>1614</v>
          </cell>
          <cell r="BU90">
            <v>925</v>
          </cell>
          <cell r="BV90">
            <v>60</v>
          </cell>
          <cell r="BW90">
            <v>629</v>
          </cell>
          <cell r="BX90">
            <v>1593</v>
          </cell>
          <cell r="BY90">
            <v>836</v>
          </cell>
          <cell r="BZ90">
            <v>583</v>
          </cell>
          <cell r="CA90">
            <v>174</v>
          </cell>
          <cell r="CB90">
            <v>1098</v>
          </cell>
          <cell r="CC90">
            <v>35552</v>
          </cell>
          <cell r="CD90">
            <v>9316</v>
          </cell>
          <cell r="CE90">
            <v>8820</v>
          </cell>
          <cell r="CF90">
            <v>236</v>
          </cell>
          <cell r="CG90">
            <v>260</v>
          </cell>
          <cell r="CH90">
            <v>16080</v>
          </cell>
          <cell r="CI90">
            <v>993</v>
          </cell>
          <cell r="CJ90">
            <v>8969</v>
          </cell>
          <cell r="CK90">
            <v>4468</v>
          </cell>
          <cell r="CL90">
            <v>1650</v>
          </cell>
          <cell r="CM90">
            <v>10156</v>
          </cell>
          <cell r="CN90">
            <v>2018</v>
          </cell>
          <cell r="CO90">
            <v>1964</v>
          </cell>
          <cell r="CP90">
            <v>4336</v>
          </cell>
          <cell r="CQ90">
            <v>1176</v>
          </cell>
          <cell r="CR90">
            <v>662</v>
          </cell>
          <cell r="CS90">
            <v>6073</v>
          </cell>
          <cell r="CT90">
            <v>193</v>
          </cell>
          <cell r="CU90">
            <v>1104</v>
          </cell>
          <cell r="CV90">
            <v>4776</v>
          </cell>
          <cell r="CW90">
            <v>25026</v>
          </cell>
          <cell r="CX90">
            <v>4522</v>
          </cell>
          <cell r="CY90">
            <v>1433</v>
          </cell>
          <cell r="CZ90">
            <v>422</v>
          </cell>
          <cell r="DA90">
            <v>1451</v>
          </cell>
          <cell r="DB90">
            <v>1176</v>
          </cell>
          <cell r="DC90">
            <v>40</v>
          </cell>
          <cell r="DD90">
            <v>1933</v>
          </cell>
          <cell r="DE90">
            <v>1384</v>
          </cell>
          <cell r="DF90">
            <v>97</v>
          </cell>
          <cell r="DG90">
            <v>452</v>
          </cell>
          <cell r="DH90">
            <v>6031</v>
          </cell>
          <cell r="DI90">
            <v>2024</v>
          </cell>
          <cell r="DJ90">
            <v>1104</v>
          </cell>
          <cell r="DK90">
            <v>1159</v>
          </cell>
          <cell r="DL90">
            <v>1259</v>
          </cell>
          <cell r="DM90">
            <v>485</v>
          </cell>
          <cell r="DN90">
            <v>9262</v>
          </cell>
          <cell r="DO90">
            <v>2372</v>
          </cell>
          <cell r="DP90">
            <v>4535</v>
          </cell>
          <cell r="DQ90">
            <v>2355</v>
          </cell>
          <cell r="DR90">
            <v>3278</v>
          </cell>
          <cell r="DS90">
            <v>790</v>
          </cell>
          <cell r="DT90">
            <v>1260</v>
          </cell>
          <cell r="DU90">
            <v>729</v>
          </cell>
          <cell r="DV90">
            <v>499</v>
          </cell>
          <cell r="DW90">
            <v>0</v>
          </cell>
          <cell r="DX90">
            <v>3833</v>
          </cell>
          <cell r="DY90">
            <v>24833</v>
          </cell>
          <cell r="DZ90">
            <v>20033</v>
          </cell>
          <cell r="EA90">
            <v>18783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1250</v>
          </cell>
          <cell r="EG90">
            <v>4800</v>
          </cell>
          <cell r="EH90">
            <v>27970</v>
          </cell>
          <cell r="EI90">
            <v>4997</v>
          </cell>
          <cell r="EJ90">
            <v>1520</v>
          </cell>
          <cell r="EK90">
            <v>132</v>
          </cell>
          <cell r="EL90">
            <v>3345</v>
          </cell>
          <cell r="EM90">
            <v>1119</v>
          </cell>
          <cell r="EN90">
            <v>2314</v>
          </cell>
          <cell r="EO90">
            <v>1638</v>
          </cell>
          <cell r="EP90">
            <v>676</v>
          </cell>
          <cell r="EQ90">
            <v>2457</v>
          </cell>
          <cell r="ER90">
            <v>5018</v>
          </cell>
          <cell r="ES90">
            <v>1915</v>
          </cell>
          <cell r="ET90">
            <v>658</v>
          </cell>
          <cell r="EU90">
            <v>856</v>
          </cell>
          <cell r="EV90">
            <v>769</v>
          </cell>
          <cell r="EW90">
            <v>820</v>
          </cell>
          <cell r="EX90">
            <v>9146</v>
          </cell>
          <cell r="EY90">
            <v>3359</v>
          </cell>
          <cell r="EZ90">
            <v>5787</v>
          </cell>
          <cell r="FA90">
            <v>2919</v>
          </cell>
          <cell r="FB90">
            <v>253608</v>
          </cell>
          <cell r="FC90">
            <v>213009</v>
          </cell>
          <cell r="FD90">
            <v>23556</v>
          </cell>
          <cell r="FE90">
            <v>6082</v>
          </cell>
          <cell r="FF90">
            <v>629</v>
          </cell>
          <cell r="FG90">
            <v>9316</v>
          </cell>
          <cell r="FH90">
            <v>1104</v>
          </cell>
          <cell r="FI90">
            <v>4787</v>
          </cell>
          <cell r="FJ90">
            <v>1638</v>
          </cell>
          <cell r="FK90">
            <v>105991</v>
          </cell>
          <cell r="FL90">
            <v>21470</v>
          </cell>
          <cell r="FM90">
            <v>10483</v>
          </cell>
          <cell r="FN90">
            <v>12839</v>
          </cell>
          <cell r="FO90">
            <v>8008</v>
          </cell>
          <cell r="FP90">
            <v>10617</v>
          </cell>
          <cell r="FQ90">
            <v>1614</v>
          </cell>
          <cell r="FR90">
            <v>19278</v>
          </cell>
          <cell r="FS90">
            <v>1104</v>
          </cell>
          <cell r="FT90">
            <v>14787</v>
          </cell>
          <cell r="FU90">
            <v>5791</v>
          </cell>
          <cell r="FV90">
            <v>59366</v>
          </cell>
          <cell r="FW90">
            <v>21470</v>
          </cell>
          <cell r="FX90">
            <v>10483</v>
          </cell>
          <cell r="FY90">
            <v>8008</v>
          </cell>
          <cell r="FZ90">
            <v>1200</v>
          </cell>
          <cell r="GA90">
            <v>985</v>
          </cell>
          <cell r="GB90">
            <v>8969</v>
          </cell>
          <cell r="GC90">
            <v>4906</v>
          </cell>
          <cell r="GD90">
            <v>3345</v>
          </cell>
          <cell r="GE90">
            <v>2717</v>
          </cell>
          <cell r="GF90">
            <v>-7289</v>
          </cell>
          <cell r="GG90">
            <v>10006</v>
          </cell>
          <cell r="GH90">
            <v>144900</v>
          </cell>
          <cell r="GI90">
            <v>149</v>
          </cell>
          <cell r="GJ90">
            <v>58877</v>
          </cell>
          <cell r="GK90">
            <v>856</v>
          </cell>
          <cell r="GL90">
            <v>2691</v>
          </cell>
          <cell r="GM90">
            <v>16274</v>
          </cell>
          <cell r="GN90">
            <v>4969</v>
          </cell>
          <cell r="GO90">
            <v>10239</v>
          </cell>
          <cell r="GP90">
            <v>3833</v>
          </cell>
          <cell r="GQ90">
            <v>24833</v>
          </cell>
          <cell r="GR90">
            <v>22179</v>
          </cell>
          <cell r="GS90">
            <v>23069</v>
          </cell>
          <cell r="GT90">
            <v>12839</v>
          </cell>
          <cell r="GU90">
            <v>3335</v>
          </cell>
          <cell r="GV90">
            <v>993</v>
          </cell>
          <cell r="GW90">
            <v>5094</v>
          </cell>
          <cell r="GX90">
            <v>808</v>
          </cell>
        </row>
        <row r="91">
          <cell r="A91" t="str">
            <v>2011 Q3</v>
          </cell>
          <cell r="B91">
            <v>253757</v>
          </cell>
          <cell r="C91">
            <v>22093</v>
          </cell>
          <cell r="D91">
            <v>19768</v>
          </cell>
          <cell r="E91">
            <v>3627</v>
          </cell>
          <cell r="F91">
            <v>3968</v>
          </cell>
          <cell r="G91">
            <v>882</v>
          </cell>
          <cell r="H91">
            <v>2515</v>
          </cell>
          <cell r="I91">
            <v>643</v>
          </cell>
          <cell r="J91">
            <v>2016</v>
          </cell>
          <cell r="K91">
            <v>3127</v>
          </cell>
          <cell r="L91">
            <v>2100</v>
          </cell>
          <cell r="M91">
            <v>890</v>
          </cell>
          <cell r="N91">
            <v>2325</v>
          </cell>
          <cell r="O91">
            <v>448</v>
          </cell>
          <cell r="P91">
            <v>1877</v>
          </cell>
          <cell r="Q91">
            <v>10618</v>
          </cell>
          <cell r="R91">
            <v>4028</v>
          </cell>
          <cell r="S91">
            <v>1136</v>
          </cell>
          <cell r="T91">
            <v>1880</v>
          </cell>
          <cell r="U91">
            <v>1012</v>
          </cell>
          <cell r="V91">
            <v>4682</v>
          </cell>
          <cell r="W91">
            <v>1908</v>
          </cell>
          <cell r="X91">
            <v>12994</v>
          </cell>
          <cell r="Y91">
            <v>11111</v>
          </cell>
          <cell r="Z91">
            <v>67</v>
          </cell>
          <cell r="AA91">
            <v>9897</v>
          </cell>
          <cell r="AB91">
            <v>996</v>
          </cell>
          <cell r="AC91">
            <v>151</v>
          </cell>
          <cell r="AD91">
            <v>1883</v>
          </cell>
          <cell r="AE91">
            <v>1865</v>
          </cell>
          <cell r="AF91">
            <v>18</v>
          </cell>
          <cell r="AG91">
            <v>68432</v>
          </cell>
          <cell r="AH91">
            <v>14940</v>
          </cell>
          <cell r="AI91">
            <v>14899</v>
          </cell>
          <cell r="AJ91">
            <v>41</v>
          </cell>
          <cell r="AK91">
            <v>42804</v>
          </cell>
          <cell r="AL91">
            <v>40853</v>
          </cell>
          <cell r="AM91">
            <v>1951</v>
          </cell>
          <cell r="AN91">
            <v>595</v>
          </cell>
          <cell r="AO91">
            <v>229</v>
          </cell>
          <cell r="AP91">
            <v>366</v>
          </cell>
          <cell r="AQ91">
            <v>2101</v>
          </cell>
          <cell r="AR91">
            <v>1053</v>
          </cell>
          <cell r="AS91">
            <v>24</v>
          </cell>
          <cell r="AT91">
            <v>1024</v>
          </cell>
          <cell r="AU91">
            <v>0</v>
          </cell>
          <cell r="AV91">
            <v>7992</v>
          </cell>
          <cell r="AW91">
            <v>3508</v>
          </cell>
          <cell r="AX91">
            <v>3914</v>
          </cell>
          <cell r="AY91">
            <v>473</v>
          </cell>
          <cell r="AZ91">
            <v>97</v>
          </cell>
          <cell r="BA91">
            <v>0</v>
          </cell>
          <cell r="BB91">
            <v>11576</v>
          </cell>
          <cell r="BC91">
            <v>4727</v>
          </cell>
          <cell r="BD91">
            <v>3773</v>
          </cell>
          <cell r="BE91">
            <v>944</v>
          </cell>
          <cell r="BF91">
            <v>10</v>
          </cell>
          <cell r="BG91">
            <v>974</v>
          </cell>
          <cell r="BH91">
            <v>1763</v>
          </cell>
          <cell r="BI91">
            <v>1402</v>
          </cell>
          <cell r="BJ91">
            <v>298</v>
          </cell>
          <cell r="BK91">
            <v>63</v>
          </cell>
          <cell r="BL91">
            <v>1139</v>
          </cell>
          <cell r="BM91">
            <v>995</v>
          </cell>
          <cell r="BN91">
            <v>123</v>
          </cell>
          <cell r="BO91">
            <v>872</v>
          </cell>
          <cell r="BP91">
            <v>1978</v>
          </cell>
          <cell r="BQ91">
            <v>1208</v>
          </cell>
          <cell r="BR91">
            <v>770</v>
          </cell>
          <cell r="BS91">
            <v>4299</v>
          </cell>
          <cell r="BT91">
            <v>1611</v>
          </cell>
          <cell r="BU91">
            <v>926</v>
          </cell>
          <cell r="BV91">
            <v>63</v>
          </cell>
          <cell r="BW91">
            <v>622</v>
          </cell>
          <cell r="BX91">
            <v>1598</v>
          </cell>
          <cell r="BY91">
            <v>816</v>
          </cell>
          <cell r="BZ91">
            <v>565</v>
          </cell>
          <cell r="CA91">
            <v>217</v>
          </cell>
          <cell r="CB91">
            <v>1090</v>
          </cell>
          <cell r="CC91">
            <v>35801</v>
          </cell>
          <cell r="CD91">
            <v>9520</v>
          </cell>
          <cell r="CE91">
            <v>9015</v>
          </cell>
          <cell r="CF91">
            <v>239</v>
          </cell>
          <cell r="CG91">
            <v>266</v>
          </cell>
          <cell r="CH91">
            <v>15987</v>
          </cell>
          <cell r="CI91">
            <v>1053</v>
          </cell>
          <cell r="CJ91">
            <v>8896</v>
          </cell>
          <cell r="CK91">
            <v>4452</v>
          </cell>
          <cell r="CL91">
            <v>1586</v>
          </cell>
          <cell r="CM91">
            <v>10294</v>
          </cell>
          <cell r="CN91">
            <v>2091</v>
          </cell>
          <cell r="CO91">
            <v>1941</v>
          </cell>
          <cell r="CP91">
            <v>4533</v>
          </cell>
          <cell r="CQ91">
            <v>1087</v>
          </cell>
          <cell r="CR91">
            <v>642</v>
          </cell>
          <cell r="CS91">
            <v>6121</v>
          </cell>
          <cell r="CT91">
            <v>194</v>
          </cell>
          <cell r="CU91">
            <v>1073</v>
          </cell>
          <cell r="CV91">
            <v>4854</v>
          </cell>
          <cell r="CW91">
            <v>24796</v>
          </cell>
          <cell r="CX91">
            <v>4484</v>
          </cell>
          <cell r="CY91">
            <v>1438</v>
          </cell>
          <cell r="CZ91">
            <v>401</v>
          </cell>
          <cell r="DA91">
            <v>1445</v>
          </cell>
          <cell r="DB91">
            <v>1157</v>
          </cell>
          <cell r="DC91">
            <v>43</v>
          </cell>
          <cell r="DD91">
            <v>1879</v>
          </cell>
          <cell r="DE91">
            <v>1348</v>
          </cell>
          <cell r="DF91">
            <v>73</v>
          </cell>
          <cell r="DG91">
            <v>458</v>
          </cell>
          <cell r="DH91">
            <v>6128</v>
          </cell>
          <cell r="DI91">
            <v>2080</v>
          </cell>
          <cell r="DJ91">
            <v>1135</v>
          </cell>
          <cell r="DK91">
            <v>1101</v>
          </cell>
          <cell r="DL91">
            <v>1268</v>
          </cell>
          <cell r="DM91">
            <v>544</v>
          </cell>
          <cell r="DN91">
            <v>9028</v>
          </cell>
          <cell r="DO91">
            <v>2313</v>
          </cell>
          <cell r="DP91">
            <v>4290</v>
          </cell>
          <cell r="DQ91">
            <v>2425</v>
          </cell>
          <cell r="DR91">
            <v>3277</v>
          </cell>
          <cell r="DS91">
            <v>773</v>
          </cell>
          <cell r="DT91">
            <v>1227</v>
          </cell>
          <cell r="DU91">
            <v>830</v>
          </cell>
          <cell r="DV91">
            <v>447</v>
          </cell>
          <cell r="DW91">
            <v>0</v>
          </cell>
          <cell r="DX91">
            <v>3903</v>
          </cell>
          <cell r="DY91">
            <v>25128</v>
          </cell>
          <cell r="DZ91">
            <v>20343</v>
          </cell>
          <cell r="EA91">
            <v>19095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1248</v>
          </cell>
          <cell r="EG91">
            <v>4785</v>
          </cell>
          <cell r="EH91">
            <v>27996</v>
          </cell>
          <cell r="EI91">
            <v>5009</v>
          </cell>
          <cell r="EJ91">
            <v>1536</v>
          </cell>
          <cell r="EK91">
            <v>121</v>
          </cell>
          <cell r="EL91">
            <v>3352</v>
          </cell>
          <cell r="EM91">
            <v>1126</v>
          </cell>
          <cell r="EN91">
            <v>2361</v>
          </cell>
          <cell r="EO91">
            <v>1698</v>
          </cell>
          <cell r="EP91">
            <v>663</v>
          </cell>
          <cell r="EQ91">
            <v>2534</v>
          </cell>
          <cell r="ER91">
            <v>4782</v>
          </cell>
          <cell r="ES91">
            <v>1849</v>
          </cell>
          <cell r="ET91">
            <v>639</v>
          </cell>
          <cell r="EU91">
            <v>804</v>
          </cell>
          <cell r="EV91">
            <v>698</v>
          </cell>
          <cell r="EW91">
            <v>792</v>
          </cell>
          <cell r="EX91">
            <v>9111</v>
          </cell>
          <cell r="EY91">
            <v>3411</v>
          </cell>
          <cell r="EZ91">
            <v>5700</v>
          </cell>
          <cell r="FA91">
            <v>3073</v>
          </cell>
          <cell r="FB91">
            <v>256448</v>
          </cell>
          <cell r="FC91">
            <v>214587</v>
          </cell>
          <cell r="FD91">
            <v>23860</v>
          </cell>
          <cell r="FE91">
            <v>6242</v>
          </cell>
          <cell r="FF91">
            <v>622</v>
          </cell>
          <cell r="FG91">
            <v>9520</v>
          </cell>
          <cell r="FH91">
            <v>1073</v>
          </cell>
          <cell r="FI91">
            <v>4705</v>
          </cell>
          <cell r="FJ91">
            <v>1698</v>
          </cell>
          <cell r="FK91">
            <v>108253</v>
          </cell>
          <cell r="FL91">
            <v>22093</v>
          </cell>
          <cell r="FM91">
            <v>10618</v>
          </cell>
          <cell r="FN91">
            <v>12825</v>
          </cell>
          <cell r="FO91">
            <v>9274</v>
          </cell>
          <cell r="FP91">
            <v>10733</v>
          </cell>
          <cell r="FQ91">
            <v>1611</v>
          </cell>
          <cell r="FR91">
            <v>19469</v>
          </cell>
          <cell r="FS91">
            <v>1073</v>
          </cell>
          <cell r="FT91">
            <v>14723</v>
          </cell>
          <cell r="FU91">
            <v>5834</v>
          </cell>
          <cell r="FV91">
            <v>61303</v>
          </cell>
          <cell r="FW91">
            <v>22093</v>
          </cell>
          <cell r="FX91">
            <v>10618</v>
          </cell>
          <cell r="FY91">
            <v>9274</v>
          </cell>
          <cell r="FZ91">
            <v>1208</v>
          </cell>
          <cell r="GA91">
            <v>989</v>
          </cell>
          <cell r="GB91">
            <v>8896</v>
          </cell>
          <cell r="GC91">
            <v>4873</v>
          </cell>
          <cell r="GD91">
            <v>3352</v>
          </cell>
          <cell r="GE91">
            <v>2691</v>
          </cell>
          <cell r="GF91">
            <v>-7245</v>
          </cell>
          <cell r="GG91">
            <v>9936</v>
          </cell>
          <cell r="GH91">
            <v>145504</v>
          </cell>
          <cell r="GI91">
            <v>169</v>
          </cell>
          <cell r="GJ91">
            <v>59158</v>
          </cell>
          <cell r="GK91">
            <v>843</v>
          </cell>
          <cell r="GL91">
            <v>2688</v>
          </cell>
          <cell r="GM91">
            <v>16332</v>
          </cell>
          <cell r="GN91">
            <v>5048</v>
          </cell>
          <cell r="GO91">
            <v>10073</v>
          </cell>
          <cell r="GP91">
            <v>3903</v>
          </cell>
          <cell r="GQ91">
            <v>25128</v>
          </cell>
          <cell r="GR91">
            <v>22162</v>
          </cell>
          <cell r="GS91">
            <v>23090</v>
          </cell>
          <cell r="GT91">
            <v>12825</v>
          </cell>
          <cell r="GU91">
            <v>3283</v>
          </cell>
          <cell r="GV91">
            <v>1053</v>
          </cell>
          <cell r="GW91">
            <v>5145</v>
          </cell>
          <cell r="GX91">
            <v>784</v>
          </cell>
        </row>
        <row r="92">
          <cell r="A92" t="str">
            <v>2011 Q4</v>
          </cell>
          <cell r="B92">
            <v>256337</v>
          </cell>
          <cell r="C92">
            <v>22271</v>
          </cell>
          <cell r="D92">
            <v>19904</v>
          </cell>
          <cell r="E92">
            <v>3727</v>
          </cell>
          <cell r="F92">
            <v>4028</v>
          </cell>
          <cell r="G92">
            <v>872</v>
          </cell>
          <cell r="H92">
            <v>2519</v>
          </cell>
          <cell r="I92">
            <v>644</v>
          </cell>
          <cell r="J92">
            <v>1881</v>
          </cell>
          <cell r="K92">
            <v>3078</v>
          </cell>
          <cell r="L92">
            <v>2133</v>
          </cell>
          <cell r="M92">
            <v>1022</v>
          </cell>
          <cell r="N92">
            <v>2367</v>
          </cell>
          <cell r="O92">
            <v>458</v>
          </cell>
          <cell r="P92">
            <v>1909</v>
          </cell>
          <cell r="Q92">
            <v>10615</v>
          </cell>
          <cell r="R92">
            <v>4074</v>
          </cell>
          <cell r="S92">
            <v>1136</v>
          </cell>
          <cell r="T92">
            <v>1904</v>
          </cell>
          <cell r="U92">
            <v>1034</v>
          </cell>
          <cell r="V92">
            <v>4719</v>
          </cell>
          <cell r="W92">
            <v>1822</v>
          </cell>
          <cell r="X92">
            <v>13241</v>
          </cell>
          <cell r="Y92">
            <v>11324</v>
          </cell>
          <cell r="Z92">
            <v>53</v>
          </cell>
          <cell r="AA92">
            <v>10105</v>
          </cell>
          <cell r="AB92">
            <v>1007</v>
          </cell>
          <cell r="AC92">
            <v>159</v>
          </cell>
          <cell r="AD92">
            <v>1917</v>
          </cell>
          <cell r="AE92">
            <v>1897</v>
          </cell>
          <cell r="AF92">
            <v>20</v>
          </cell>
          <cell r="AG92">
            <v>68489</v>
          </cell>
          <cell r="AH92">
            <v>15215</v>
          </cell>
          <cell r="AI92">
            <v>15174</v>
          </cell>
          <cell r="AJ92">
            <v>41</v>
          </cell>
          <cell r="AK92">
            <v>43083</v>
          </cell>
          <cell r="AL92">
            <v>41111</v>
          </cell>
          <cell r="AM92">
            <v>1972</v>
          </cell>
          <cell r="AN92">
            <v>729</v>
          </cell>
          <cell r="AO92">
            <v>261</v>
          </cell>
          <cell r="AP92">
            <v>468</v>
          </cell>
          <cell r="AQ92">
            <v>2123</v>
          </cell>
          <cell r="AR92">
            <v>1068</v>
          </cell>
          <cell r="AS92">
            <v>22</v>
          </cell>
          <cell r="AT92">
            <v>1033</v>
          </cell>
          <cell r="AU92">
            <v>0</v>
          </cell>
          <cell r="AV92">
            <v>7339</v>
          </cell>
          <cell r="AW92">
            <v>3608</v>
          </cell>
          <cell r="AX92">
            <v>3266</v>
          </cell>
          <cell r="AY92">
            <v>373</v>
          </cell>
          <cell r="AZ92">
            <v>92</v>
          </cell>
          <cell r="BA92">
            <v>0</v>
          </cell>
          <cell r="BB92">
            <v>11529</v>
          </cell>
          <cell r="BC92">
            <v>4682</v>
          </cell>
          <cell r="BD92">
            <v>3675</v>
          </cell>
          <cell r="BE92">
            <v>989</v>
          </cell>
          <cell r="BF92">
            <v>18</v>
          </cell>
          <cell r="BG92">
            <v>963</v>
          </cell>
          <cell r="BH92">
            <v>1718</v>
          </cell>
          <cell r="BI92">
            <v>1316</v>
          </cell>
          <cell r="BJ92">
            <v>339</v>
          </cell>
          <cell r="BK92">
            <v>63</v>
          </cell>
          <cell r="BL92">
            <v>1097</v>
          </cell>
          <cell r="BM92">
            <v>1042</v>
          </cell>
          <cell r="BN92">
            <v>79</v>
          </cell>
          <cell r="BO92">
            <v>963</v>
          </cell>
          <cell r="BP92">
            <v>2027</v>
          </cell>
          <cell r="BQ92">
            <v>1248</v>
          </cell>
          <cell r="BR92">
            <v>779</v>
          </cell>
          <cell r="BS92">
            <v>4298</v>
          </cell>
          <cell r="BT92">
            <v>1649</v>
          </cell>
          <cell r="BU92">
            <v>967</v>
          </cell>
          <cell r="BV92">
            <v>66</v>
          </cell>
          <cell r="BW92">
            <v>616</v>
          </cell>
          <cell r="BX92">
            <v>1561</v>
          </cell>
          <cell r="BY92">
            <v>812</v>
          </cell>
          <cell r="BZ92">
            <v>490</v>
          </cell>
          <cell r="CA92">
            <v>259</v>
          </cell>
          <cell r="CB92">
            <v>1088</v>
          </cell>
          <cell r="CC92">
            <v>36381</v>
          </cell>
          <cell r="CD92">
            <v>9688</v>
          </cell>
          <cell r="CE92">
            <v>9172</v>
          </cell>
          <cell r="CF92">
            <v>238</v>
          </cell>
          <cell r="CG92">
            <v>278</v>
          </cell>
          <cell r="CH92">
            <v>16259</v>
          </cell>
          <cell r="CI92">
            <v>1071</v>
          </cell>
          <cell r="CJ92">
            <v>9094</v>
          </cell>
          <cell r="CK92">
            <v>4516</v>
          </cell>
          <cell r="CL92">
            <v>1578</v>
          </cell>
          <cell r="CM92">
            <v>10434</v>
          </cell>
          <cell r="CN92">
            <v>2159</v>
          </cell>
          <cell r="CO92">
            <v>1934</v>
          </cell>
          <cell r="CP92">
            <v>4534</v>
          </cell>
          <cell r="CQ92">
            <v>1144</v>
          </cell>
          <cell r="CR92">
            <v>663</v>
          </cell>
          <cell r="CS92">
            <v>6308</v>
          </cell>
          <cell r="CT92">
            <v>216</v>
          </cell>
          <cell r="CU92">
            <v>1182</v>
          </cell>
          <cell r="CV92">
            <v>4910</v>
          </cell>
          <cell r="CW92">
            <v>24593</v>
          </cell>
          <cell r="CX92">
            <v>4365</v>
          </cell>
          <cell r="CY92">
            <v>1355</v>
          </cell>
          <cell r="CZ92">
            <v>352</v>
          </cell>
          <cell r="DA92">
            <v>1447</v>
          </cell>
          <cell r="DB92">
            <v>1171</v>
          </cell>
          <cell r="DC92">
            <v>40</v>
          </cell>
          <cell r="DD92">
            <v>1965</v>
          </cell>
          <cell r="DE92">
            <v>1393</v>
          </cell>
          <cell r="DF92">
            <v>108</v>
          </cell>
          <cell r="DG92">
            <v>464</v>
          </cell>
          <cell r="DH92">
            <v>6076</v>
          </cell>
          <cell r="DI92">
            <v>2068</v>
          </cell>
          <cell r="DJ92">
            <v>1121</v>
          </cell>
          <cell r="DK92">
            <v>1064</v>
          </cell>
          <cell r="DL92">
            <v>1264</v>
          </cell>
          <cell r="DM92">
            <v>559</v>
          </cell>
          <cell r="DN92">
            <v>8926</v>
          </cell>
          <cell r="DO92">
            <v>2200</v>
          </cell>
          <cell r="DP92">
            <v>4384</v>
          </cell>
          <cell r="DQ92">
            <v>2342</v>
          </cell>
          <cell r="DR92">
            <v>3261</v>
          </cell>
          <cell r="DS92">
            <v>772</v>
          </cell>
          <cell r="DT92">
            <v>1222</v>
          </cell>
          <cell r="DU92">
            <v>798</v>
          </cell>
          <cell r="DV92">
            <v>469</v>
          </cell>
          <cell r="DW92">
            <v>0</v>
          </cell>
          <cell r="DX92">
            <v>3979</v>
          </cell>
          <cell r="DY92">
            <v>25395</v>
          </cell>
          <cell r="DZ92">
            <v>20347</v>
          </cell>
          <cell r="EA92">
            <v>19071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1276</v>
          </cell>
          <cell r="EG92">
            <v>5048</v>
          </cell>
          <cell r="EH92">
            <v>29238</v>
          </cell>
          <cell r="EI92">
            <v>5087</v>
          </cell>
          <cell r="EJ92">
            <v>1526</v>
          </cell>
          <cell r="EK92">
            <v>168</v>
          </cell>
          <cell r="EL92">
            <v>3393</v>
          </cell>
          <cell r="EM92">
            <v>1135</v>
          </cell>
          <cell r="EN92">
            <v>2406</v>
          </cell>
          <cell r="EO92">
            <v>1754</v>
          </cell>
          <cell r="EP92">
            <v>652</v>
          </cell>
          <cell r="EQ92">
            <v>2749</v>
          </cell>
          <cell r="ER92">
            <v>4957</v>
          </cell>
          <cell r="ES92">
            <v>1871</v>
          </cell>
          <cell r="ET92">
            <v>660</v>
          </cell>
          <cell r="EU92">
            <v>814</v>
          </cell>
          <cell r="EV92">
            <v>761</v>
          </cell>
          <cell r="EW92">
            <v>851</v>
          </cell>
          <cell r="EX92">
            <v>9237</v>
          </cell>
          <cell r="EY92">
            <v>3714</v>
          </cell>
          <cell r="EZ92">
            <v>5523</v>
          </cell>
          <cell r="FA92">
            <v>3667</v>
          </cell>
          <cell r="FB92">
            <v>258992</v>
          </cell>
          <cell r="FC92">
            <v>217131</v>
          </cell>
          <cell r="FD92">
            <v>23954</v>
          </cell>
          <cell r="FE92">
            <v>6059</v>
          </cell>
          <cell r="FF92">
            <v>616</v>
          </cell>
          <cell r="FG92">
            <v>9688</v>
          </cell>
          <cell r="FH92">
            <v>1182</v>
          </cell>
          <cell r="FI92">
            <v>4655</v>
          </cell>
          <cell r="FJ92">
            <v>1754</v>
          </cell>
          <cell r="FK92">
            <v>108540</v>
          </cell>
          <cell r="FL92">
            <v>22271</v>
          </cell>
          <cell r="FM92">
            <v>10615</v>
          </cell>
          <cell r="FN92">
            <v>13062</v>
          </cell>
          <cell r="FO92">
            <v>8668</v>
          </cell>
          <cell r="FP92">
            <v>10669</v>
          </cell>
          <cell r="FQ92">
            <v>1649</v>
          </cell>
          <cell r="FR92">
            <v>19853</v>
          </cell>
          <cell r="FS92">
            <v>1182</v>
          </cell>
          <cell r="FT92">
            <v>14604</v>
          </cell>
          <cell r="FU92">
            <v>5967</v>
          </cell>
          <cell r="FV92">
            <v>61139</v>
          </cell>
          <cell r="FW92">
            <v>22271</v>
          </cell>
          <cell r="FX92">
            <v>10615</v>
          </cell>
          <cell r="FY92">
            <v>8668</v>
          </cell>
          <cell r="FZ92">
            <v>1248</v>
          </cell>
          <cell r="GA92">
            <v>1033</v>
          </cell>
          <cell r="GB92">
            <v>9094</v>
          </cell>
          <cell r="GC92">
            <v>4817</v>
          </cell>
          <cell r="GD92">
            <v>3393</v>
          </cell>
          <cell r="GE92">
            <v>2655</v>
          </cell>
          <cell r="GF92">
            <v>-7488</v>
          </cell>
          <cell r="GG92">
            <v>10143</v>
          </cell>
          <cell r="GH92">
            <v>147797</v>
          </cell>
          <cell r="GI92">
            <v>179</v>
          </cell>
          <cell r="GJ92">
            <v>59821</v>
          </cell>
          <cell r="GK92">
            <v>860</v>
          </cell>
          <cell r="GL92">
            <v>2649</v>
          </cell>
          <cell r="GM92">
            <v>16528</v>
          </cell>
          <cell r="GN92">
            <v>5126</v>
          </cell>
          <cell r="GO92">
            <v>9989</v>
          </cell>
          <cell r="GP92">
            <v>3979</v>
          </cell>
          <cell r="GQ92">
            <v>25395</v>
          </cell>
          <cell r="GR92">
            <v>23271</v>
          </cell>
          <cell r="GS92">
            <v>23447</v>
          </cell>
          <cell r="GT92">
            <v>13062</v>
          </cell>
          <cell r="GU92">
            <v>3362</v>
          </cell>
          <cell r="GV92">
            <v>1071</v>
          </cell>
          <cell r="GW92">
            <v>5132</v>
          </cell>
          <cell r="GX92">
            <v>820</v>
          </cell>
        </row>
        <row r="93">
          <cell r="A93" t="str">
            <v>2012 Q1</v>
          </cell>
          <cell r="B93">
            <v>257219</v>
          </cell>
          <cell r="C93">
            <v>22177</v>
          </cell>
          <cell r="D93">
            <v>19759</v>
          </cell>
          <cell r="E93">
            <v>3615</v>
          </cell>
          <cell r="F93">
            <v>4088</v>
          </cell>
          <cell r="G93">
            <v>825</v>
          </cell>
          <cell r="H93">
            <v>2447</v>
          </cell>
          <cell r="I93">
            <v>639</v>
          </cell>
          <cell r="J93">
            <v>1940</v>
          </cell>
          <cell r="K93">
            <v>3109</v>
          </cell>
          <cell r="L93">
            <v>2133</v>
          </cell>
          <cell r="M93">
            <v>963</v>
          </cell>
          <cell r="N93">
            <v>2418</v>
          </cell>
          <cell r="O93">
            <v>450</v>
          </cell>
          <cell r="P93">
            <v>1968</v>
          </cell>
          <cell r="Q93">
            <v>10437</v>
          </cell>
          <cell r="R93">
            <v>4158</v>
          </cell>
          <cell r="S93">
            <v>1158</v>
          </cell>
          <cell r="T93">
            <v>1969</v>
          </cell>
          <cell r="U93">
            <v>1031</v>
          </cell>
          <cell r="V93">
            <v>4628</v>
          </cell>
          <cell r="W93">
            <v>1651</v>
          </cell>
          <cell r="X93">
            <v>13229</v>
          </cell>
          <cell r="Y93">
            <v>11166</v>
          </cell>
          <cell r="Z93">
            <v>55</v>
          </cell>
          <cell r="AA93">
            <v>9870</v>
          </cell>
          <cell r="AB93">
            <v>1056</v>
          </cell>
          <cell r="AC93">
            <v>185</v>
          </cell>
          <cell r="AD93">
            <v>2063</v>
          </cell>
          <cell r="AE93">
            <v>2042</v>
          </cell>
          <cell r="AF93">
            <v>21</v>
          </cell>
          <cell r="AG93">
            <v>69568</v>
          </cell>
          <cell r="AH93">
            <v>15734</v>
          </cell>
          <cell r="AI93">
            <v>15691</v>
          </cell>
          <cell r="AJ93">
            <v>43</v>
          </cell>
          <cell r="AK93">
            <v>43597</v>
          </cell>
          <cell r="AL93">
            <v>41572</v>
          </cell>
          <cell r="AM93">
            <v>2025</v>
          </cell>
          <cell r="AN93">
            <v>614</v>
          </cell>
          <cell r="AO93">
            <v>212</v>
          </cell>
          <cell r="AP93">
            <v>402</v>
          </cell>
          <cell r="AQ93">
            <v>2139</v>
          </cell>
          <cell r="AR93">
            <v>1087</v>
          </cell>
          <cell r="AS93">
            <v>24</v>
          </cell>
          <cell r="AT93">
            <v>1028</v>
          </cell>
          <cell r="AU93">
            <v>0</v>
          </cell>
          <cell r="AV93">
            <v>7484</v>
          </cell>
          <cell r="AW93">
            <v>3635</v>
          </cell>
          <cell r="AX93">
            <v>3421</v>
          </cell>
          <cell r="AY93">
            <v>349</v>
          </cell>
          <cell r="AZ93">
            <v>79</v>
          </cell>
          <cell r="BA93">
            <v>0</v>
          </cell>
          <cell r="BB93">
            <v>11701</v>
          </cell>
          <cell r="BC93">
            <v>4463</v>
          </cell>
          <cell r="BD93">
            <v>3419</v>
          </cell>
          <cell r="BE93">
            <v>1021</v>
          </cell>
          <cell r="BF93">
            <v>23</v>
          </cell>
          <cell r="BG93">
            <v>965</v>
          </cell>
          <cell r="BH93">
            <v>1917</v>
          </cell>
          <cell r="BI93">
            <v>1450</v>
          </cell>
          <cell r="BJ93">
            <v>406</v>
          </cell>
          <cell r="BK93">
            <v>61</v>
          </cell>
          <cell r="BL93">
            <v>1222</v>
          </cell>
          <cell r="BM93">
            <v>1130</v>
          </cell>
          <cell r="BN93">
            <v>119</v>
          </cell>
          <cell r="BO93">
            <v>1011</v>
          </cell>
          <cell r="BP93">
            <v>2004</v>
          </cell>
          <cell r="BQ93">
            <v>1274</v>
          </cell>
          <cell r="BR93">
            <v>730</v>
          </cell>
          <cell r="BS93">
            <v>4515</v>
          </cell>
          <cell r="BT93">
            <v>1715</v>
          </cell>
          <cell r="BU93">
            <v>1044</v>
          </cell>
          <cell r="BV93">
            <v>64</v>
          </cell>
          <cell r="BW93">
            <v>607</v>
          </cell>
          <cell r="BX93">
            <v>1668</v>
          </cell>
          <cell r="BY93">
            <v>931</v>
          </cell>
          <cell r="BZ93">
            <v>518</v>
          </cell>
          <cell r="CA93">
            <v>219</v>
          </cell>
          <cell r="CB93">
            <v>1132</v>
          </cell>
          <cell r="CC93">
            <v>36614</v>
          </cell>
          <cell r="CD93">
            <v>9503</v>
          </cell>
          <cell r="CE93">
            <v>8970</v>
          </cell>
          <cell r="CF93">
            <v>240</v>
          </cell>
          <cell r="CG93">
            <v>293</v>
          </cell>
          <cell r="CH93">
            <v>16290</v>
          </cell>
          <cell r="CI93">
            <v>1102</v>
          </cell>
          <cell r="CJ93">
            <v>8987</v>
          </cell>
          <cell r="CK93">
            <v>4637</v>
          </cell>
          <cell r="CL93">
            <v>1564</v>
          </cell>
          <cell r="CM93">
            <v>10821</v>
          </cell>
          <cell r="CN93">
            <v>2156</v>
          </cell>
          <cell r="CO93">
            <v>1966</v>
          </cell>
          <cell r="CP93">
            <v>4478</v>
          </cell>
          <cell r="CQ93">
            <v>1618</v>
          </cell>
          <cell r="CR93">
            <v>603</v>
          </cell>
          <cell r="CS93">
            <v>6382</v>
          </cell>
          <cell r="CT93">
            <v>233</v>
          </cell>
          <cell r="CU93">
            <v>1276</v>
          </cell>
          <cell r="CV93">
            <v>4873</v>
          </cell>
          <cell r="CW93">
            <v>24099</v>
          </cell>
          <cell r="CX93">
            <v>4156</v>
          </cell>
          <cell r="CY93">
            <v>1490</v>
          </cell>
          <cell r="CZ93">
            <v>267</v>
          </cell>
          <cell r="DA93">
            <v>1204</v>
          </cell>
          <cell r="DB93">
            <v>1163</v>
          </cell>
          <cell r="DC93">
            <v>32</v>
          </cell>
          <cell r="DD93">
            <v>1977</v>
          </cell>
          <cell r="DE93">
            <v>1401</v>
          </cell>
          <cell r="DF93">
            <v>106</v>
          </cell>
          <cell r="DG93">
            <v>470</v>
          </cell>
          <cell r="DH93">
            <v>5869</v>
          </cell>
          <cell r="DI93">
            <v>1928</v>
          </cell>
          <cell r="DJ93">
            <v>1020</v>
          </cell>
          <cell r="DK93">
            <v>1126</v>
          </cell>
          <cell r="DL93">
            <v>1263</v>
          </cell>
          <cell r="DM93">
            <v>532</v>
          </cell>
          <cell r="DN93">
            <v>8891</v>
          </cell>
          <cell r="DO93">
            <v>2245</v>
          </cell>
          <cell r="DP93">
            <v>4301</v>
          </cell>
          <cell r="DQ93">
            <v>2345</v>
          </cell>
          <cell r="DR93">
            <v>3206</v>
          </cell>
          <cell r="DS93">
            <v>793</v>
          </cell>
          <cell r="DT93">
            <v>1162</v>
          </cell>
          <cell r="DU93">
            <v>728</v>
          </cell>
          <cell r="DV93">
            <v>523</v>
          </cell>
          <cell r="DW93">
            <v>0</v>
          </cell>
          <cell r="DX93">
            <v>4009</v>
          </cell>
          <cell r="DY93">
            <v>25319</v>
          </cell>
          <cell r="DZ93">
            <v>20156</v>
          </cell>
          <cell r="EA93">
            <v>18903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1253</v>
          </cell>
          <cell r="EG93">
            <v>5163</v>
          </cell>
          <cell r="EH93">
            <v>29169</v>
          </cell>
          <cell r="EI93">
            <v>5086</v>
          </cell>
          <cell r="EJ93">
            <v>1529</v>
          </cell>
          <cell r="EK93">
            <v>150</v>
          </cell>
          <cell r="EL93">
            <v>3407</v>
          </cell>
          <cell r="EM93">
            <v>1146</v>
          </cell>
          <cell r="EN93">
            <v>2660</v>
          </cell>
          <cell r="EO93">
            <v>1954</v>
          </cell>
          <cell r="EP93">
            <v>706</v>
          </cell>
          <cell r="EQ93">
            <v>2575</v>
          </cell>
          <cell r="ER93">
            <v>5002</v>
          </cell>
          <cell r="ES93">
            <v>1995</v>
          </cell>
          <cell r="ET93">
            <v>670</v>
          </cell>
          <cell r="EU93">
            <v>806</v>
          </cell>
          <cell r="EV93">
            <v>693</v>
          </cell>
          <cell r="EW93">
            <v>838</v>
          </cell>
          <cell r="EX93">
            <v>9457</v>
          </cell>
          <cell r="EY93">
            <v>4036</v>
          </cell>
          <cell r="EZ93">
            <v>5421</v>
          </cell>
          <cell r="FA93">
            <v>3243</v>
          </cell>
          <cell r="FB93">
            <v>259202</v>
          </cell>
          <cell r="FC93">
            <v>218616</v>
          </cell>
          <cell r="FD93">
            <v>23817</v>
          </cell>
          <cell r="FE93">
            <v>6009</v>
          </cell>
          <cell r="FF93">
            <v>607</v>
          </cell>
          <cell r="FG93">
            <v>9503</v>
          </cell>
          <cell r="FH93">
            <v>1276</v>
          </cell>
          <cell r="FI93">
            <v>4468</v>
          </cell>
          <cell r="FJ93">
            <v>1954</v>
          </cell>
          <cell r="FK93">
            <v>108281</v>
          </cell>
          <cell r="FL93">
            <v>22177</v>
          </cell>
          <cell r="FM93">
            <v>10437</v>
          </cell>
          <cell r="FN93">
            <v>13023</v>
          </cell>
          <cell r="FO93">
            <v>8783</v>
          </cell>
          <cell r="FP93">
            <v>10887</v>
          </cell>
          <cell r="FQ93">
            <v>1715</v>
          </cell>
          <cell r="FR93">
            <v>19592</v>
          </cell>
          <cell r="FS93">
            <v>1276</v>
          </cell>
          <cell r="FT93">
            <v>14174</v>
          </cell>
          <cell r="FU93">
            <v>6217</v>
          </cell>
          <cell r="FV93">
            <v>60975</v>
          </cell>
          <cell r="FW93">
            <v>22177</v>
          </cell>
          <cell r="FX93">
            <v>10437</v>
          </cell>
          <cell r="FY93">
            <v>8783</v>
          </cell>
          <cell r="FZ93">
            <v>1274</v>
          </cell>
          <cell r="GA93">
            <v>1108</v>
          </cell>
          <cell r="GB93">
            <v>8987</v>
          </cell>
          <cell r="GC93">
            <v>4802</v>
          </cell>
          <cell r="GD93">
            <v>3407</v>
          </cell>
          <cell r="GE93">
            <v>1983</v>
          </cell>
          <cell r="GF93">
            <v>-7605</v>
          </cell>
          <cell r="GG93">
            <v>9588</v>
          </cell>
          <cell r="GH93">
            <v>148938</v>
          </cell>
          <cell r="GI93">
            <v>206</v>
          </cell>
          <cell r="GJ93">
            <v>60785</v>
          </cell>
          <cell r="GK93">
            <v>814</v>
          </cell>
          <cell r="GL93">
            <v>2800</v>
          </cell>
          <cell r="GM93">
            <v>17022</v>
          </cell>
          <cell r="GN93">
            <v>5106</v>
          </cell>
          <cell r="GO93">
            <v>9925</v>
          </cell>
          <cell r="GP93">
            <v>4009</v>
          </cell>
          <cell r="GQ93">
            <v>25319</v>
          </cell>
          <cell r="GR93">
            <v>22952</v>
          </cell>
          <cell r="GS93">
            <v>23489</v>
          </cell>
          <cell r="GT93">
            <v>13023</v>
          </cell>
          <cell r="GU93">
            <v>3604</v>
          </cell>
          <cell r="GV93">
            <v>1102</v>
          </cell>
          <cell r="GW93">
            <v>4904</v>
          </cell>
          <cell r="GX93">
            <v>856</v>
          </cell>
        </row>
        <row r="94">
          <cell r="A94" t="str">
            <v>2012 Q2</v>
          </cell>
          <cell r="B94">
            <v>260073</v>
          </cell>
          <cell r="C94">
            <v>22143</v>
          </cell>
          <cell r="D94">
            <v>19695</v>
          </cell>
          <cell r="E94">
            <v>3583</v>
          </cell>
          <cell r="F94">
            <v>4185</v>
          </cell>
          <cell r="G94">
            <v>838</v>
          </cell>
          <cell r="H94">
            <v>2485</v>
          </cell>
          <cell r="I94">
            <v>626</v>
          </cell>
          <cell r="J94">
            <v>1921</v>
          </cell>
          <cell r="K94">
            <v>2998</v>
          </cell>
          <cell r="L94">
            <v>2069</v>
          </cell>
          <cell r="M94">
            <v>990</v>
          </cell>
          <cell r="N94">
            <v>2448</v>
          </cell>
          <cell r="O94">
            <v>454</v>
          </cell>
          <cell r="P94">
            <v>1994</v>
          </cell>
          <cell r="Q94">
            <v>10285</v>
          </cell>
          <cell r="R94">
            <v>4071</v>
          </cell>
          <cell r="S94">
            <v>1160</v>
          </cell>
          <cell r="T94">
            <v>1914</v>
          </cell>
          <cell r="U94">
            <v>997</v>
          </cell>
          <cell r="V94">
            <v>4744</v>
          </cell>
          <cell r="W94">
            <v>1470</v>
          </cell>
          <cell r="X94">
            <v>13225</v>
          </cell>
          <cell r="Y94">
            <v>11205</v>
          </cell>
          <cell r="Z94">
            <v>51</v>
          </cell>
          <cell r="AA94">
            <v>9939</v>
          </cell>
          <cell r="AB94">
            <v>1046</v>
          </cell>
          <cell r="AC94">
            <v>169</v>
          </cell>
          <cell r="AD94">
            <v>2020</v>
          </cell>
          <cell r="AE94">
            <v>1997</v>
          </cell>
          <cell r="AF94">
            <v>23</v>
          </cell>
          <cell r="AG94">
            <v>71896</v>
          </cell>
          <cell r="AH94">
            <v>16166</v>
          </cell>
          <cell r="AI94">
            <v>16122</v>
          </cell>
          <cell r="AJ94">
            <v>44</v>
          </cell>
          <cell r="AK94">
            <v>44082</v>
          </cell>
          <cell r="AL94">
            <v>42012</v>
          </cell>
          <cell r="AM94">
            <v>2070</v>
          </cell>
          <cell r="AN94">
            <v>649</v>
          </cell>
          <cell r="AO94">
            <v>211</v>
          </cell>
          <cell r="AP94">
            <v>438</v>
          </cell>
          <cell r="AQ94">
            <v>2185</v>
          </cell>
          <cell r="AR94">
            <v>1106</v>
          </cell>
          <cell r="AS94">
            <v>25</v>
          </cell>
          <cell r="AT94">
            <v>1054</v>
          </cell>
          <cell r="AU94">
            <v>0</v>
          </cell>
          <cell r="AV94">
            <v>8814</v>
          </cell>
          <cell r="AW94">
            <v>3852</v>
          </cell>
          <cell r="AX94">
            <v>4431</v>
          </cell>
          <cell r="AY94">
            <v>439</v>
          </cell>
          <cell r="AZ94">
            <v>92</v>
          </cell>
          <cell r="BA94">
            <v>0</v>
          </cell>
          <cell r="BB94">
            <v>11923</v>
          </cell>
          <cell r="BC94">
            <v>4509</v>
          </cell>
          <cell r="BD94">
            <v>3517</v>
          </cell>
          <cell r="BE94">
            <v>976</v>
          </cell>
          <cell r="BF94">
            <v>16</v>
          </cell>
          <cell r="BG94">
            <v>985</v>
          </cell>
          <cell r="BH94">
            <v>1904</v>
          </cell>
          <cell r="BI94">
            <v>1648</v>
          </cell>
          <cell r="BJ94">
            <v>218</v>
          </cell>
          <cell r="BK94">
            <v>38</v>
          </cell>
          <cell r="BL94">
            <v>1256</v>
          </cell>
          <cell r="BM94">
            <v>1158</v>
          </cell>
          <cell r="BN94">
            <v>101</v>
          </cell>
          <cell r="BO94">
            <v>1057</v>
          </cell>
          <cell r="BP94">
            <v>2111</v>
          </cell>
          <cell r="BQ94">
            <v>1323</v>
          </cell>
          <cell r="BR94">
            <v>788</v>
          </cell>
          <cell r="BS94">
            <v>4650</v>
          </cell>
          <cell r="BT94">
            <v>1905</v>
          </cell>
          <cell r="BU94">
            <v>1220</v>
          </cell>
          <cell r="BV94">
            <v>76</v>
          </cell>
          <cell r="BW94">
            <v>609</v>
          </cell>
          <cell r="BX94">
            <v>1591</v>
          </cell>
          <cell r="BY94">
            <v>868</v>
          </cell>
          <cell r="BZ94">
            <v>526</v>
          </cell>
          <cell r="CA94">
            <v>197</v>
          </cell>
          <cell r="CB94">
            <v>1154</v>
          </cell>
          <cell r="CC94">
            <v>36326</v>
          </cell>
          <cell r="CD94">
            <v>9707</v>
          </cell>
          <cell r="CE94">
            <v>9208</v>
          </cell>
          <cell r="CF94">
            <v>193</v>
          </cell>
          <cell r="CG94">
            <v>306</v>
          </cell>
          <cell r="CH94">
            <v>15828</v>
          </cell>
          <cell r="CI94">
            <v>1145</v>
          </cell>
          <cell r="CJ94">
            <v>8493</v>
          </cell>
          <cell r="CK94">
            <v>4666</v>
          </cell>
          <cell r="CL94">
            <v>1524</v>
          </cell>
          <cell r="CM94">
            <v>10791</v>
          </cell>
          <cell r="CN94">
            <v>2242</v>
          </cell>
          <cell r="CO94">
            <v>1972</v>
          </cell>
          <cell r="CP94">
            <v>4661</v>
          </cell>
          <cell r="CQ94">
            <v>1332</v>
          </cell>
          <cell r="CR94">
            <v>584</v>
          </cell>
          <cell r="CS94">
            <v>6478</v>
          </cell>
          <cell r="CT94">
            <v>242</v>
          </cell>
          <cell r="CU94">
            <v>1340</v>
          </cell>
          <cell r="CV94">
            <v>4896</v>
          </cell>
          <cell r="CW94">
            <v>23679</v>
          </cell>
          <cell r="CX94">
            <v>4028</v>
          </cell>
          <cell r="CY94">
            <v>1441</v>
          </cell>
          <cell r="CZ94">
            <v>231</v>
          </cell>
          <cell r="DA94">
            <v>1178</v>
          </cell>
          <cell r="DB94">
            <v>1151</v>
          </cell>
          <cell r="DC94">
            <v>27</v>
          </cell>
          <cell r="DD94">
            <v>2001</v>
          </cell>
          <cell r="DE94">
            <v>1403</v>
          </cell>
          <cell r="DF94">
            <v>121</v>
          </cell>
          <cell r="DG94">
            <v>477</v>
          </cell>
          <cell r="DH94">
            <v>5746</v>
          </cell>
          <cell r="DI94">
            <v>1858</v>
          </cell>
          <cell r="DJ94">
            <v>1030</v>
          </cell>
          <cell r="DK94">
            <v>1046</v>
          </cell>
          <cell r="DL94">
            <v>1294</v>
          </cell>
          <cell r="DM94">
            <v>518</v>
          </cell>
          <cell r="DN94">
            <v>8804</v>
          </cell>
          <cell r="DO94">
            <v>2208</v>
          </cell>
          <cell r="DP94">
            <v>4207</v>
          </cell>
          <cell r="DQ94">
            <v>2389</v>
          </cell>
          <cell r="DR94">
            <v>3100</v>
          </cell>
          <cell r="DS94">
            <v>725</v>
          </cell>
          <cell r="DT94">
            <v>1152</v>
          </cell>
          <cell r="DU94">
            <v>734</v>
          </cell>
          <cell r="DV94">
            <v>489</v>
          </cell>
          <cell r="DW94">
            <v>0</v>
          </cell>
          <cell r="DX94">
            <v>4105</v>
          </cell>
          <cell r="DY94">
            <v>25905</v>
          </cell>
          <cell r="DZ94">
            <v>20586</v>
          </cell>
          <cell r="EA94">
            <v>19344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1242</v>
          </cell>
          <cell r="EG94">
            <v>5319</v>
          </cell>
          <cell r="EH94">
            <v>29458</v>
          </cell>
          <cell r="EI94">
            <v>5330</v>
          </cell>
          <cell r="EJ94">
            <v>1566</v>
          </cell>
          <cell r="EK94">
            <v>163</v>
          </cell>
          <cell r="EL94">
            <v>3601</v>
          </cell>
          <cell r="EM94">
            <v>1155</v>
          </cell>
          <cell r="EN94">
            <v>2494</v>
          </cell>
          <cell r="EO94">
            <v>1842</v>
          </cell>
          <cell r="EP94">
            <v>652</v>
          </cell>
          <cell r="EQ94">
            <v>2829</v>
          </cell>
          <cell r="ER94">
            <v>5319</v>
          </cell>
          <cell r="ES94">
            <v>2121</v>
          </cell>
          <cell r="ET94">
            <v>685</v>
          </cell>
          <cell r="EU94">
            <v>881</v>
          </cell>
          <cell r="EV94">
            <v>781</v>
          </cell>
          <cell r="EW94">
            <v>851</v>
          </cell>
          <cell r="EX94">
            <v>8884</v>
          </cell>
          <cell r="EY94">
            <v>3562</v>
          </cell>
          <cell r="EZ94">
            <v>5322</v>
          </cell>
          <cell r="FA94">
            <v>3447</v>
          </cell>
          <cell r="FB94">
            <v>262609</v>
          </cell>
          <cell r="FC94">
            <v>220996</v>
          </cell>
          <cell r="FD94">
            <v>24114</v>
          </cell>
          <cell r="FE94">
            <v>6242</v>
          </cell>
          <cell r="FF94">
            <v>609</v>
          </cell>
          <cell r="FG94">
            <v>9707</v>
          </cell>
          <cell r="FH94">
            <v>1340</v>
          </cell>
          <cell r="FI94">
            <v>4374</v>
          </cell>
          <cell r="FJ94">
            <v>1842</v>
          </cell>
          <cell r="FK94">
            <v>109374</v>
          </cell>
          <cell r="FL94">
            <v>22143</v>
          </cell>
          <cell r="FM94">
            <v>10285</v>
          </cell>
          <cell r="FN94">
            <v>13033</v>
          </cell>
          <cell r="FO94">
            <v>10131</v>
          </cell>
          <cell r="FP94">
            <v>11081</v>
          </cell>
          <cell r="FQ94">
            <v>1905</v>
          </cell>
          <cell r="FR94">
            <v>19345</v>
          </cell>
          <cell r="FS94">
            <v>1340</v>
          </cell>
          <cell r="FT94">
            <v>13853</v>
          </cell>
          <cell r="FU94">
            <v>6258</v>
          </cell>
          <cell r="FV94">
            <v>61987</v>
          </cell>
          <cell r="FW94">
            <v>22143</v>
          </cell>
          <cell r="FX94">
            <v>10285</v>
          </cell>
          <cell r="FY94">
            <v>10131</v>
          </cell>
          <cell r="FZ94">
            <v>1323</v>
          </cell>
          <cell r="GA94">
            <v>1296</v>
          </cell>
          <cell r="GB94">
            <v>8493</v>
          </cell>
          <cell r="GC94">
            <v>4715</v>
          </cell>
          <cell r="GD94">
            <v>3601</v>
          </cell>
          <cell r="GE94">
            <v>2536</v>
          </cell>
          <cell r="GF94">
            <v>-7578</v>
          </cell>
          <cell r="GG94">
            <v>10114</v>
          </cell>
          <cell r="GH94">
            <v>150699</v>
          </cell>
          <cell r="GI94">
            <v>192</v>
          </cell>
          <cell r="GJ94">
            <v>61765</v>
          </cell>
          <cell r="GK94">
            <v>842</v>
          </cell>
          <cell r="GL94">
            <v>2745</v>
          </cell>
          <cell r="GM94">
            <v>16981</v>
          </cell>
          <cell r="GN94">
            <v>5138</v>
          </cell>
          <cell r="GO94">
            <v>9826</v>
          </cell>
          <cell r="GP94">
            <v>4105</v>
          </cell>
          <cell r="GQ94">
            <v>25905</v>
          </cell>
          <cell r="GR94">
            <v>23200</v>
          </cell>
          <cell r="GS94">
            <v>23273</v>
          </cell>
          <cell r="GT94">
            <v>13033</v>
          </cell>
          <cell r="GU94">
            <v>3516</v>
          </cell>
          <cell r="GV94">
            <v>1145</v>
          </cell>
          <cell r="GW94">
            <v>4764</v>
          </cell>
          <cell r="GX94">
            <v>815</v>
          </cell>
        </row>
        <row r="95">
          <cell r="A95" t="str">
            <v>2012 Q3</v>
          </cell>
          <cell r="B95">
            <v>262958</v>
          </cell>
          <cell r="C95">
            <v>22134</v>
          </cell>
          <cell r="D95">
            <v>19687</v>
          </cell>
          <cell r="E95">
            <v>3679</v>
          </cell>
          <cell r="F95">
            <v>4202</v>
          </cell>
          <cell r="G95">
            <v>818</v>
          </cell>
          <cell r="H95">
            <v>2431</v>
          </cell>
          <cell r="I95">
            <v>572</v>
          </cell>
          <cell r="J95">
            <v>1923</v>
          </cell>
          <cell r="K95">
            <v>2970</v>
          </cell>
          <cell r="L95">
            <v>2169</v>
          </cell>
          <cell r="M95">
            <v>923</v>
          </cell>
          <cell r="N95">
            <v>2447</v>
          </cell>
          <cell r="O95">
            <v>474</v>
          </cell>
          <cell r="P95">
            <v>1973</v>
          </cell>
          <cell r="Q95">
            <v>10266</v>
          </cell>
          <cell r="R95">
            <v>4154</v>
          </cell>
          <cell r="S95">
            <v>1178</v>
          </cell>
          <cell r="T95">
            <v>1972</v>
          </cell>
          <cell r="U95">
            <v>1004</v>
          </cell>
          <cell r="V95">
            <v>4767</v>
          </cell>
          <cell r="W95">
            <v>1345</v>
          </cell>
          <cell r="X95">
            <v>13408</v>
          </cell>
          <cell r="Y95">
            <v>11321</v>
          </cell>
          <cell r="Z95">
            <v>47</v>
          </cell>
          <cell r="AA95">
            <v>10083</v>
          </cell>
          <cell r="AB95">
            <v>1023</v>
          </cell>
          <cell r="AC95">
            <v>168</v>
          </cell>
          <cell r="AD95">
            <v>2087</v>
          </cell>
          <cell r="AE95">
            <v>2065</v>
          </cell>
          <cell r="AF95">
            <v>22</v>
          </cell>
          <cell r="AG95">
            <v>71881</v>
          </cell>
          <cell r="AH95">
            <v>16420</v>
          </cell>
          <cell r="AI95">
            <v>16375</v>
          </cell>
          <cell r="AJ95">
            <v>45</v>
          </cell>
          <cell r="AK95">
            <v>44501</v>
          </cell>
          <cell r="AL95">
            <v>42391</v>
          </cell>
          <cell r="AM95">
            <v>2110</v>
          </cell>
          <cell r="AN95">
            <v>627</v>
          </cell>
          <cell r="AO95">
            <v>217</v>
          </cell>
          <cell r="AP95">
            <v>410</v>
          </cell>
          <cell r="AQ95">
            <v>2209</v>
          </cell>
          <cell r="AR95">
            <v>1118</v>
          </cell>
          <cell r="AS95">
            <v>26</v>
          </cell>
          <cell r="AT95">
            <v>1065</v>
          </cell>
          <cell r="AU95">
            <v>0</v>
          </cell>
          <cell r="AV95">
            <v>8124</v>
          </cell>
          <cell r="AW95">
            <v>3788</v>
          </cell>
          <cell r="AX95">
            <v>3824</v>
          </cell>
          <cell r="AY95">
            <v>429</v>
          </cell>
          <cell r="AZ95">
            <v>83</v>
          </cell>
          <cell r="BA95">
            <v>0</v>
          </cell>
          <cell r="BB95">
            <v>11765</v>
          </cell>
          <cell r="BC95">
            <v>4313</v>
          </cell>
          <cell r="BD95">
            <v>3417</v>
          </cell>
          <cell r="BE95">
            <v>881</v>
          </cell>
          <cell r="BF95">
            <v>15</v>
          </cell>
          <cell r="BG95">
            <v>987</v>
          </cell>
          <cell r="BH95">
            <v>1933</v>
          </cell>
          <cell r="BI95">
            <v>1628</v>
          </cell>
          <cell r="BJ95">
            <v>243</v>
          </cell>
          <cell r="BK95">
            <v>62</v>
          </cell>
          <cell r="BL95">
            <v>1246</v>
          </cell>
          <cell r="BM95">
            <v>1153</v>
          </cell>
          <cell r="BN95">
            <v>86</v>
          </cell>
          <cell r="BO95">
            <v>1067</v>
          </cell>
          <cell r="BP95">
            <v>2133</v>
          </cell>
          <cell r="BQ95">
            <v>1302</v>
          </cell>
          <cell r="BR95">
            <v>831</v>
          </cell>
          <cell r="BS95">
            <v>5005</v>
          </cell>
          <cell r="BT95">
            <v>2087</v>
          </cell>
          <cell r="BU95">
            <v>1376</v>
          </cell>
          <cell r="BV95">
            <v>79</v>
          </cell>
          <cell r="BW95">
            <v>632</v>
          </cell>
          <cell r="BX95">
            <v>1685</v>
          </cell>
          <cell r="BY95">
            <v>919</v>
          </cell>
          <cell r="BZ95">
            <v>594</v>
          </cell>
          <cell r="CA95">
            <v>172</v>
          </cell>
          <cell r="CB95">
            <v>1233</v>
          </cell>
          <cell r="CC95">
            <v>36667</v>
          </cell>
          <cell r="CD95">
            <v>9771</v>
          </cell>
          <cell r="CE95">
            <v>9278</v>
          </cell>
          <cell r="CF95">
            <v>180</v>
          </cell>
          <cell r="CG95">
            <v>313</v>
          </cell>
          <cell r="CH95">
            <v>15946</v>
          </cell>
          <cell r="CI95">
            <v>1212</v>
          </cell>
          <cell r="CJ95">
            <v>8591</v>
          </cell>
          <cell r="CK95">
            <v>4636</v>
          </cell>
          <cell r="CL95">
            <v>1507</v>
          </cell>
          <cell r="CM95">
            <v>10950</v>
          </cell>
          <cell r="CN95">
            <v>2272</v>
          </cell>
          <cell r="CO95">
            <v>1956</v>
          </cell>
          <cell r="CP95">
            <v>4710</v>
          </cell>
          <cell r="CQ95">
            <v>1406</v>
          </cell>
          <cell r="CR95">
            <v>606</v>
          </cell>
          <cell r="CS95">
            <v>6510</v>
          </cell>
          <cell r="CT95">
            <v>203</v>
          </cell>
          <cell r="CU95">
            <v>1398</v>
          </cell>
          <cell r="CV95">
            <v>4909</v>
          </cell>
          <cell r="CW95">
            <v>25684</v>
          </cell>
          <cell r="CX95">
            <v>4028</v>
          </cell>
          <cell r="CY95">
            <v>1397</v>
          </cell>
          <cell r="CZ95">
            <v>223</v>
          </cell>
          <cell r="DA95">
            <v>1165</v>
          </cell>
          <cell r="DB95">
            <v>1210</v>
          </cell>
          <cell r="DC95">
            <v>33</v>
          </cell>
          <cell r="DD95">
            <v>1976</v>
          </cell>
          <cell r="DE95">
            <v>1394</v>
          </cell>
          <cell r="DF95">
            <v>98</v>
          </cell>
          <cell r="DG95">
            <v>484</v>
          </cell>
          <cell r="DH95">
            <v>6010</v>
          </cell>
          <cell r="DI95">
            <v>1904</v>
          </cell>
          <cell r="DJ95">
            <v>1186</v>
          </cell>
          <cell r="DK95">
            <v>1056</v>
          </cell>
          <cell r="DL95">
            <v>1352</v>
          </cell>
          <cell r="DM95">
            <v>512</v>
          </cell>
          <cell r="DN95">
            <v>10462</v>
          </cell>
          <cell r="DO95">
            <v>3168</v>
          </cell>
          <cell r="DP95">
            <v>4778</v>
          </cell>
          <cell r="DQ95">
            <v>2516</v>
          </cell>
          <cell r="DR95">
            <v>3208</v>
          </cell>
          <cell r="DS95">
            <v>742</v>
          </cell>
          <cell r="DT95">
            <v>1202</v>
          </cell>
          <cell r="DU95">
            <v>786</v>
          </cell>
          <cell r="DV95">
            <v>478</v>
          </cell>
          <cell r="DW95">
            <v>0</v>
          </cell>
          <cell r="DX95">
            <v>4219</v>
          </cell>
          <cell r="DY95">
            <v>26302</v>
          </cell>
          <cell r="DZ95">
            <v>20989</v>
          </cell>
          <cell r="EA95">
            <v>19777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1212</v>
          </cell>
          <cell r="EG95">
            <v>5313</v>
          </cell>
          <cell r="EH95">
            <v>29117</v>
          </cell>
          <cell r="EI95">
            <v>5357</v>
          </cell>
          <cell r="EJ95">
            <v>1585</v>
          </cell>
          <cell r="EK95">
            <v>135</v>
          </cell>
          <cell r="EL95">
            <v>3637</v>
          </cell>
          <cell r="EM95">
            <v>1164</v>
          </cell>
          <cell r="EN95">
            <v>2498</v>
          </cell>
          <cell r="EO95">
            <v>1850</v>
          </cell>
          <cell r="EP95">
            <v>648</v>
          </cell>
          <cell r="EQ95">
            <v>2777</v>
          </cell>
          <cell r="ER95">
            <v>5350</v>
          </cell>
          <cell r="ES95">
            <v>2243</v>
          </cell>
          <cell r="ET95">
            <v>679</v>
          </cell>
          <cell r="EU95">
            <v>851</v>
          </cell>
          <cell r="EV95">
            <v>738</v>
          </cell>
          <cell r="EW95">
            <v>839</v>
          </cell>
          <cell r="EX95">
            <v>8264</v>
          </cell>
          <cell r="EY95">
            <v>2981</v>
          </cell>
          <cell r="EZ95">
            <v>5283</v>
          </cell>
          <cell r="FA95">
            <v>3707</v>
          </cell>
          <cell r="FB95">
            <v>265248</v>
          </cell>
          <cell r="FC95">
            <v>222376</v>
          </cell>
          <cell r="FD95">
            <v>23940</v>
          </cell>
          <cell r="FE95">
            <v>6012</v>
          </cell>
          <cell r="FF95">
            <v>632</v>
          </cell>
          <cell r="FG95">
            <v>9771</v>
          </cell>
          <cell r="FH95">
            <v>1398</v>
          </cell>
          <cell r="FI95">
            <v>4277</v>
          </cell>
          <cell r="FJ95">
            <v>1850</v>
          </cell>
          <cell r="FK95">
            <v>109456</v>
          </cell>
          <cell r="FL95">
            <v>22134</v>
          </cell>
          <cell r="FM95">
            <v>10266</v>
          </cell>
          <cell r="FN95">
            <v>13218</v>
          </cell>
          <cell r="FO95">
            <v>9459</v>
          </cell>
          <cell r="FP95">
            <v>10857</v>
          </cell>
          <cell r="FQ95">
            <v>2087</v>
          </cell>
          <cell r="FR95">
            <v>19574</v>
          </cell>
          <cell r="FS95">
            <v>1398</v>
          </cell>
          <cell r="FT95">
            <v>14193</v>
          </cell>
          <cell r="FU95">
            <v>6270</v>
          </cell>
          <cell r="FV95">
            <v>61718</v>
          </cell>
          <cell r="FW95">
            <v>22134</v>
          </cell>
          <cell r="FX95">
            <v>10266</v>
          </cell>
          <cell r="FY95">
            <v>9459</v>
          </cell>
          <cell r="FZ95">
            <v>1302</v>
          </cell>
          <cell r="GA95">
            <v>1455</v>
          </cell>
          <cell r="GB95">
            <v>8591</v>
          </cell>
          <cell r="GC95">
            <v>4874</v>
          </cell>
          <cell r="GD95">
            <v>3637</v>
          </cell>
          <cell r="GE95">
            <v>2290</v>
          </cell>
          <cell r="GF95">
            <v>-7826</v>
          </cell>
          <cell r="GG95">
            <v>10116</v>
          </cell>
          <cell r="GH95">
            <v>153502</v>
          </cell>
          <cell r="GI95">
            <v>190</v>
          </cell>
          <cell r="GJ95">
            <v>62422</v>
          </cell>
          <cell r="GK95">
            <v>908</v>
          </cell>
          <cell r="GL95">
            <v>2918</v>
          </cell>
          <cell r="GM95">
            <v>17093</v>
          </cell>
          <cell r="GN95">
            <v>5112</v>
          </cell>
          <cell r="GO95">
            <v>11491</v>
          </cell>
          <cell r="GP95">
            <v>4219</v>
          </cell>
          <cell r="GQ95">
            <v>26302</v>
          </cell>
          <cell r="GR95">
            <v>22847</v>
          </cell>
          <cell r="GS95">
            <v>23798</v>
          </cell>
          <cell r="GT95">
            <v>13218</v>
          </cell>
          <cell r="GU95">
            <v>3543</v>
          </cell>
          <cell r="GV95">
            <v>1212</v>
          </cell>
          <cell r="GW95">
            <v>5042</v>
          </cell>
          <cell r="GX95">
            <v>783</v>
          </cell>
        </row>
        <row r="96">
          <cell r="A96" t="str">
            <v>2012 Q4</v>
          </cell>
          <cell r="B96">
            <v>268673</v>
          </cell>
          <cell r="C96">
            <v>23413</v>
          </cell>
          <cell r="D96">
            <v>20911</v>
          </cell>
          <cell r="E96">
            <v>4105</v>
          </cell>
          <cell r="F96">
            <v>4290</v>
          </cell>
          <cell r="G96">
            <v>877</v>
          </cell>
          <cell r="H96">
            <v>2511</v>
          </cell>
          <cell r="I96">
            <v>574</v>
          </cell>
          <cell r="J96">
            <v>1974</v>
          </cell>
          <cell r="K96">
            <v>3227</v>
          </cell>
          <cell r="L96">
            <v>2227</v>
          </cell>
          <cell r="M96">
            <v>1126</v>
          </cell>
          <cell r="N96">
            <v>2502</v>
          </cell>
          <cell r="O96">
            <v>510</v>
          </cell>
          <cell r="P96">
            <v>1992</v>
          </cell>
          <cell r="Q96">
            <v>10429</v>
          </cell>
          <cell r="R96">
            <v>4303</v>
          </cell>
          <cell r="S96">
            <v>1232</v>
          </cell>
          <cell r="T96">
            <v>2010</v>
          </cell>
          <cell r="U96">
            <v>1061</v>
          </cell>
          <cell r="V96">
            <v>4828</v>
          </cell>
          <cell r="W96">
            <v>1298</v>
          </cell>
          <cell r="X96">
            <v>13762</v>
          </cell>
          <cell r="Y96">
            <v>11645</v>
          </cell>
          <cell r="Z96">
            <v>59</v>
          </cell>
          <cell r="AA96">
            <v>10389</v>
          </cell>
          <cell r="AB96">
            <v>1051</v>
          </cell>
          <cell r="AC96">
            <v>146</v>
          </cell>
          <cell r="AD96">
            <v>2117</v>
          </cell>
          <cell r="AE96">
            <v>2094</v>
          </cell>
          <cell r="AF96">
            <v>23</v>
          </cell>
          <cell r="AG96">
            <v>72974</v>
          </cell>
          <cell r="AH96">
            <v>16598</v>
          </cell>
          <cell r="AI96">
            <v>16551</v>
          </cell>
          <cell r="AJ96">
            <v>47</v>
          </cell>
          <cell r="AK96">
            <v>44844</v>
          </cell>
          <cell r="AL96">
            <v>42709</v>
          </cell>
          <cell r="AM96">
            <v>2135</v>
          </cell>
          <cell r="AN96">
            <v>645</v>
          </cell>
          <cell r="AO96">
            <v>217</v>
          </cell>
          <cell r="AP96">
            <v>428</v>
          </cell>
          <cell r="AQ96">
            <v>2219</v>
          </cell>
          <cell r="AR96">
            <v>1120</v>
          </cell>
          <cell r="AS96">
            <v>29</v>
          </cell>
          <cell r="AT96">
            <v>1070</v>
          </cell>
          <cell r="AU96">
            <v>0</v>
          </cell>
          <cell r="AV96">
            <v>8668</v>
          </cell>
          <cell r="AW96">
            <v>3940</v>
          </cell>
          <cell r="AX96">
            <v>4217</v>
          </cell>
          <cell r="AY96">
            <v>423</v>
          </cell>
          <cell r="AZ96">
            <v>88</v>
          </cell>
          <cell r="BA96">
            <v>0</v>
          </cell>
          <cell r="BB96">
            <v>11740</v>
          </cell>
          <cell r="BC96">
            <v>4362</v>
          </cell>
          <cell r="BD96">
            <v>3557</v>
          </cell>
          <cell r="BE96">
            <v>795</v>
          </cell>
          <cell r="BF96">
            <v>10</v>
          </cell>
          <cell r="BG96">
            <v>997</v>
          </cell>
          <cell r="BH96">
            <v>1984</v>
          </cell>
          <cell r="BI96">
            <v>1622</v>
          </cell>
          <cell r="BJ96">
            <v>285</v>
          </cell>
          <cell r="BK96">
            <v>77</v>
          </cell>
          <cell r="BL96">
            <v>1249</v>
          </cell>
          <cell r="BM96">
            <v>1030</v>
          </cell>
          <cell r="BN96">
            <v>92</v>
          </cell>
          <cell r="BO96">
            <v>938</v>
          </cell>
          <cell r="BP96">
            <v>2118</v>
          </cell>
          <cell r="BQ96">
            <v>1312</v>
          </cell>
          <cell r="BR96">
            <v>806</v>
          </cell>
          <cell r="BS96">
            <v>5413</v>
          </cell>
          <cell r="BT96">
            <v>2259</v>
          </cell>
          <cell r="BU96">
            <v>1522</v>
          </cell>
          <cell r="BV96">
            <v>69</v>
          </cell>
          <cell r="BW96">
            <v>668</v>
          </cell>
          <cell r="BX96">
            <v>1808</v>
          </cell>
          <cell r="BY96">
            <v>986</v>
          </cell>
          <cell r="BZ96">
            <v>631</v>
          </cell>
          <cell r="CA96">
            <v>191</v>
          </cell>
          <cell r="CB96">
            <v>1346</v>
          </cell>
          <cell r="CC96">
            <v>38057</v>
          </cell>
          <cell r="CD96">
            <v>10545</v>
          </cell>
          <cell r="CE96">
            <v>10024</v>
          </cell>
          <cell r="CF96">
            <v>210</v>
          </cell>
          <cell r="CG96">
            <v>311</v>
          </cell>
          <cell r="CH96">
            <v>16334</v>
          </cell>
          <cell r="CI96">
            <v>1200</v>
          </cell>
          <cell r="CJ96">
            <v>8967</v>
          </cell>
          <cell r="CK96">
            <v>4636</v>
          </cell>
          <cell r="CL96">
            <v>1531</v>
          </cell>
          <cell r="CM96">
            <v>11178</v>
          </cell>
          <cell r="CN96">
            <v>2384</v>
          </cell>
          <cell r="CO96">
            <v>2015</v>
          </cell>
          <cell r="CP96">
            <v>4622</v>
          </cell>
          <cell r="CQ96">
            <v>1568</v>
          </cell>
          <cell r="CR96">
            <v>589</v>
          </cell>
          <cell r="CS96">
            <v>6397</v>
          </cell>
          <cell r="CT96">
            <v>234</v>
          </cell>
          <cell r="CU96">
            <v>1352</v>
          </cell>
          <cell r="CV96">
            <v>4811</v>
          </cell>
          <cell r="CW96">
            <v>25379</v>
          </cell>
          <cell r="CX96">
            <v>4315</v>
          </cell>
          <cell r="CY96">
            <v>1393</v>
          </cell>
          <cell r="CZ96">
            <v>220</v>
          </cell>
          <cell r="DA96">
            <v>1197</v>
          </cell>
          <cell r="DB96">
            <v>1468</v>
          </cell>
          <cell r="DC96">
            <v>37</v>
          </cell>
          <cell r="DD96">
            <v>2001</v>
          </cell>
          <cell r="DE96">
            <v>1364</v>
          </cell>
          <cell r="DF96">
            <v>144</v>
          </cell>
          <cell r="DG96">
            <v>493</v>
          </cell>
          <cell r="DH96">
            <v>6059</v>
          </cell>
          <cell r="DI96">
            <v>1931</v>
          </cell>
          <cell r="DJ96">
            <v>1126</v>
          </cell>
          <cell r="DK96">
            <v>1052</v>
          </cell>
          <cell r="DL96">
            <v>1412</v>
          </cell>
          <cell r="DM96">
            <v>538</v>
          </cell>
          <cell r="DN96">
            <v>9711</v>
          </cell>
          <cell r="DO96">
            <v>2300</v>
          </cell>
          <cell r="DP96">
            <v>4939</v>
          </cell>
          <cell r="DQ96">
            <v>2472</v>
          </cell>
          <cell r="DR96">
            <v>3293</v>
          </cell>
          <cell r="DS96">
            <v>828</v>
          </cell>
          <cell r="DT96">
            <v>1211</v>
          </cell>
          <cell r="DU96">
            <v>783</v>
          </cell>
          <cell r="DV96">
            <v>471</v>
          </cell>
          <cell r="DW96">
            <v>0</v>
          </cell>
          <cell r="DX96">
            <v>4587</v>
          </cell>
          <cell r="DY96">
            <v>27443</v>
          </cell>
          <cell r="DZ96">
            <v>21896</v>
          </cell>
          <cell r="EA96">
            <v>20678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1218</v>
          </cell>
          <cell r="EG96">
            <v>5547</v>
          </cell>
          <cell r="EH96">
            <v>29079</v>
          </cell>
          <cell r="EI96">
            <v>5496</v>
          </cell>
          <cell r="EJ96">
            <v>1566</v>
          </cell>
          <cell r="EK96">
            <v>234</v>
          </cell>
          <cell r="EL96">
            <v>3696</v>
          </cell>
          <cell r="EM96">
            <v>1171</v>
          </cell>
          <cell r="EN96">
            <v>2501</v>
          </cell>
          <cell r="EO96">
            <v>1852</v>
          </cell>
          <cell r="EP96">
            <v>649</v>
          </cell>
          <cell r="EQ96">
            <v>2963</v>
          </cell>
          <cell r="ER96">
            <v>5162</v>
          </cell>
          <cell r="ES96">
            <v>2350</v>
          </cell>
          <cell r="ET96">
            <v>642</v>
          </cell>
          <cell r="EU96">
            <v>727</v>
          </cell>
          <cell r="EV96">
            <v>613</v>
          </cell>
          <cell r="EW96">
            <v>830</v>
          </cell>
          <cell r="EX96">
            <v>8011</v>
          </cell>
          <cell r="EY96">
            <v>2735</v>
          </cell>
          <cell r="EZ96">
            <v>5276</v>
          </cell>
          <cell r="FA96">
            <v>3775</v>
          </cell>
          <cell r="FB96">
            <v>271075</v>
          </cell>
          <cell r="FC96">
            <v>225594</v>
          </cell>
          <cell r="FD96">
            <v>24801</v>
          </cell>
          <cell r="FE96">
            <v>6066</v>
          </cell>
          <cell r="FF96">
            <v>668</v>
          </cell>
          <cell r="FG96">
            <v>10545</v>
          </cell>
          <cell r="FH96">
            <v>1352</v>
          </cell>
          <cell r="FI96">
            <v>4318</v>
          </cell>
          <cell r="FJ96">
            <v>1852</v>
          </cell>
          <cell r="FK96">
            <v>113641</v>
          </cell>
          <cell r="FL96">
            <v>23413</v>
          </cell>
          <cell r="FM96">
            <v>10429</v>
          </cell>
          <cell r="FN96">
            <v>13593</v>
          </cell>
          <cell r="FO96">
            <v>10005</v>
          </cell>
          <cell r="FP96">
            <v>10847</v>
          </cell>
          <cell r="FQ96">
            <v>2259</v>
          </cell>
          <cell r="FR96">
            <v>20712</v>
          </cell>
          <cell r="FS96">
            <v>1352</v>
          </cell>
          <cell r="FT96">
            <v>14600</v>
          </cell>
          <cell r="FU96">
            <v>6431</v>
          </cell>
          <cell r="FV96">
            <v>64342</v>
          </cell>
          <cell r="FW96">
            <v>23413</v>
          </cell>
          <cell r="FX96">
            <v>10429</v>
          </cell>
          <cell r="FY96">
            <v>10005</v>
          </cell>
          <cell r="FZ96">
            <v>1312</v>
          </cell>
          <cell r="GA96">
            <v>1591</v>
          </cell>
          <cell r="GB96">
            <v>8967</v>
          </cell>
          <cell r="GC96">
            <v>4929</v>
          </cell>
          <cell r="GD96">
            <v>3696</v>
          </cell>
          <cell r="GE96">
            <v>2402</v>
          </cell>
          <cell r="GF96">
            <v>-7745</v>
          </cell>
          <cell r="GG96">
            <v>10147</v>
          </cell>
          <cell r="GH96">
            <v>155032</v>
          </cell>
          <cell r="GI96">
            <v>169</v>
          </cell>
          <cell r="GJ96">
            <v>62969</v>
          </cell>
          <cell r="GK96">
            <v>893</v>
          </cell>
          <cell r="GL96">
            <v>3154</v>
          </cell>
          <cell r="GM96">
            <v>17345</v>
          </cell>
          <cell r="GN96">
            <v>5045</v>
          </cell>
          <cell r="GO96">
            <v>10779</v>
          </cell>
          <cell r="GP96">
            <v>4587</v>
          </cell>
          <cell r="GQ96">
            <v>27443</v>
          </cell>
          <cell r="GR96">
            <v>22648</v>
          </cell>
          <cell r="GS96">
            <v>24498</v>
          </cell>
          <cell r="GT96">
            <v>13593</v>
          </cell>
          <cell r="GU96">
            <v>3469</v>
          </cell>
          <cell r="GV96">
            <v>1200</v>
          </cell>
          <cell r="GW96">
            <v>5353</v>
          </cell>
          <cell r="GX96">
            <v>883</v>
          </cell>
        </row>
        <row r="97">
          <cell r="A97" t="str">
            <v>2013 Q1</v>
          </cell>
          <cell r="B97">
            <v>269778</v>
          </cell>
          <cell r="C97">
            <v>22779</v>
          </cell>
          <cell r="D97">
            <v>20311</v>
          </cell>
          <cell r="E97">
            <v>3895</v>
          </cell>
          <cell r="F97">
            <v>4238</v>
          </cell>
          <cell r="G97">
            <v>917</v>
          </cell>
          <cell r="H97">
            <v>2548</v>
          </cell>
          <cell r="I97">
            <v>566</v>
          </cell>
          <cell r="J97">
            <v>1850</v>
          </cell>
          <cell r="K97">
            <v>3105</v>
          </cell>
          <cell r="L97">
            <v>2180</v>
          </cell>
          <cell r="M97">
            <v>1012</v>
          </cell>
          <cell r="N97">
            <v>2468</v>
          </cell>
          <cell r="O97">
            <v>504</v>
          </cell>
          <cell r="P97">
            <v>1964</v>
          </cell>
          <cell r="Q97">
            <v>10781</v>
          </cell>
          <cell r="R97">
            <v>4678</v>
          </cell>
          <cell r="S97">
            <v>1331</v>
          </cell>
          <cell r="T97">
            <v>2189</v>
          </cell>
          <cell r="U97">
            <v>1158</v>
          </cell>
          <cell r="V97">
            <v>4801</v>
          </cell>
          <cell r="W97">
            <v>1302</v>
          </cell>
          <cell r="X97">
            <v>14175</v>
          </cell>
          <cell r="Y97">
            <v>12066</v>
          </cell>
          <cell r="Z97">
            <v>129</v>
          </cell>
          <cell r="AA97">
            <v>10769</v>
          </cell>
          <cell r="AB97">
            <v>1012</v>
          </cell>
          <cell r="AC97">
            <v>156</v>
          </cell>
          <cell r="AD97">
            <v>2109</v>
          </cell>
          <cell r="AE97">
            <v>2090</v>
          </cell>
          <cell r="AF97">
            <v>19</v>
          </cell>
          <cell r="AG97">
            <v>74313</v>
          </cell>
          <cell r="AH97">
            <v>16852</v>
          </cell>
          <cell r="AI97">
            <v>16804</v>
          </cell>
          <cell r="AJ97">
            <v>48</v>
          </cell>
          <cell r="AK97">
            <v>45186</v>
          </cell>
          <cell r="AL97">
            <v>43006</v>
          </cell>
          <cell r="AM97">
            <v>2180</v>
          </cell>
          <cell r="AN97">
            <v>663</v>
          </cell>
          <cell r="AO97">
            <v>220</v>
          </cell>
          <cell r="AP97">
            <v>443</v>
          </cell>
          <cell r="AQ97">
            <v>2212</v>
          </cell>
          <cell r="AR97">
            <v>1111</v>
          </cell>
          <cell r="AS97">
            <v>31</v>
          </cell>
          <cell r="AT97">
            <v>1070</v>
          </cell>
          <cell r="AU97">
            <v>0</v>
          </cell>
          <cell r="AV97">
            <v>9400</v>
          </cell>
          <cell r="AW97">
            <v>4153</v>
          </cell>
          <cell r="AX97">
            <v>4650</v>
          </cell>
          <cell r="AY97">
            <v>508</v>
          </cell>
          <cell r="AZ97">
            <v>89</v>
          </cell>
          <cell r="BA97">
            <v>0</v>
          </cell>
          <cell r="BB97">
            <v>11841</v>
          </cell>
          <cell r="BC97">
            <v>4435</v>
          </cell>
          <cell r="BD97">
            <v>3680</v>
          </cell>
          <cell r="BE97">
            <v>746</v>
          </cell>
          <cell r="BF97">
            <v>9</v>
          </cell>
          <cell r="BG97">
            <v>1076</v>
          </cell>
          <cell r="BH97">
            <v>1834</v>
          </cell>
          <cell r="BI97">
            <v>1542</v>
          </cell>
          <cell r="BJ97">
            <v>231</v>
          </cell>
          <cell r="BK97">
            <v>61</v>
          </cell>
          <cell r="BL97">
            <v>1300</v>
          </cell>
          <cell r="BM97">
            <v>1093</v>
          </cell>
          <cell r="BN97">
            <v>80</v>
          </cell>
          <cell r="BO97">
            <v>1013</v>
          </cell>
          <cell r="BP97">
            <v>2103</v>
          </cell>
          <cell r="BQ97">
            <v>1297</v>
          </cell>
          <cell r="BR97">
            <v>806</v>
          </cell>
          <cell r="BS97">
            <v>5465</v>
          </cell>
          <cell r="BT97">
            <v>2327</v>
          </cell>
          <cell r="BU97">
            <v>1643</v>
          </cell>
          <cell r="BV97">
            <v>62</v>
          </cell>
          <cell r="BW97">
            <v>622</v>
          </cell>
          <cell r="BX97">
            <v>1722</v>
          </cell>
          <cell r="BY97">
            <v>825</v>
          </cell>
          <cell r="BZ97">
            <v>684</v>
          </cell>
          <cell r="CA97">
            <v>213</v>
          </cell>
          <cell r="CB97">
            <v>1416</v>
          </cell>
          <cell r="CC97">
            <v>37670</v>
          </cell>
          <cell r="CD97">
            <v>10352</v>
          </cell>
          <cell r="CE97">
            <v>9842</v>
          </cell>
          <cell r="CF97">
            <v>205</v>
          </cell>
          <cell r="CG97">
            <v>305</v>
          </cell>
          <cell r="CH97">
            <v>16217</v>
          </cell>
          <cell r="CI97">
            <v>1252</v>
          </cell>
          <cell r="CJ97">
            <v>8819</v>
          </cell>
          <cell r="CK97">
            <v>4593</v>
          </cell>
          <cell r="CL97">
            <v>1553</v>
          </cell>
          <cell r="CM97">
            <v>11101</v>
          </cell>
          <cell r="CN97">
            <v>2414</v>
          </cell>
          <cell r="CO97">
            <v>1964</v>
          </cell>
          <cell r="CP97">
            <v>4696</v>
          </cell>
          <cell r="CQ97">
            <v>1405</v>
          </cell>
          <cell r="CR97">
            <v>622</v>
          </cell>
          <cell r="CS97">
            <v>6432</v>
          </cell>
          <cell r="CT97">
            <v>204</v>
          </cell>
          <cell r="CU97">
            <v>1321</v>
          </cell>
          <cell r="CV97">
            <v>4907</v>
          </cell>
          <cell r="CW97">
            <v>25306</v>
          </cell>
          <cell r="CX97">
            <v>4026</v>
          </cell>
          <cell r="CY97">
            <v>1350</v>
          </cell>
          <cell r="CZ97">
            <v>125</v>
          </cell>
          <cell r="DA97">
            <v>1304</v>
          </cell>
          <cell r="DB97">
            <v>1216</v>
          </cell>
          <cell r="DC97">
            <v>31</v>
          </cell>
          <cell r="DD97">
            <v>1965</v>
          </cell>
          <cell r="DE97">
            <v>1371</v>
          </cell>
          <cell r="DF97">
            <v>91</v>
          </cell>
          <cell r="DG97">
            <v>503</v>
          </cell>
          <cell r="DH97">
            <v>6080</v>
          </cell>
          <cell r="DI97">
            <v>1957</v>
          </cell>
          <cell r="DJ97">
            <v>1074</v>
          </cell>
          <cell r="DK97">
            <v>968</v>
          </cell>
          <cell r="DL97">
            <v>1479</v>
          </cell>
          <cell r="DM97">
            <v>602</v>
          </cell>
          <cell r="DN97">
            <v>9890</v>
          </cell>
          <cell r="DO97">
            <v>2321</v>
          </cell>
          <cell r="DP97">
            <v>5011</v>
          </cell>
          <cell r="DQ97">
            <v>2558</v>
          </cell>
          <cell r="DR97">
            <v>3345</v>
          </cell>
          <cell r="DS97">
            <v>779</v>
          </cell>
          <cell r="DT97">
            <v>1213</v>
          </cell>
          <cell r="DU97">
            <v>792</v>
          </cell>
          <cell r="DV97">
            <v>561</v>
          </cell>
          <cell r="DW97">
            <v>0</v>
          </cell>
          <cell r="DX97">
            <v>4553</v>
          </cell>
          <cell r="DY97">
            <v>26908</v>
          </cell>
          <cell r="DZ97">
            <v>21297</v>
          </cell>
          <cell r="EA97">
            <v>20031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1266</v>
          </cell>
          <cell r="EG97">
            <v>5611</v>
          </cell>
          <cell r="EH97">
            <v>29555</v>
          </cell>
          <cell r="EI97">
            <v>5380</v>
          </cell>
          <cell r="EJ97">
            <v>1557</v>
          </cell>
          <cell r="EK97">
            <v>185</v>
          </cell>
          <cell r="EL97">
            <v>3638</v>
          </cell>
          <cell r="EM97">
            <v>1178</v>
          </cell>
          <cell r="EN97">
            <v>2648</v>
          </cell>
          <cell r="EO97">
            <v>1817</v>
          </cell>
          <cell r="EP97">
            <v>831</v>
          </cell>
          <cell r="EQ97">
            <v>2987</v>
          </cell>
          <cell r="ER97">
            <v>5473</v>
          </cell>
          <cell r="ES97">
            <v>2472</v>
          </cell>
          <cell r="ET97">
            <v>643</v>
          </cell>
          <cell r="EU97">
            <v>815</v>
          </cell>
          <cell r="EV97">
            <v>750</v>
          </cell>
          <cell r="EW97">
            <v>793</v>
          </cell>
          <cell r="EX97">
            <v>8123</v>
          </cell>
          <cell r="EY97">
            <v>2820</v>
          </cell>
          <cell r="EZ97">
            <v>5303</v>
          </cell>
          <cell r="FA97">
            <v>3766</v>
          </cell>
          <cell r="FB97">
            <v>272364</v>
          </cell>
          <cell r="FC97">
            <v>227570</v>
          </cell>
          <cell r="FD97">
            <v>24401</v>
          </cell>
          <cell r="FE97">
            <v>6048</v>
          </cell>
          <cell r="FF97">
            <v>622</v>
          </cell>
          <cell r="FG97">
            <v>10352</v>
          </cell>
          <cell r="FH97">
            <v>1321</v>
          </cell>
          <cell r="FI97">
            <v>4241</v>
          </cell>
          <cell r="FJ97">
            <v>1817</v>
          </cell>
          <cell r="FK97">
            <v>114078</v>
          </cell>
          <cell r="FL97">
            <v>22779</v>
          </cell>
          <cell r="FM97">
            <v>10781</v>
          </cell>
          <cell r="FN97">
            <v>14000</v>
          </cell>
          <cell r="FO97">
            <v>10731</v>
          </cell>
          <cell r="FP97">
            <v>10965</v>
          </cell>
          <cell r="FQ97">
            <v>2327</v>
          </cell>
          <cell r="FR97">
            <v>20423</v>
          </cell>
          <cell r="FS97">
            <v>1321</v>
          </cell>
          <cell r="FT97">
            <v>14280</v>
          </cell>
          <cell r="FU97">
            <v>6471</v>
          </cell>
          <cell r="FV97">
            <v>64763</v>
          </cell>
          <cell r="FW97">
            <v>22779</v>
          </cell>
          <cell r="FX97">
            <v>10781</v>
          </cell>
          <cell r="FY97">
            <v>10731</v>
          </cell>
          <cell r="FZ97">
            <v>1297</v>
          </cell>
          <cell r="GA97">
            <v>1705</v>
          </cell>
          <cell r="GB97">
            <v>8819</v>
          </cell>
          <cell r="GC97">
            <v>5013</v>
          </cell>
          <cell r="GD97">
            <v>3638</v>
          </cell>
          <cell r="GE97">
            <v>2586</v>
          </cell>
          <cell r="GF97">
            <v>-8022</v>
          </cell>
          <cell r="GG97">
            <v>10608</v>
          </cell>
          <cell r="GH97">
            <v>155700</v>
          </cell>
          <cell r="GI97">
            <v>175</v>
          </cell>
          <cell r="GJ97">
            <v>63582</v>
          </cell>
          <cell r="GK97">
            <v>876</v>
          </cell>
          <cell r="GL97">
            <v>3138</v>
          </cell>
          <cell r="GM97">
            <v>17247</v>
          </cell>
          <cell r="GN97">
            <v>5111</v>
          </cell>
          <cell r="GO97">
            <v>11026</v>
          </cell>
          <cell r="GP97">
            <v>4553</v>
          </cell>
          <cell r="GQ97">
            <v>26908</v>
          </cell>
          <cell r="GR97">
            <v>23084</v>
          </cell>
          <cell r="GS97">
            <v>24914</v>
          </cell>
          <cell r="GT97">
            <v>14000</v>
          </cell>
          <cell r="GU97">
            <v>3620</v>
          </cell>
          <cell r="GV97">
            <v>1252</v>
          </cell>
          <cell r="GW97">
            <v>5026</v>
          </cell>
          <cell r="GX97">
            <v>1016</v>
          </cell>
        </row>
        <row r="98">
          <cell r="A98" t="str">
            <v>2013 Q2</v>
          </cell>
          <cell r="B98">
            <v>274209</v>
          </cell>
          <cell r="C98">
            <v>23071</v>
          </cell>
          <cell r="D98">
            <v>20710</v>
          </cell>
          <cell r="E98">
            <v>4051</v>
          </cell>
          <cell r="F98">
            <v>4204</v>
          </cell>
          <cell r="G98">
            <v>911</v>
          </cell>
          <cell r="H98">
            <v>2550</v>
          </cell>
          <cell r="I98">
            <v>589</v>
          </cell>
          <cell r="J98">
            <v>1980</v>
          </cell>
          <cell r="K98">
            <v>3140</v>
          </cell>
          <cell r="L98">
            <v>2262</v>
          </cell>
          <cell r="M98">
            <v>1023</v>
          </cell>
          <cell r="N98">
            <v>2361</v>
          </cell>
          <cell r="O98">
            <v>499</v>
          </cell>
          <cell r="P98">
            <v>1862</v>
          </cell>
          <cell r="Q98">
            <v>10380</v>
          </cell>
          <cell r="R98">
            <v>4392</v>
          </cell>
          <cell r="S98">
            <v>1238</v>
          </cell>
          <cell r="T98">
            <v>2028</v>
          </cell>
          <cell r="U98">
            <v>1126</v>
          </cell>
          <cell r="V98">
            <v>4670</v>
          </cell>
          <cell r="W98">
            <v>1318</v>
          </cell>
          <cell r="X98">
            <v>14301</v>
          </cell>
          <cell r="Y98">
            <v>12186</v>
          </cell>
          <cell r="Z98">
            <v>93</v>
          </cell>
          <cell r="AA98">
            <v>10825</v>
          </cell>
          <cell r="AB98">
            <v>1111</v>
          </cell>
          <cell r="AC98">
            <v>157</v>
          </cell>
          <cell r="AD98">
            <v>2115</v>
          </cell>
          <cell r="AE98">
            <v>2098</v>
          </cell>
          <cell r="AF98">
            <v>17</v>
          </cell>
          <cell r="AG98">
            <v>74987</v>
          </cell>
          <cell r="AH98">
            <v>17234</v>
          </cell>
          <cell r="AI98">
            <v>17185</v>
          </cell>
          <cell r="AJ98">
            <v>49</v>
          </cell>
          <cell r="AK98">
            <v>45611</v>
          </cell>
          <cell r="AL98">
            <v>43400</v>
          </cell>
          <cell r="AM98">
            <v>2211</v>
          </cell>
          <cell r="AN98">
            <v>631</v>
          </cell>
          <cell r="AO98">
            <v>232</v>
          </cell>
          <cell r="AP98">
            <v>399</v>
          </cell>
          <cell r="AQ98">
            <v>2247</v>
          </cell>
          <cell r="AR98">
            <v>1107</v>
          </cell>
          <cell r="AS98">
            <v>31</v>
          </cell>
          <cell r="AT98">
            <v>1109</v>
          </cell>
          <cell r="AU98">
            <v>0</v>
          </cell>
          <cell r="AV98">
            <v>9264</v>
          </cell>
          <cell r="AW98">
            <v>4089</v>
          </cell>
          <cell r="AX98">
            <v>4611</v>
          </cell>
          <cell r="AY98">
            <v>471</v>
          </cell>
          <cell r="AZ98">
            <v>93</v>
          </cell>
          <cell r="BA98">
            <v>0</v>
          </cell>
          <cell r="BB98">
            <v>12155</v>
          </cell>
          <cell r="BC98">
            <v>4474</v>
          </cell>
          <cell r="BD98">
            <v>3795</v>
          </cell>
          <cell r="BE98">
            <v>669</v>
          </cell>
          <cell r="BF98">
            <v>10</v>
          </cell>
          <cell r="BG98">
            <v>1091</v>
          </cell>
          <cell r="BH98">
            <v>1913</v>
          </cell>
          <cell r="BI98">
            <v>1462</v>
          </cell>
          <cell r="BJ98">
            <v>388</v>
          </cell>
          <cell r="BK98">
            <v>63</v>
          </cell>
          <cell r="BL98">
            <v>1319</v>
          </cell>
          <cell r="BM98">
            <v>1226</v>
          </cell>
          <cell r="BN98">
            <v>93</v>
          </cell>
          <cell r="BO98">
            <v>1133</v>
          </cell>
          <cell r="BP98">
            <v>2132</v>
          </cell>
          <cell r="BQ98">
            <v>1279</v>
          </cell>
          <cell r="BR98">
            <v>853</v>
          </cell>
          <cell r="BS98">
            <v>5860</v>
          </cell>
          <cell r="BT98">
            <v>2496</v>
          </cell>
          <cell r="BU98">
            <v>1744</v>
          </cell>
          <cell r="BV98">
            <v>66</v>
          </cell>
          <cell r="BW98">
            <v>686</v>
          </cell>
          <cell r="BX98">
            <v>1852</v>
          </cell>
          <cell r="BY98">
            <v>887</v>
          </cell>
          <cell r="BZ98">
            <v>745</v>
          </cell>
          <cell r="CA98">
            <v>220</v>
          </cell>
          <cell r="CB98">
            <v>1512</v>
          </cell>
          <cell r="CC98">
            <v>38954</v>
          </cell>
          <cell r="CD98">
            <v>11327</v>
          </cell>
          <cell r="CE98">
            <v>10832</v>
          </cell>
          <cell r="CF98">
            <v>192</v>
          </cell>
          <cell r="CG98">
            <v>303</v>
          </cell>
          <cell r="CH98">
            <v>15609</v>
          </cell>
          <cell r="CI98">
            <v>1235</v>
          </cell>
          <cell r="CJ98">
            <v>8255</v>
          </cell>
          <cell r="CK98">
            <v>4552</v>
          </cell>
          <cell r="CL98">
            <v>1567</v>
          </cell>
          <cell r="CM98">
            <v>12018</v>
          </cell>
          <cell r="CN98">
            <v>2463</v>
          </cell>
          <cell r="CO98">
            <v>2090</v>
          </cell>
          <cell r="CP98">
            <v>5139</v>
          </cell>
          <cell r="CQ98">
            <v>1642</v>
          </cell>
          <cell r="CR98">
            <v>684</v>
          </cell>
          <cell r="CS98">
            <v>6406</v>
          </cell>
          <cell r="CT98">
            <v>196</v>
          </cell>
          <cell r="CU98">
            <v>1369</v>
          </cell>
          <cell r="CV98">
            <v>4841</v>
          </cell>
          <cell r="CW98">
            <v>25980</v>
          </cell>
          <cell r="CX98">
            <v>4360</v>
          </cell>
          <cell r="CY98">
            <v>1350</v>
          </cell>
          <cell r="CZ98">
            <v>144</v>
          </cell>
          <cell r="DA98">
            <v>1429</v>
          </cell>
          <cell r="DB98">
            <v>1404</v>
          </cell>
          <cell r="DC98">
            <v>33</v>
          </cell>
          <cell r="DD98">
            <v>2033</v>
          </cell>
          <cell r="DE98">
            <v>1403</v>
          </cell>
          <cell r="DF98">
            <v>115</v>
          </cell>
          <cell r="DG98">
            <v>515</v>
          </cell>
          <cell r="DH98">
            <v>6096</v>
          </cell>
          <cell r="DI98">
            <v>2027</v>
          </cell>
          <cell r="DJ98">
            <v>1036</v>
          </cell>
          <cell r="DK98">
            <v>956</v>
          </cell>
          <cell r="DL98">
            <v>1494</v>
          </cell>
          <cell r="DM98">
            <v>583</v>
          </cell>
          <cell r="DN98">
            <v>10184</v>
          </cell>
          <cell r="DO98">
            <v>2386</v>
          </cell>
          <cell r="DP98">
            <v>5137</v>
          </cell>
          <cell r="DQ98">
            <v>2661</v>
          </cell>
          <cell r="DR98">
            <v>3307</v>
          </cell>
          <cell r="DS98">
            <v>773</v>
          </cell>
          <cell r="DT98">
            <v>1202</v>
          </cell>
          <cell r="DU98">
            <v>809</v>
          </cell>
          <cell r="DV98">
            <v>523</v>
          </cell>
          <cell r="DW98">
            <v>0</v>
          </cell>
          <cell r="DX98">
            <v>4630</v>
          </cell>
          <cell r="DY98">
            <v>27445</v>
          </cell>
          <cell r="DZ98">
            <v>21580</v>
          </cell>
          <cell r="EA98">
            <v>20323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1257</v>
          </cell>
          <cell r="EG98">
            <v>5865</v>
          </cell>
          <cell r="EH98">
            <v>30040</v>
          </cell>
          <cell r="EI98">
            <v>5446</v>
          </cell>
          <cell r="EJ98">
            <v>1584</v>
          </cell>
          <cell r="EK98">
            <v>203</v>
          </cell>
          <cell r="EL98">
            <v>3659</v>
          </cell>
          <cell r="EM98">
            <v>1186</v>
          </cell>
          <cell r="EN98">
            <v>2677</v>
          </cell>
          <cell r="EO98">
            <v>1836</v>
          </cell>
          <cell r="EP98">
            <v>841</v>
          </cell>
          <cell r="EQ98">
            <v>3282</v>
          </cell>
          <cell r="ER98">
            <v>5248</v>
          </cell>
          <cell r="ES98">
            <v>2622</v>
          </cell>
          <cell r="ET98">
            <v>592</v>
          </cell>
          <cell r="EU98">
            <v>722</v>
          </cell>
          <cell r="EV98">
            <v>595</v>
          </cell>
          <cell r="EW98">
            <v>717</v>
          </cell>
          <cell r="EX98">
            <v>8497</v>
          </cell>
          <cell r="EY98">
            <v>3044</v>
          </cell>
          <cell r="EZ98">
            <v>5453</v>
          </cell>
          <cell r="FA98">
            <v>3704</v>
          </cell>
          <cell r="FB98">
            <v>276763</v>
          </cell>
          <cell r="FC98">
            <v>0</v>
          </cell>
          <cell r="FD98">
            <v>25678</v>
          </cell>
          <cell r="FE98">
            <v>6019</v>
          </cell>
          <cell r="FF98">
            <v>686</v>
          </cell>
          <cell r="FG98">
            <v>11327</v>
          </cell>
          <cell r="FH98">
            <v>1369</v>
          </cell>
          <cell r="FI98">
            <v>4441</v>
          </cell>
          <cell r="FJ98">
            <v>1836</v>
          </cell>
          <cell r="FK98">
            <v>115296</v>
          </cell>
          <cell r="FL98">
            <v>23071</v>
          </cell>
          <cell r="FM98">
            <v>10380</v>
          </cell>
          <cell r="FN98">
            <v>14127</v>
          </cell>
          <cell r="FO98">
            <v>10603</v>
          </cell>
          <cell r="FP98">
            <v>11229</v>
          </cell>
          <cell r="FQ98">
            <v>2496</v>
          </cell>
          <cell r="FR98">
            <v>20817</v>
          </cell>
          <cell r="FS98">
            <v>1369</v>
          </cell>
          <cell r="FT98">
            <v>14665</v>
          </cell>
          <cell r="FU98">
            <v>6539</v>
          </cell>
          <cell r="FV98">
            <v>64041</v>
          </cell>
          <cell r="FW98">
            <v>23071</v>
          </cell>
          <cell r="FX98">
            <v>10380</v>
          </cell>
          <cell r="FY98">
            <v>10603</v>
          </cell>
          <cell r="FZ98">
            <v>1279</v>
          </cell>
          <cell r="GA98">
            <v>1810</v>
          </cell>
          <cell r="GB98">
            <v>8255</v>
          </cell>
          <cell r="GC98">
            <v>4984</v>
          </cell>
          <cell r="GD98">
            <v>3659</v>
          </cell>
          <cell r="GE98">
            <v>2554</v>
          </cell>
          <cell r="GF98">
            <v>-8424</v>
          </cell>
          <cell r="GG98">
            <v>10978</v>
          </cell>
          <cell r="GH98">
            <v>158913</v>
          </cell>
          <cell r="GI98">
            <v>174</v>
          </cell>
          <cell r="GJ98">
            <v>64384</v>
          </cell>
          <cell r="GK98">
            <v>926</v>
          </cell>
          <cell r="GL98">
            <v>3364</v>
          </cell>
          <cell r="GM98">
            <v>18137</v>
          </cell>
          <cell r="GN98">
            <v>5037</v>
          </cell>
          <cell r="GO98">
            <v>11315</v>
          </cell>
          <cell r="GP98">
            <v>4630</v>
          </cell>
          <cell r="GQ98">
            <v>27445</v>
          </cell>
          <cell r="GR98">
            <v>23501</v>
          </cell>
          <cell r="GS98">
            <v>25577</v>
          </cell>
          <cell r="GT98">
            <v>14127</v>
          </cell>
          <cell r="GU98">
            <v>3931</v>
          </cell>
          <cell r="GV98">
            <v>1235</v>
          </cell>
          <cell r="GW98">
            <v>5240</v>
          </cell>
          <cell r="GX98">
            <v>1044</v>
          </cell>
        </row>
        <row r="99">
          <cell r="A99" t="str">
            <v>2013 Q3</v>
          </cell>
          <cell r="B99">
            <v>278302</v>
          </cell>
          <cell r="C99">
            <v>23689</v>
          </cell>
          <cell r="D99">
            <v>21270</v>
          </cell>
          <cell r="E99">
            <v>4066</v>
          </cell>
          <cell r="F99">
            <v>4237</v>
          </cell>
          <cell r="G99">
            <v>917</v>
          </cell>
          <cell r="H99">
            <v>2757</v>
          </cell>
          <cell r="I99">
            <v>600</v>
          </cell>
          <cell r="J99">
            <v>2030</v>
          </cell>
          <cell r="K99">
            <v>3295</v>
          </cell>
          <cell r="L99">
            <v>2304</v>
          </cell>
          <cell r="M99">
            <v>1064</v>
          </cell>
          <cell r="N99">
            <v>2419</v>
          </cell>
          <cell r="O99">
            <v>486</v>
          </cell>
          <cell r="P99">
            <v>1933</v>
          </cell>
          <cell r="Q99">
            <v>10834</v>
          </cell>
          <cell r="R99">
            <v>4812</v>
          </cell>
          <cell r="S99">
            <v>1354</v>
          </cell>
          <cell r="T99">
            <v>2214</v>
          </cell>
          <cell r="U99">
            <v>1244</v>
          </cell>
          <cell r="V99">
            <v>4705</v>
          </cell>
          <cell r="W99">
            <v>1317</v>
          </cell>
          <cell r="X99">
            <v>14721</v>
          </cell>
          <cell r="Y99">
            <v>12511</v>
          </cell>
          <cell r="Z99">
            <v>128</v>
          </cell>
          <cell r="AA99">
            <v>11063</v>
          </cell>
          <cell r="AB99">
            <v>1142</v>
          </cell>
          <cell r="AC99">
            <v>178</v>
          </cell>
          <cell r="AD99">
            <v>2210</v>
          </cell>
          <cell r="AE99">
            <v>2196</v>
          </cell>
          <cell r="AF99">
            <v>14</v>
          </cell>
          <cell r="AG99">
            <v>74421</v>
          </cell>
          <cell r="AH99">
            <v>17544</v>
          </cell>
          <cell r="AI99">
            <v>17494</v>
          </cell>
          <cell r="AJ99">
            <v>50</v>
          </cell>
          <cell r="AK99">
            <v>45999</v>
          </cell>
          <cell r="AL99">
            <v>43767</v>
          </cell>
          <cell r="AM99">
            <v>2232</v>
          </cell>
          <cell r="AN99">
            <v>700</v>
          </cell>
          <cell r="AO99">
            <v>228</v>
          </cell>
          <cell r="AP99">
            <v>472</v>
          </cell>
          <cell r="AQ99">
            <v>2273</v>
          </cell>
          <cell r="AR99">
            <v>1127</v>
          </cell>
          <cell r="AS99">
            <v>26</v>
          </cell>
          <cell r="AT99">
            <v>1120</v>
          </cell>
          <cell r="AU99">
            <v>0</v>
          </cell>
          <cell r="AV99">
            <v>7905</v>
          </cell>
          <cell r="AW99">
            <v>3973</v>
          </cell>
          <cell r="AX99">
            <v>3527</v>
          </cell>
          <cell r="AY99">
            <v>311</v>
          </cell>
          <cell r="AZ99">
            <v>94</v>
          </cell>
          <cell r="BA99">
            <v>0</v>
          </cell>
          <cell r="BB99">
            <v>12115</v>
          </cell>
          <cell r="BC99">
            <v>4533</v>
          </cell>
          <cell r="BD99">
            <v>3896</v>
          </cell>
          <cell r="BE99">
            <v>629</v>
          </cell>
          <cell r="BF99">
            <v>8</v>
          </cell>
          <cell r="BG99">
            <v>1101</v>
          </cell>
          <cell r="BH99">
            <v>2009</v>
          </cell>
          <cell r="BI99">
            <v>1660</v>
          </cell>
          <cell r="BJ99">
            <v>298</v>
          </cell>
          <cell r="BK99">
            <v>51</v>
          </cell>
          <cell r="BL99">
            <v>1336</v>
          </cell>
          <cell r="BM99">
            <v>992</v>
          </cell>
          <cell r="BN99">
            <v>76</v>
          </cell>
          <cell r="BO99">
            <v>916</v>
          </cell>
          <cell r="BP99">
            <v>2144</v>
          </cell>
          <cell r="BQ99">
            <v>1298</v>
          </cell>
          <cell r="BR99">
            <v>846</v>
          </cell>
          <cell r="BS99">
            <v>6146</v>
          </cell>
          <cell r="BT99">
            <v>2690</v>
          </cell>
          <cell r="BU99">
            <v>1850</v>
          </cell>
          <cell r="BV99">
            <v>78</v>
          </cell>
          <cell r="BW99">
            <v>762</v>
          </cell>
          <cell r="BX99">
            <v>1888</v>
          </cell>
          <cell r="BY99">
            <v>895</v>
          </cell>
          <cell r="BZ99">
            <v>767</v>
          </cell>
          <cell r="CA99">
            <v>226</v>
          </cell>
          <cell r="CB99">
            <v>1568</v>
          </cell>
          <cell r="CC99">
            <v>39957</v>
          </cell>
          <cell r="CD99">
            <v>11901</v>
          </cell>
          <cell r="CE99">
            <v>11403</v>
          </cell>
          <cell r="CF99">
            <v>193</v>
          </cell>
          <cell r="CG99">
            <v>305</v>
          </cell>
          <cell r="CH99">
            <v>15960</v>
          </cell>
          <cell r="CI99">
            <v>1248</v>
          </cell>
          <cell r="CJ99">
            <v>8527</v>
          </cell>
          <cell r="CK99">
            <v>4537</v>
          </cell>
          <cell r="CL99">
            <v>1648</v>
          </cell>
          <cell r="CM99">
            <v>12096</v>
          </cell>
          <cell r="CN99">
            <v>2623</v>
          </cell>
          <cell r="CO99">
            <v>2069</v>
          </cell>
          <cell r="CP99">
            <v>4994</v>
          </cell>
          <cell r="CQ99">
            <v>1725</v>
          </cell>
          <cell r="CR99">
            <v>685</v>
          </cell>
          <cell r="CS99">
            <v>6255</v>
          </cell>
          <cell r="CT99">
            <v>182</v>
          </cell>
          <cell r="CU99">
            <v>1360</v>
          </cell>
          <cell r="CV99">
            <v>4713</v>
          </cell>
          <cell r="CW99">
            <v>26207</v>
          </cell>
          <cell r="CX99">
            <v>4525</v>
          </cell>
          <cell r="CY99">
            <v>1393</v>
          </cell>
          <cell r="CZ99">
            <v>160</v>
          </cell>
          <cell r="DA99">
            <v>1501</v>
          </cell>
          <cell r="DB99">
            <v>1433</v>
          </cell>
          <cell r="DC99">
            <v>38</v>
          </cell>
          <cell r="DD99">
            <v>2069</v>
          </cell>
          <cell r="DE99">
            <v>1414</v>
          </cell>
          <cell r="DF99">
            <v>126</v>
          </cell>
          <cell r="DG99">
            <v>529</v>
          </cell>
          <cell r="DH99">
            <v>6090</v>
          </cell>
          <cell r="DI99">
            <v>2035</v>
          </cell>
          <cell r="DJ99">
            <v>1039</v>
          </cell>
          <cell r="DK99">
            <v>959</v>
          </cell>
          <cell r="DL99">
            <v>1482</v>
          </cell>
          <cell r="DM99">
            <v>575</v>
          </cell>
          <cell r="DN99">
            <v>10228</v>
          </cell>
          <cell r="DO99">
            <v>2394</v>
          </cell>
          <cell r="DP99">
            <v>5101</v>
          </cell>
          <cell r="DQ99">
            <v>2733</v>
          </cell>
          <cell r="DR99">
            <v>3295</v>
          </cell>
          <cell r="DS99">
            <v>759</v>
          </cell>
          <cell r="DT99">
            <v>1177</v>
          </cell>
          <cell r="DU99">
            <v>790</v>
          </cell>
          <cell r="DV99">
            <v>569</v>
          </cell>
          <cell r="DW99">
            <v>0</v>
          </cell>
          <cell r="DX99">
            <v>4868</v>
          </cell>
          <cell r="DY99">
            <v>27982</v>
          </cell>
          <cell r="DZ99">
            <v>21969</v>
          </cell>
          <cell r="EA99">
            <v>20668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1301</v>
          </cell>
          <cell r="EG99">
            <v>6013</v>
          </cell>
          <cell r="EH99">
            <v>31107</v>
          </cell>
          <cell r="EI99">
            <v>5642</v>
          </cell>
          <cell r="EJ99">
            <v>1625</v>
          </cell>
          <cell r="EK99">
            <v>282</v>
          </cell>
          <cell r="EL99">
            <v>3735</v>
          </cell>
          <cell r="EM99">
            <v>1195</v>
          </cell>
          <cell r="EN99">
            <v>2715</v>
          </cell>
          <cell r="EO99">
            <v>1856</v>
          </cell>
          <cell r="EP99">
            <v>859</v>
          </cell>
          <cell r="EQ99">
            <v>3328</v>
          </cell>
          <cell r="ER99">
            <v>5637</v>
          </cell>
          <cell r="ES99">
            <v>2827</v>
          </cell>
          <cell r="ET99">
            <v>616</v>
          </cell>
          <cell r="EU99">
            <v>774</v>
          </cell>
          <cell r="EV99">
            <v>658</v>
          </cell>
          <cell r="EW99">
            <v>762</v>
          </cell>
          <cell r="EX99">
            <v>8824</v>
          </cell>
          <cell r="EY99">
            <v>3124</v>
          </cell>
          <cell r="EZ99">
            <v>5700</v>
          </cell>
          <cell r="FA99">
            <v>3766</v>
          </cell>
          <cell r="FB99">
            <v>280861</v>
          </cell>
          <cell r="FC99">
            <v>0</v>
          </cell>
          <cell r="FD99">
            <v>26734</v>
          </cell>
          <cell r="FE99">
            <v>6261</v>
          </cell>
          <cell r="FF99">
            <v>762</v>
          </cell>
          <cell r="FG99">
            <v>11901</v>
          </cell>
          <cell r="FH99">
            <v>1360</v>
          </cell>
          <cell r="FI99">
            <v>4594</v>
          </cell>
          <cell r="FJ99">
            <v>1856</v>
          </cell>
          <cell r="FK99">
            <v>116817</v>
          </cell>
          <cell r="FL99">
            <v>23689</v>
          </cell>
          <cell r="FM99">
            <v>10834</v>
          </cell>
          <cell r="FN99">
            <v>14529</v>
          </cell>
          <cell r="FO99">
            <v>9260</v>
          </cell>
          <cell r="FP99">
            <v>11210</v>
          </cell>
          <cell r="FQ99">
            <v>2690</v>
          </cell>
          <cell r="FR99">
            <v>21676</v>
          </cell>
          <cell r="FS99">
            <v>1360</v>
          </cell>
          <cell r="FT99">
            <v>14837</v>
          </cell>
          <cell r="FU99">
            <v>6732</v>
          </cell>
          <cell r="FV99">
            <v>64248</v>
          </cell>
          <cell r="FW99">
            <v>23689</v>
          </cell>
          <cell r="FX99">
            <v>10834</v>
          </cell>
          <cell r="FY99">
            <v>9260</v>
          </cell>
          <cell r="FZ99">
            <v>1298</v>
          </cell>
          <cell r="GA99">
            <v>1928</v>
          </cell>
          <cell r="GB99">
            <v>8527</v>
          </cell>
          <cell r="GC99">
            <v>4977</v>
          </cell>
          <cell r="GD99">
            <v>3735</v>
          </cell>
          <cell r="GE99">
            <v>2559</v>
          </cell>
          <cell r="GF99">
            <v>-8487</v>
          </cell>
          <cell r="GG99">
            <v>11046</v>
          </cell>
          <cell r="GH99">
            <v>161485</v>
          </cell>
          <cell r="GI99">
            <v>192</v>
          </cell>
          <cell r="GJ99">
            <v>65161</v>
          </cell>
          <cell r="GK99">
            <v>905</v>
          </cell>
          <cell r="GL99">
            <v>3456</v>
          </cell>
          <cell r="GM99">
            <v>18281</v>
          </cell>
          <cell r="GN99">
            <v>4895</v>
          </cell>
          <cell r="GO99">
            <v>11370</v>
          </cell>
          <cell r="GP99">
            <v>4868</v>
          </cell>
          <cell r="GQ99">
            <v>27982</v>
          </cell>
          <cell r="GR99">
            <v>24375</v>
          </cell>
          <cell r="GS99">
            <v>25835</v>
          </cell>
          <cell r="GT99">
            <v>14529</v>
          </cell>
          <cell r="GU99">
            <v>3651</v>
          </cell>
          <cell r="GV99">
            <v>1248</v>
          </cell>
          <cell r="GW99">
            <v>5266</v>
          </cell>
          <cell r="GX99">
            <v>1141</v>
          </cell>
        </row>
        <row r="100">
          <cell r="A100" t="str">
            <v>2013 Q4</v>
          </cell>
          <cell r="B100">
            <v>279833</v>
          </cell>
          <cell r="C100">
            <v>23464</v>
          </cell>
          <cell r="D100">
            <v>21036</v>
          </cell>
          <cell r="E100">
            <v>3905</v>
          </cell>
          <cell r="F100">
            <v>4315</v>
          </cell>
          <cell r="G100">
            <v>958</v>
          </cell>
          <cell r="H100">
            <v>2730</v>
          </cell>
          <cell r="I100">
            <v>601</v>
          </cell>
          <cell r="J100">
            <v>2039</v>
          </cell>
          <cell r="K100">
            <v>3235</v>
          </cell>
          <cell r="L100">
            <v>2252</v>
          </cell>
          <cell r="M100">
            <v>1001</v>
          </cell>
          <cell r="N100">
            <v>2428</v>
          </cell>
          <cell r="O100">
            <v>471</v>
          </cell>
          <cell r="P100">
            <v>1957</v>
          </cell>
          <cell r="Q100">
            <v>10665</v>
          </cell>
          <cell r="R100">
            <v>4655</v>
          </cell>
          <cell r="S100">
            <v>1323</v>
          </cell>
          <cell r="T100">
            <v>2142</v>
          </cell>
          <cell r="U100">
            <v>1190</v>
          </cell>
          <cell r="V100">
            <v>4726</v>
          </cell>
          <cell r="W100">
            <v>1284</v>
          </cell>
          <cell r="X100">
            <v>14776</v>
          </cell>
          <cell r="Y100">
            <v>12534</v>
          </cell>
          <cell r="Z100">
            <v>122</v>
          </cell>
          <cell r="AA100">
            <v>11044</v>
          </cell>
          <cell r="AB100">
            <v>1185</v>
          </cell>
          <cell r="AC100">
            <v>183</v>
          </cell>
          <cell r="AD100">
            <v>2242</v>
          </cell>
          <cell r="AE100">
            <v>2224</v>
          </cell>
          <cell r="AF100">
            <v>18</v>
          </cell>
          <cell r="AG100">
            <v>75567</v>
          </cell>
          <cell r="AH100">
            <v>17788</v>
          </cell>
          <cell r="AI100">
            <v>17738</v>
          </cell>
          <cell r="AJ100">
            <v>50</v>
          </cell>
          <cell r="AK100">
            <v>46455</v>
          </cell>
          <cell r="AL100">
            <v>44212</v>
          </cell>
          <cell r="AM100">
            <v>2243</v>
          </cell>
          <cell r="AN100">
            <v>628</v>
          </cell>
          <cell r="AO100">
            <v>220</v>
          </cell>
          <cell r="AP100">
            <v>408</v>
          </cell>
          <cell r="AQ100">
            <v>2308</v>
          </cell>
          <cell r="AR100">
            <v>1159</v>
          </cell>
          <cell r="AS100">
            <v>21</v>
          </cell>
          <cell r="AT100">
            <v>1128</v>
          </cell>
          <cell r="AU100">
            <v>0</v>
          </cell>
          <cell r="AV100">
            <v>8388</v>
          </cell>
          <cell r="AW100">
            <v>3967</v>
          </cell>
          <cell r="AX100">
            <v>3926</v>
          </cell>
          <cell r="AY100">
            <v>399</v>
          </cell>
          <cell r="AZ100">
            <v>96</v>
          </cell>
          <cell r="BA100">
            <v>0</v>
          </cell>
          <cell r="BB100">
            <v>11990</v>
          </cell>
          <cell r="BC100">
            <v>4557</v>
          </cell>
          <cell r="BD100">
            <v>3944</v>
          </cell>
          <cell r="BE100">
            <v>608</v>
          </cell>
          <cell r="BF100">
            <v>5</v>
          </cell>
          <cell r="BG100">
            <v>1124</v>
          </cell>
          <cell r="BH100">
            <v>1848</v>
          </cell>
          <cell r="BI100">
            <v>1461</v>
          </cell>
          <cell r="BJ100">
            <v>317</v>
          </cell>
          <cell r="BK100">
            <v>70</v>
          </cell>
          <cell r="BL100">
            <v>1323</v>
          </cell>
          <cell r="BM100">
            <v>1012</v>
          </cell>
          <cell r="BN100">
            <v>71</v>
          </cell>
          <cell r="BO100">
            <v>941</v>
          </cell>
          <cell r="BP100">
            <v>2126</v>
          </cell>
          <cell r="BQ100">
            <v>1291</v>
          </cell>
          <cell r="BR100">
            <v>835</v>
          </cell>
          <cell r="BS100">
            <v>6268</v>
          </cell>
          <cell r="BT100">
            <v>2803</v>
          </cell>
          <cell r="BU100">
            <v>1875</v>
          </cell>
          <cell r="BV100">
            <v>97</v>
          </cell>
          <cell r="BW100">
            <v>831</v>
          </cell>
          <cell r="BX100">
            <v>1909</v>
          </cell>
          <cell r="BY100">
            <v>948</v>
          </cell>
          <cell r="BZ100">
            <v>751</v>
          </cell>
          <cell r="CA100">
            <v>210</v>
          </cell>
          <cell r="CB100">
            <v>1556</v>
          </cell>
          <cell r="CC100">
            <v>39856</v>
          </cell>
          <cell r="CD100">
            <v>11973</v>
          </cell>
          <cell r="CE100">
            <v>11472</v>
          </cell>
          <cell r="CF100">
            <v>187</v>
          </cell>
          <cell r="CG100">
            <v>314</v>
          </cell>
          <cell r="CH100">
            <v>15781</v>
          </cell>
          <cell r="CI100">
            <v>1241</v>
          </cell>
          <cell r="CJ100">
            <v>8354</v>
          </cell>
          <cell r="CK100">
            <v>4494</v>
          </cell>
          <cell r="CL100">
            <v>1692</v>
          </cell>
          <cell r="CM100">
            <v>12102</v>
          </cell>
          <cell r="CN100">
            <v>2525</v>
          </cell>
          <cell r="CO100">
            <v>2050</v>
          </cell>
          <cell r="CP100">
            <v>5022</v>
          </cell>
          <cell r="CQ100">
            <v>1794</v>
          </cell>
          <cell r="CR100">
            <v>711</v>
          </cell>
          <cell r="CS100">
            <v>6453</v>
          </cell>
          <cell r="CT100">
            <v>169</v>
          </cell>
          <cell r="CU100">
            <v>1419</v>
          </cell>
          <cell r="CV100">
            <v>4865</v>
          </cell>
          <cell r="CW100">
            <v>26383</v>
          </cell>
          <cell r="CX100">
            <v>4475</v>
          </cell>
          <cell r="CY100">
            <v>1462</v>
          </cell>
          <cell r="CZ100">
            <v>180</v>
          </cell>
          <cell r="DA100">
            <v>1498</v>
          </cell>
          <cell r="DB100">
            <v>1287</v>
          </cell>
          <cell r="DC100">
            <v>48</v>
          </cell>
          <cell r="DD100">
            <v>2032</v>
          </cell>
          <cell r="DE100">
            <v>1430</v>
          </cell>
          <cell r="DF100">
            <v>58</v>
          </cell>
          <cell r="DG100">
            <v>544</v>
          </cell>
          <cell r="DH100">
            <v>6252</v>
          </cell>
          <cell r="DI100">
            <v>2097</v>
          </cell>
          <cell r="DJ100">
            <v>1017</v>
          </cell>
          <cell r="DK100">
            <v>996</v>
          </cell>
          <cell r="DL100">
            <v>1559</v>
          </cell>
          <cell r="DM100">
            <v>583</v>
          </cell>
          <cell r="DN100">
            <v>10367</v>
          </cell>
          <cell r="DO100">
            <v>2451</v>
          </cell>
          <cell r="DP100">
            <v>5002</v>
          </cell>
          <cell r="DQ100">
            <v>2914</v>
          </cell>
          <cell r="DR100">
            <v>3257</v>
          </cell>
          <cell r="DS100">
            <v>764</v>
          </cell>
          <cell r="DT100">
            <v>1145</v>
          </cell>
          <cell r="DU100">
            <v>754</v>
          </cell>
          <cell r="DV100">
            <v>594</v>
          </cell>
          <cell r="DW100">
            <v>0</v>
          </cell>
          <cell r="DX100">
            <v>4960</v>
          </cell>
          <cell r="DY100">
            <v>28368</v>
          </cell>
          <cell r="DZ100">
            <v>22433</v>
          </cell>
          <cell r="EA100">
            <v>21170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1263</v>
          </cell>
          <cell r="EG100">
            <v>5935</v>
          </cell>
          <cell r="EH100">
            <v>31083</v>
          </cell>
          <cell r="EI100">
            <v>5726</v>
          </cell>
          <cell r="EJ100">
            <v>1637</v>
          </cell>
          <cell r="EK100">
            <v>244</v>
          </cell>
          <cell r="EL100">
            <v>3845</v>
          </cell>
          <cell r="EM100">
            <v>1202</v>
          </cell>
          <cell r="EN100">
            <v>2760</v>
          </cell>
          <cell r="EO100">
            <v>1894</v>
          </cell>
          <cell r="EP100">
            <v>866</v>
          </cell>
          <cell r="EQ100">
            <v>3405</v>
          </cell>
          <cell r="ER100">
            <v>5606</v>
          </cell>
          <cell r="ES100">
            <v>3059</v>
          </cell>
          <cell r="ET100">
            <v>575</v>
          </cell>
          <cell r="EU100">
            <v>641</v>
          </cell>
          <cell r="EV100">
            <v>560</v>
          </cell>
          <cell r="EW100">
            <v>771</v>
          </cell>
          <cell r="EX100">
            <v>8756</v>
          </cell>
          <cell r="EY100">
            <v>2791</v>
          </cell>
          <cell r="EZ100">
            <v>5965</v>
          </cell>
          <cell r="FA100">
            <v>3628</v>
          </cell>
          <cell r="FB100">
            <v>282244</v>
          </cell>
          <cell r="FC100">
            <v>0</v>
          </cell>
          <cell r="FD100">
            <v>26829</v>
          </cell>
          <cell r="FE100">
            <v>6084</v>
          </cell>
          <cell r="FF100">
            <v>831</v>
          </cell>
          <cell r="FG100">
            <v>11973</v>
          </cell>
          <cell r="FH100">
            <v>1419</v>
          </cell>
          <cell r="FI100">
            <v>4628</v>
          </cell>
          <cell r="FJ100">
            <v>1894</v>
          </cell>
          <cell r="FK100">
            <v>117031</v>
          </cell>
          <cell r="FL100">
            <v>23464</v>
          </cell>
          <cell r="FM100">
            <v>10665</v>
          </cell>
          <cell r="FN100">
            <v>14575</v>
          </cell>
          <cell r="FO100">
            <v>9767</v>
          </cell>
          <cell r="FP100">
            <v>11080</v>
          </cell>
          <cell r="FQ100">
            <v>2803</v>
          </cell>
          <cell r="FR100">
            <v>21568</v>
          </cell>
          <cell r="FS100">
            <v>1419</v>
          </cell>
          <cell r="FT100">
            <v>14841</v>
          </cell>
          <cell r="FU100">
            <v>6849</v>
          </cell>
          <cell r="FV100">
            <v>64406</v>
          </cell>
          <cell r="FW100">
            <v>23464</v>
          </cell>
          <cell r="FX100">
            <v>10665</v>
          </cell>
          <cell r="FY100">
            <v>9767</v>
          </cell>
          <cell r="FZ100">
            <v>1291</v>
          </cell>
          <cell r="GA100">
            <v>1972</v>
          </cell>
          <cell r="GB100">
            <v>8354</v>
          </cell>
          <cell r="GC100">
            <v>5048</v>
          </cell>
          <cell r="GD100">
            <v>3845</v>
          </cell>
          <cell r="GE100">
            <v>2411</v>
          </cell>
          <cell r="GF100">
            <v>-8567</v>
          </cell>
          <cell r="GG100">
            <v>10978</v>
          </cell>
          <cell r="GH100">
            <v>162802</v>
          </cell>
          <cell r="GI100">
            <v>201</v>
          </cell>
          <cell r="GJ100">
            <v>65800</v>
          </cell>
          <cell r="GK100">
            <v>910</v>
          </cell>
          <cell r="GL100">
            <v>3465</v>
          </cell>
          <cell r="GM100">
            <v>18288</v>
          </cell>
          <cell r="GN100">
            <v>5034</v>
          </cell>
          <cell r="GO100">
            <v>11542</v>
          </cell>
          <cell r="GP100">
            <v>4960</v>
          </cell>
          <cell r="GQ100">
            <v>28368</v>
          </cell>
          <cell r="GR100">
            <v>24234</v>
          </cell>
          <cell r="GS100">
            <v>25796</v>
          </cell>
          <cell r="GT100">
            <v>14575</v>
          </cell>
          <cell r="GU100">
            <v>3705</v>
          </cell>
          <cell r="GV100">
            <v>1241</v>
          </cell>
          <cell r="GW100">
            <v>5165</v>
          </cell>
          <cell r="GX100">
            <v>1110</v>
          </cell>
        </row>
        <row r="101">
          <cell r="A101" t="str">
            <v>2014 Q1</v>
          </cell>
          <cell r="B101">
            <v>282006</v>
          </cell>
          <cell r="C101">
            <v>23681</v>
          </cell>
          <cell r="D101">
            <v>21277</v>
          </cell>
          <cell r="E101">
            <v>4089</v>
          </cell>
          <cell r="F101">
            <v>4286</v>
          </cell>
          <cell r="G101">
            <v>935</v>
          </cell>
          <cell r="H101">
            <v>2743</v>
          </cell>
          <cell r="I101">
            <v>579</v>
          </cell>
          <cell r="J101">
            <v>2083</v>
          </cell>
          <cell r="K101">
            <v>3238</v>
          </cell>
          <cell r="L101">
            <v>2350</v>
          </cell>
          <cell r="M101">
            <v>974</v>
          </cell>
          <cell r="N101">
            <v>2404</v>
          </cell>
          <cell r="O101">
            <v>488</v>
          </cell>
          <cell r="P101">
            <v>1916</v>
          </cell>
          <cell r="Q101">
            <v>10593</v>
          </cell>
          <cell r="R101">
            <v>4711</v>
          </cell>
          <cell r="S101">
            <v>1318</v>
          </cell>
          <cell r="T101">
            <v>2201</v>
          </cell>
          <cell r="U101">
            <v>1192</v>
          </cell>
          <cell r="V101">
            <v>4656</v>
          </cell>
          <cell r="W101">
            <v>1226</v>
          </cell>
          <cell r="X101">
            <v>14424</v>
          </cell>
          <cell r="Y101">
            <v>12190</v>
          </cell>
          <cell r="Z101">
            <v>58</v>
          </cell>
          <cell r="AA101">
            <v>10804</v>
          </cell>
          <cell r="AB101">
            <v>1143</v>
          </cell>
          <cell r="AC101">
            <v>185</v>
          </cell>
          <cell r="AD101">
            <v>2234</v>
          </cell>
          <cell r="AE101">
            <v>2213</v>
          </cell>
          <cell r="AF101">
            <v>21</v>
          </cell>
          <cell r="AG101">
            <v>75941</v>
          </cell>
          <cell r="AH101">
            <v>18120</v>
          </cell>
          <cell r="AI101">
            <v>18069</v>
          </cell>
          <cell r="AJ101">
            <v>51</v>
          </cell>
          <cell r="AK101">
            <v>46798</v>
          </cell>
          <cell r="AL101">
            <v>44523</v>
          </cell>
          <cell r="AM101">
            <v>2275</v>
          </cell>
          <cell r="AN101">
            <v>645</v>
          </cell>
          <cell r="AO101">
            <v>224</v>
          </cell>
          <cell r="AP101">
            <v>421</v>
          </cell>
          <cell r="AQ101">
            <v>2363</v>
          </cell>
          <cell r="AR101">
            <v>1199</v>
          </cell>
          <cell r="AS101">
            <v>34</v>
          </cell>
          <cell r="AT101">
            <v>1130</v>
          </cell>
          <cell r="AU101">
            <v>0</v>
          </cell>
          <cell r="AV101">
            <v>8015</v>
          </cell>
          <cell r="AW101">
            <v>3849</v>
          </cell>
          <cell r="AX101">
            <v>3742</v>
          </cell>
          <cell r="AY101">
            <v>338</v>
          </cell>
          <cell r="AZ101">
            <v>86</v>
          </cell>
          <cell r="BA101">
            <v>0</v>
          </cell>
          <cell r="BB101">
            <v>12328</v>
          </cell>
          <cell r="BC101">
            <v>4617</v>
          </cell>
          <cell r="BD101">
            <v>3974</v>
          </cell>
          <cell r="BE101">
            <v>638</v>
          </cell>
          <cell r="BF101">
            <v>5</v>
          </cell>
          <cell r="BG101">
            <v>1083</v>
          </cell>
          <cell r="BH101">
            <v>2211</v>
          </cell>
          <cell r="BI101">
            <v>1738</v>
          </cell>
          <cell r="BJ101">
            <v>394</v>
          </cell>
          <cell r="BK101">
            <v>79</v>
          </cell>
          <cell r="BL101">
            <v>1237</v>
          </cell>
          <cell r="BM101">
            <v>963</v>
          </cell>
          <cell r="BN101">
            <v>75</v>
          </cell>
          <cell r="BO101">
            <v>888</v>
          </cell>
          <cell r="BP101">
            <v>2217</v>
          </cell>
          <cell r="BQ101">
            <v>1316</v>
          </cell>
          <cell r="BR101">
            <v>901</v>
          </cell>
          <cell r="BS101">
            <v>6244</v>
          </cell>
          <cell r="BT101">
            <v>2749</v>
          </cell>
          <cell r="BU101">
            <v>1869</v>
          </cell>
          <cell r="BV101">
            <v>61</v>
          </cell>
          <cell r="BW101">
            <v>819</v>
          </cell>
          <cell r="BX101">
            <v>1947</v>
          </cell>
          <cell r="BY101">
            <v>958</v>
          </cell>
          <cell r="BZ101">
            <v>797</v>
          </cell>
          <cell r="CA101">
            <v>192</v>
          </cell>
          <cell r="CB101">
            <v>1548</v>
          </cell>
          <cell r="CC101">
            <v>39487</v>
          </cell>
          <cell r="CD101">
            <v>12169</v>
          </cell>
          <cell r="CE101">
            <v>11628</v>
          </cell>
          <cell r="CF101">
            <v>216</v>
          </cell>
          <cell r="CG101">
            <v>325</v>
          </cell>
          <cell r="CH101">
            <v>15490</v>
          </cell>
          <cell r="CI101">
            <v>1150</v>
          </cell>
          <cell r="CJ101">
            <v>8311</v>
          </cell>
          <cell r="CK101">
            <v>4313</v>
          </cell>
          <cell r="CL101">
            <v>1716</v>
          </cell>
          <cell r="CM101">
            <v>11828</v>
          </cell>
          <cell r="CN101">
            <v>2464</v>
          </cell>
          <cell r="CO101">
            <v>2051</v>
          </cell>
          <cell r="CP101">
            <v>5171</v>
          </cell>
          <cell r="CQ101">
            <v>1404</v>
          </cell>
          <cell r="CR101">
            <v>738</v>
          </cell>
          <cell r="CS101">
            <v>6173</v>
          </cell>
          <cell r="CT101">
            <v>182</v>
          </cell>
          <cell r="CU101">
            <v>1063</v>
          </cell>
          <cell r="CV101">
            <v>4928</v>
          </cell>
          <cell r="CW101">
            <v>26282</v>
          </cell>
          <cell r="CX101">
            <v>4184</v>
          </cell>
          <cell r="CY101">
            <v>1119</v>
          </cell>
          <cell r="CZ101">
            <v>197</v>
          </cell>
          <cell r="DA101">
            <v>1418</v>
          </cell>
          <cell r="DB101">
            <v>1404</v>
          </cell>
          <cell r="DC101">
            <v>46</v>
          </cell>
          <cell r="DD101">
            <v>2154</v>
          </cell>
          <cell r="DE101">
            <v>1483</v>
          </cell>
          <cell r="DF101">
            <v>113</v>
          </cell>
          <cell r="DG101">
            <v>558</v>
          </cell>
          <cell r="DH101">
            <v>6375</v>
          </cell>
          <cell r="DI101">
            <v>1942</v>
          </cell>
          <cell r="DJ101">
            <v>1073</v>
          </cell>
          <cell r="DK101">
            <v>1120</v>
          </cell>
          <cell r="DL101">
            <v>1658</v>
          </cell>
          <cell r="DM101">
            <v>582</v>
          </cell>
          <cell r="DN101">
            <v>10466</v>
          </cell>
          <cell r="DO101">
            <v>2411</v>
          </cell>
          <cell r="DP101">
            <v>4987</v>
          </cell>
          <cell r="DQ101">
            <v>3068</v>
          </cell>
          <cell r="DR101">
            <v>3103</v>
          </cell>
          <cell r="DS101">
            <v>740</v>
          </cell>
          <cell r="DT101">
            <v>1134</v>
          </cell>
          <cell r="DU101">
            <v>728</v>
          </cell>
          <cell r="DV101">
            <v>501</v>
          </cell>
          <cell r="DW101">
            <v>0</v>
          </cell>
          <cell r="DX101">
            <v>5141</v>
          </cell>
          <cell r="DY101">
            <v>28620</v>
          </cell>
          <cell r="DZ101">
            <v>22498</v>
          </cell>
          <cell r="EA101">
            <v>21156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1342</v>
          </cell>
          <cell r="EG101">
            <v>6122</v>
          </cell>
          <cell r="EH101">
            <v>33092</v>
          </cell>
          <cell r="EI101">
            <v>5810</v>
          </cell>
          <cell r="EJ101">
            <v>1644</v>
          </cell>
          <cell r="EK101">
            <v>310</v>
          </cell>
          <cell r="EL101">
            <v>3856</v>
          </cell>
          <cell r="EM101">
            <v>1211</v>
          </cell>
          <cell r="EN101">
            <v>2816</v>
          </cell>
          <cell r="EO101">
            <v>2032</v>
          </cell>
          <cell r="EP101">
            <v>784</v>
          </cell>
          <cell r="EQ101">
            <v>3002</v>
          </cell>
          <cell r="ER101">
            <v>6484</v>
          </cell>
          <cell r="ES101">
            <v>3280</v>
          </cell>
          <cell r="ET101">
            <v>712</v>
          </cell>
          <cell r="EU101">
            <v>861</v>
          </cell>
          <cell r="EV101">
            <v>740</v>
          </cell>
          <cell r="EW101">
            <v>891</v>
          </cell>
          <cell r="EX101">
            <v>10165</v>
          </cell>
          <cell r="EY101">
            <v>3886</v>
          </cell>
          <cell r="EZ101">
            <v>6279</v>
          </cell>
          <cell r="FA101">
            <v>3604</v>
          </cell>
          <cell r="FB101">
            <v>284521</v>
          </cell>
          <cell r="FC101">
            <v>0</v>
          </cell>
          <cell r="FD101">
            <v>26838</v>
          </cell>
          <cell r="FE101">
            <v>6425</v>
          </cell>
          <cell r="FF101">
            <v>819</v>
          </cell>
          <cell r="FG101">
            <v>12169</v>
          </cell>
          <cell r="FH101">
            <v>1063</v>
          </cell>
          <cell r="FI101">
            <v>4330</v>
          </cell>
          <cell r="FJ101">
            <v>2032</v>
          </cell>
          <cell r="FK101">
            <v>116327</v>
          </cell>
          <cell r="FL101">
            <v>23681</v>
          </cell>
          <cell r="FM101">
            <v>10593</v>
          </cell>
          <cell r="FN101">
            <v>14218</v>
          </cell>
          <cell r="FO101">
            <v>9438</v>
          </cell>
          <cell r="FP101">
            <v>11343</v>
          </cell>
          <cell r="FQ101">
            <v>2749</v>
          </cell>
          <cell r="FR101">
            <v>21630</v>
          </cell>
          <cell r="FS101">
            <v>1063</v>
          </cell>
          <cell r="FT101">
            <v>14630</v>
          </cell>
          <cell r="FU101">
            <v>6982</v>
          </cell>
          <cell r="FV101">
            <v>64266</v>
          </cell>
          <cell r="FW101">
            <v>23681</v>
          </cell>
          <cell r="FX101">
            <v>10593</v>
          </cell>
          <cell r="FY101">
            <v>9438</v>
          </cell>
          <cell r="FZ101">
            <v>1316</v>
          </cell>
          <cell r="GA101">
            <v>1930</v>
          </cell>
          <cell r="GB101">
            <v>8311</v>
          </cell>
          <cell r="GC101">
            <v>5141</v>
          </cell>
          <cell r="GD101">
            <v>3856</v>
          </cell>
          <cell r="GE101">
            <v>2515</v>
          </cell>
          <cell r="GF101">
            <v>-8700</v>
          </cell>
          <cell r="GG101">
            <v>11215</v>
          </cell>
          <cell r="GH101">
            <v>165679</v>
          </cell>
          <cell r="GI101">
            <v>206</v>
          </cell>
          <cell r="GJ101">
            <v>66503</v>
          </cell>
          <cell r="GK101">
            <v>985</v>
          </cell>
          <cell r="GL101">
            <v>3495</v>
          </cell>
          <cell r="GM101">
            <v>17857</v>
          </cell>
          <cell r="GN101">
            <v>5110</v>
          </cell>
          <cell r="GO101">
            <v>11652</v>
          </cell>
          <cell r="GP101">
            <v>5141</v>
          </cell>
          <cell r="GQ101">
            <v>28620</v>
          </cell>
          <cell r="GR101">
            <v>26110</v>
          </cell>
          <cell r="GS101">
            <v>25223</v>
          </cell>
          <cell r="GT101">
            <v>14218</v>
          </cell>
          <cell r="GU101">
            <v>3602</v>
          </cell>
          <cell r="GV101">
            <v>1150</v>
          </cell>
          <cell r="GW101">
            <v>5159</v>
          </cell>
          <cell r="GX101">
            <v>1094</v>
          </cell>
        </row>
        <row r="102">
          <cell r="A102" t="str">
            <v>2014 Q2</v>
          </cell>
          <cell r="B102">
            <v>286096</v>
          </cell>
          <cell r="C102">
            <v>23548</v>
          </cell>
          <cell r="D102">
            <v>21192</v>
          </cell>
          <cell r="E102">
            <v>3991</v>
          </cell>
          <cell r="F102">
            <v>4321</v>
          </cell>
          <cell r="G102">
            <v>912</v>
          </cell>
          <cell r="H102">
            <v>2658</v>
          </cell>
          <cell r="I102">
            <v>553</v>
          </cell>
          <cell r="J102">
            <v>2158</v>
          </cell>
          <cell r="K102">
            <v>3204</v>
          </cell>
          <cell r="L102">
            <v>2383</v>
          </cell>
          <cell r="M102">
            <v>1012</v>
          </cell>
          <cell r="N102">
            <v>2356</v>
          </cell>
          <cell r="O102">
            <v>493</v>
          </cell>
          <cell r="P102">
            <v>1863</v>
          </cell>
          <cell r="Q102">
            <v>10270</v>
          </cell>
          <cell r="R102">
            <v>4324</v>
          </cell>
          <cell r="S102">
            <v>1214</v>
          </cell>
          <cell r="T102">
            <v>1961</v>
          </cell>
          <cell r="U102">
            <v>1149</v>
          </cell>
          <cell r="V102">
            <v>4792</v>
          </cell>
          <cell r="W102">
            <v>1154</v>
          </cell>
          <cell r="X102">
            <v>14849</v>
          </cell>
          <cell r="Y102">
            <v>12604</v>
          </cell>
          <cell r="Z102">
            <v>71</v>
          </cell>
          <cell r="AA102">
            <v>11199</v>
          </cell>
          <cell r="AB102">
            <v>1155</v>
          </cell>
          <cell r="AC102">
            <v>179</v>
          </cell>
          <cell r="AD102">
            <v>2245</v>
          </cell>
          <cell r="AE102">
            <v>2224</v>
          </cell>
          <cell r="AF102">
            <v>21</v>
          </cell>
          <cell r="AG102">
            <v>76411</v>
          </cell>
          <cell r="AH102">
            <v>18412</v>
          </cell>
          <cell r="AI102">
            <v>18361</v>
          </cell>
          <cell r="AJ102">
            <v>51</v>
          </cell>
          <cell r="AK102">
            <v>47256</v>
          </cell>
          <cell r="AL102">
            <v>44954</v>
          </cell>
          <cell r="AM102">
            <v>2302</v>
          </cell>
          <cell r="AN102">
            <v>665</v>
          </cell>
          <cell r="AO102">
            <v>231</v>
          </cell>
          <cell r="AP102">
            <v>434</v>
          </cell>
          <cell r="AQ102">
            <v>2351</v>
          </cell>
          <cell r="AR102">
            <v>1219</v>
          </cell>
          <cell r="AS102">
            <v>37</v>
          </cell>
          <cell r="AT102">
            <v>1095</v>
          </cell>
          <cell r="AU102">
            <v>0</v>
          </cell>
          <cell r="AV102">
            <v>7727</v>
          </cell>
          <cell r="AW102">
            <v>3920</v>
          </cell>
          <cell r="AX102">
            <v>3396</v>
          </cell>
          <cell r="AY102">
            <v>322</v>
          </cell>
          <cell r="AZ102">
            <v>89</v>
          </cell>
          <cell r="BA102">
            <v>0</v>
          </cell>
          <cell r="BB102">
            <v>12524</v>
          </cell>
          <cell r="BC102">
            <v>4748</v>
          </cell>
          <cell r="BD102">
            <v>4047</v>
          </cell>
          <cell r="BE102">
            <v>697</v>
          </cell>
          <cell r="BF102">
            <v>4</v>
          </cell>
          <cell r="BG102">
            <v>1114</v>
          </cell>
          <cell r="BH102">
            <v>2187</v>
          </cell>
          <cell r="BI102">
            <v>1668</v>
          </cell>
          <cell r="BJ102">
            <v>439</v>
          </cell>
          <cell r="BK102">
            <v>80</v>
          </cell>
          <cell r="BL102">
            <v>1284</v>
          </cell>
          <cell r="BM102">
            <v>996</v>
          </cell>
          <cell r="BN102">
            <v>67</v>
          </cell>
          <cell r="BO102">
            <v>929</v>
          </cell>
          <cell r="BP102">
            <v>2195</v>
          </cell>
          <cell r="BQ102">
            <v>1364</v>
          </cell>
          <cell r="BR102">
            <v>831</v>
          </cell>
          <cell r="BS102">
            <v>6195</v>
          </cell>
          <cell r="BT102">
            <v>2720</v>
          </cell>
          <cell r="BU102">
            <v>1859</v>
          </cell>
          <cell r="BV102">
            <v>74</v>
          </cell>
          <cell r="BW102">
            <v>787</v>
          </cell>
          <cell r="BX102">
            <v>1972</v>
          </cell>
          <cell r="BY102">
            <v>1046</v>
          </cell>
          <cell r="BZ102">
            <v>749</v>
          </cell>
          <cell r="CA102">
            <v>177</v>
          </cell>
          <cell r="CB102">
            <v>1503</v>
          </cell>
          <cell r="CC102">
            <v>40182</v>
          </cell>
          <cell r="CD102">
            <v>12616</v>
          </cell>
          <cell r="CE102">
            <v>12084</v>
          </cell>
          <cell r="CF102">
            <v>199</v>
          </cell>
          <cell r="CG102">
            <v>333</v>
          </cell>
          <cell r="CH102">
            <v>15466</v>
          </cell>
          <cell r="CI102">
            <v>1208</v>
          </cell>
          <cell r="CJ102">
            <v>8210</v>
          </cell>
          <cell r="CK102">
            <v>4243</v>
          </cell>
          <cell r="CL102">
            <v>1805</v>
          </cell>
          <cell r="CM102">
            <v>12100</v>
          </cell>
          <cell r="CN102">
            <v>2555</v>
          </cell>
          <cell r="CO102">
            <v>1980</v>
          </cell>
          <cell r="CP102">
            <v>5123</v>
          </cell>
          <cell r="CQ102">
            <v>1732</v>
          </cell>
          <cell r="CR102">
            <v>710</v>
          </cell>
          <cell r="CS102">
            <v>6076</v>
          </cell>
          <cell r="CT102">
            <v>180</v>
          </cell>
          <cell r="CU102">
            <v>1016</v>
          </cell>
          <cell r="CV102">
            <v>4880</v>
          </cell>
          <cell r="CW102">
            <v>26529</v>
          </cell>
          <cell r="CX102">
            <v>4128</v>
          </cell>
          <cell r="CY102">
            <v>1161</v>
          </cell>
          <cell r="CZ102">
            <v>213</v>
          </cell>
          <cell r="DA102">
            <v>1418</v>
          </cell>
          <cell r="DB102">
            <v>1292</v>
          </cell>
          <cell r="DC102">
            <v>44</v>
          </cell>
          <cell r="DD102">
            <v>2070</v>
          </cell>
          <cell r="DE102">
            <v>1426</v>
          </cell>
          <cell r="DF102">
            <v>75</v>
          </cell>
          <cell r="DG102">
            <v>569</v>
          </cell>
          <cell r="DH102">
            <v>6624</v>
          </cell>
          <cell r="DI102">
            <v>1975</v>
          </cell>
          <cell r="DJ102">
            <v>1138</v>
          </cell>
          <cell r="DK102">
            <v>1171</v>
          </cell>
          <cell r="DL102">
            <v>1749</v>
          </cell>
          <cell r="DM102">
            <v>591</v>
          </cell>
          <cell r="DN102">
            <v>10626</v>
          </cell>
          <cell r="DO102">
            <v>2492</v>
          </cell>
          <cell r="DP102">
            <v>4986</v>
          </cell>
          <cell r="DQ102">
            <v>3148</v>
          </cell>
          <cell r="DR102">
            <v>3081</v>
          </cell>
          <cell r="DS102">
            <v>765</v>
          </cell>
          <cell r="DT102">
            <v>1118</v>
          </cell>
          <cell r="DU102">
            <v>705</v>
          </cell>
          <cell r="DV102">
            <v>493</v>
          </cell>
          <cell r="DW102">
            <v>0</v>
          </cell>
          <cell r="DX102">
            <v>5303</v>
          </cell>
          <cell r="DY102">
            <v>28990</v>
          </cell>
          <cell r="DZ102">
            <v>22860</v>
          </cell>
          <cell r="EA102">
            <v>21543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1317</v>
          </cell>
          <cell r="EG102">
            <v>6130</v>
          </cell>
          <cell r="EH102">
            <v>35219</v>
          </cell>
          <cell r="EI102">
            <v>5962</v>
          </cell>
          <cell r="EJ102">
            <v>1667</v>
          </cell>
          <cell r="EK102">
            <v>267</v>
          </cell>
          <cell r="EL102">
            <v>4028</v>
          </cell>
          <cell r="EM102">
            <v>1219</v>
          </cell>
          <cell r="EN102">
            <v>2948</v>
          </cell>
          <cell r="EO102">
            <v>2198</v>
          </cell>
          <cell r="EP102">
            <v>750</v>
          </cell>
          <cell r="EQ102">
            <v>3395</v>
          </cell>
          <cell r="ER102">
            <v>6599</v>
          </cell>
          <cell r="ES102">
            <v>3314</v>
          </cell>
          <cell r="ET102">
            <v>730</v>
          </cell>
          <cell r="EU102">
            <v>890</v>
          </cell>
          <cell r="EV102">
            <v>748</v>
          </cell>
          <cell r="EW102">
            <v>917</v>
          </cell>
          <cell r="EX102">
            <v>11338</v>
          </cell>
          <cell r="EY102">
            <v>4925</v>
          </cell>
          <cell r="EZ102">
            <v>6413</v>
          </cell>
          <cell r="FA102">
            <v>3758</v>
          </cell>
          <cell r="FB102">
            <v>288533</v>
          </cell>
          <cell r="FC102">
            <v>0</v>
          </cell>
          <cell r="FD102">
            <v>27389</v>
          </cell>
          <cell r="FE102">
            <v>6479</v>
          </cell>
          <cell r="FF102">
            <v>787</v>
          </cell>
          <cell r="FG102">
            <v>12616</v>
          </cell>
          <cell r="FH102">
            <v>1016</v>
          </cell>
          <cell r="FI102">
            <v>4293</v>
          </cell>
          <cell r="FJ102">
            <v>2198</v>
          </cell>
          <cell r="FK102">
            <v>116965</v>
          </cell>
          <cell r="FL102">
            <v>23548</v>
          </cell>
          <cell r="FM102">
            <v>10270</v>
          </cell>
          <cell r="FN102">
            <v>14649</v>
          </cell>
          <cell r="FO102">
            <v>9177</v>
          </cell>
          <cell r="FP102">
            <v>11609</v>
          </cell>
          <cell r="FQ102">
            <v>2720</v>
          </cell>
          <cell r="FR102">
            <v>22034</v>
          </cell>
          <cell r="FS102">
            <v>1016</v>
          </cell>
          <cell r="FT102">
            <v>14699</v>
          </cell>
          <cell r="FU102">
            <v>7243</v>
          </cell>
          <cell r="FV102">
            <v>63766</v>
          </cell>
          <cell r="FW102">
            <v>23548</v>
          </cell>
          <cell r="FX102">
            <v>10270</v>
          </cell>
          <cell r="FY102">
            <v>9177</v>
          </cell>
          <cell r="FZ102">
            <v>1364</v>
          </cell>
          <cell r="GA102">
            <v>1933</v>
          </cell>
          <cell r="GB102">
            <v>8210</v>
          </cell>
          <cell r="GC102">
            <v>5236</v>
          </cell>
          <cell r="GD102">
            <v>4028</v>
          </cell>
          <cell r="GE102">
            <v>2437</v>
          </cell>
          <cell r="GF102">
            <v>-8688</v>
          </cell>
          <cell r="GG102">
            <v>11125</v>
          </cell>
          <cell r="GH102">
            <v>169131</v>
          </cell>
          <cell r="GI102">
            <v>200</v>
          </cell>
          <cell r="GJ102">
            <v>67234</v>
          </cell>
          <cell r="GK102">
            <v>915</v>
          </cell>
          <cell r="GL102">
            <v>3475</v>
          </cell>
          <cell r="GM102">
            <v>18148</v>
          </cell>
          <cell r="GN102">
            <v>5060</v>
          </cell>
          <cell r="GO102">
            <v>11830</v>
          </cell>
          <cell r="GP102">
            <v>5303</v>
          </cell>
          <cell r="GQ102">
            <v>28990</v>
          </cell>
          <cell r="GR102">
            <v>27976</v>
          </cell>
          <cell r="GS102">
            <v>25810</v>
          </cell>
          <cell r="GT102">
            <v>14649</v>
          </cell>
          <cell r="GU102">
            <v>3766</v>
          </cell>
          <cell r="GV102">
            <v>1208</v>
          </cell>
          <cell r="GW102">
            <v>5170</v>
          </cell>
          <cell r="GX102">
            <v>1017</v>
          </cell>
        </row>
        <row r="103">
          <cell r="A103" t="str">
            <v>2014 Q3</v>
          </cell>
          <cell r="B103">
            <v>290130</v>
          </cell>
          <cell r="C103">
            <v>23565</v>
          </cell>
          <cell r="D103">
            <v>21250</v>
          </cell>
          <cell r="E103">
            <v>3989</v>
          </cell>
          <cell r="F103">
            <v>4416</v>
          </cell>
          <cell r="G103">
            <v>926</v>
          </cell>
          <cell r="H103">
            <v>2683</v>
          </cell>
          <cell r="I103">
            <v>558</v>
          </cell>
          <cell r="J103">
            <v>2222</v>
          </cell>
          <cell r="K103">
            <v>3209</v>
          </cell>
          <cell r="L103">
            <v>2276</v>
          </cell>
          <cell r="M103">
            <v>971</v>
          </cell>
          <cell r="N103">
            <v>2315</v>
          </cell>
          <cell r="O103">
            <v>502</v>
          </cell>
          <cell r="P103">
            <v>1813</v>
          </cell>
          <cell r="Q103">
            <v>10294</v>
          </cell>
          <cell r="R103">
            <v>4383</v>
          </cell>
          <cell r="S103">
            <v>1235</v>
          </cell>
          <cell r="T103">
            <v>2032</v>
          </cell>
          <cell r="U103">
            <v>1116</v>
          </cell>
          <cell r="V103">
            <v>4835</v>
          </cell>
          <cell r="W103">
            <v>1076</v>
          </cell>
          <cell r="X103">
            <v>14646</v>
          </cell>
          <cell r="Y103">
            <v>12407</v>
          </cell>
          <cell r="Z103">
            <v>69</v>
          </cell>
          <cell r="AA103">
            <v>11013</v>
          </cell>
          <cell r="AB103">
            <v>1151</v>
          </cell>
          <cell r="AC103">
            <v>174</v>
          </cell>
          <cell r="AD103">
            <v>2239</v>
          </cell>
          <cell r="AE103">
            <v>2218</v>
          </cell>
          <cell r="AF103">
            <v>21</v>
          </cell>
          <cell r="AG103">
            <v>77190</v>
          </cell>
          <cell r="AH103">
            <v>18510</v>
          </cell>
          <cell r="AI103">
            <v>18458</v>
          </cell>
          <cell r="AJ103">
            <v>52</v>
          </cell>
          <cell r="AK103">
            <v>47733</v>
          </cell>
          <cell r="AL103">
            <v>45405</v>
          </cell>
          <cell r="AM103">
            <v>2328</v>
          </cell>
          <cell r="AN103">
            <v>688</v>
          </cell>
          <cell r="AO103">
            <v>232</v>
          </cell>
          <cell r="AP103">
            <v>456</v>
          </cell>
          <cell r="AQ103">
            <v>2387</v>
          </cell>
          <cell r="AR103">
            <v>1231</v>
          </cell>
          <cell r="AS103">
            <v>46</v>
          </cell>
          <cell r="AT103">
            <v>1110</v>
          </cell>
          <cell r="AU103">
            <v>0</v>
          </cell>
          <cell r="AV103">
            <v>7872</v>
          </cell>
          <cell r="AW103">
            <v>4000</v>
          </cell>
          <cell r="AX103">
            <v>3407</v>
          </cell>
          <cell r="AY103">
            <v>375</v>
          </cell>
          <cell r="AZ103">
            <v>90</v>
          </cell>
          <cell r="BA103">
            <v>0</v>
          </cell>
          <cell r="BB103">
            <v>12758</v>
          </cell>
          <cell r="BC103">
            <v>4989</v>
          </cell>
          <cell r="BD103">
            <v>4211</v>
          </cell>
          <cell r="BE103">
            <v>773</v>
          </cell>
          <cell r="BF103">
            <v>5</v>
          </cell>
          <cell r="BG103">
            <v>1149</v>
          </cell>
          <cell r="BH103">
            <v>2013</v>
          </cell>
          <cell r="BI103">
            <v>1436</v>
          </cell>
          <cell r="BJ103">
            <v>487</v>
          </cell>
          <cell r="BK103">
            <v>90</v>
          </cell>
          <cell r="BL103">
            <v>1259</v>
          </cell>
          <cell r="BM103">
            <v>1079</v>
          </cell>
          <cell r="BN103">
            <v>90</v>
          </cell>
          <cell r="BO103">
            <v>989</v>
          </cell>
          <cell r="BP103">
            <v>2269</v>
          </cell>
          <cell r="BQ103">
            <v>1409</v>
          </cell>
          <cell r="BR103">
            <v>860</v>
          </cell>
          <cell r="BS103">
            <v>6017</v>
          </cell>
          <cell r="BT103">
            <v>2608</v>
          </cell>
          <cell r="BU103">
            <v>1798</v>
          </cell>
          <cell r="BV103">
            <v>86</v>
          </cell>
          <cell r="BW103">
            <v>724</v>
          </cell>
          <cell r="BX103">
            <v>1929</v>
          </cell>
          <cell r="BY103">
            <v>1036</v>
          </cell>
          <cell r="BZ103">
            <v>721</v>
          </cell>
          <cell r="CA103">
            <v>172</v>
          </cell>
          <cell r="CB103">
            <v>1480</v>
          </cell>
          <cell r="CC103">
            <v>41026</v>
          </cell>
          <cell r="CD103">
            <v>13002</v>
          </cell>
          <cell r="CE103">
            <v>12472</v>
          </cell>
          <cell r="CF103">
            <v>199</v>
          </cell>
          <cell r="CG103">
            <v>331</v>
          </cell>
          <cell r="CH103">
            <v>15776</v>
          </cell>
          <cell r="CI103">
            <v>1301</v>
          </cell>
          <cell r="CJ103">
            <v>8246</v>
          </cell>
          <cell r="CK103">
            <v>4286</v>
          </cell>
          <cell r="CL103">
            <v>1943</v>
          </cell>
          <cell r="CM103">
            <v>12248</v>
          </cell>
          <cell r="CN103">
            <v>2637</v>
          </cell>
          <cell r="CO103">
            <v>2013</v>
          </cell>
          <cell r="CP103">
            <v>5065</v>
          </cell>
          <cell r="CQ103">
            <v>1831</v>
          </cell>
          <cell r="CR103">
            <v>702</v>
          </cell>
          <cell r="CS103">
            <v>6134</v>
          </cell>
          <cell r="CT103">
            <v>210</v>
          </cell>
          <cell r="CU103">
            <v>1000</v>
          </cell>
          <cell r="CV103">
            <v>4924</v>
          </cell>
          <cell r="CW103">
            <v>27476</v>
          </cell>
          <cell r="CX103">
            <v>4138</v>
          </cell>
          <cell r="CY103">
            <v>1189</v>
          </cell>
          <cell r="CZ103">
            <v>239</v>
          </cell>
          <cell r="DA103">
            <v>1419</v>
          </cell>
          <cell r="DB103">
            <v>1246</v>
          </cell>
          <cell r="DC103">
            <v>45</v>
          </cell>
          <cell r="DD103">
            <v>2104</v>
          </cell>
          <cell r="DE103">
            <v>1421</v>
          </cell>
          <cell r="DF103">
            <v>106</v>
          </cell>
          <cell r="DG103">
            <v>577</v>
          </cell>
          <cell r="DH103">
            <v>6624</v>
          </cell>
          <cell r="DI103">
            <v>1993</v>
          </cell>
          <cell r="DJ103">
            <v>1136</v>
          </cell>
          <cell r="DK103">
            <v>1153</v>
          </cell>
          <cell r="DL103">
            <v>1785</v>
          </cell>
          <cell r="DM103">
            <v>557</v>
          </cell>
          <cell r="DN103">
            <v>11472</v>
          </cell>
          <cell r="DO103">
            <v>3106</v>
          </cell>
          <cell r="DP103">
            <v>5301</v>
          </cell>
          <cell r="DQ103">
            <v>3065</v>
          </cell>
          <cell r="DR103">
            <v>3138</v>
          </cell>
          <cell r="DS103">
            <v>796</v>
          </cell>
          <cell r="DT103">
            <v>1136</v>
          </cell>
          <cell r="DU103">
            <v>718</v>
          </cell>
          <cell r="DV103">
            <v>488</v>
          </cell>
          <cell r="DW103">
            <v>0</v>
          </cell>
          <cell r="DX103">
            <v>5467</v>
          </cell>
          <cell r="DY103">
            <v>29321</v>
          </cell>
          <cell r="DZ103">
            <v>23007</v>
          </cell>
          <cell r="EA103">
            <v>21717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1290</v>
          </cell>
          <cell r="EG103">
            <v>6314</v>
          </cell>
          <cell r="EH103">
            <v>36236</v>
          </cell>
          <cell r="EI103">
            <v>6043</v>
          </cell>
          <cell r="EJ103">
            <v>1707</v>
          </cell>
          <cell r="EK103">
            <v>174</v>
          </cell>
          <cell r="EL103">
            <v>4162</v>
          </cell>
          <cell r="EM103">
            <v>1225</v>
          </cell>
          <cell r="EN103">
            <v>2962</v>
          </cell>
          <cell r="EO103">
            <v>2223</v>
          </cell>
          <cell r="EP103">
            <v>739</v>
          </cell>
          <cell r="EQ103">
            <v>4078</v>
          </cell>
          <cell r="ER103">
            <v>6337</v>
          </cell>
          <cell r="ES103">
            <v>3124</v>
          </cell>
          <cell r="ET103">
            <v>702</v>
          </cell>
          <cell r="EU103">
            <v>882</v>
          </cell>
          <cell r="EV103">
            <v>727</v>
          </cell>
          <cell r="EW103">
            <v>902</v>
          </cell>
          <cell r="EX103">
            <v>11682</v>
          </cell>
          <cell r="EY103">
            <v>5334</v>
          </cell>
          <cell r="EZ103">
            <v>6348</v>
          </cell>
          <cell r="FA103">
            <v>3909</v>
          </cell>
          <cell r="FB103">
            <v>292469</v>
          </cell>
          <cell r="FC103">
            <v>0</v>
          </cell>
          <cell r="FD103">
            <v>27833</v>
          </cell>
          <cell r="FE103">
            <v>6510</v>
          </cell>
          <cell r="FF103">
            <v>724</v>
          </cell>
          <cell r="FG103">
            <v>13002</v>
          </cell>
          <cell r="FH103">
            <v>1000</v>
          </cell>
          <cell r="FI103">
            <v>4374</v>
          </cell>
          <cell r="FJ103">
            <v>2223</v>
          </cell>
          <cell r="FK103">
            <v>117728</v>
          </cell>
          <cell r="FL103">
            <v>23565</v>
          </cell>
          <cell r="FM103">
            <v>10294</v>
          </cell>
          <cell r="FN103">
            <v>14451</v>
          </cell>
          <cell r="FO103">
            <v>9335</v>
          </cell>
          <cell r="FP103">
            <v>11803</v>
          </cell>
          <cell r="FQ103">
            <v>2608</v>
          </cell>
          <cell r="FR103">
            <v>22549</v>
          </cell>
          <cell r="FS103">
            <v>1000</v>
          </cell>
          <cell r="FT103">
            <v>14825</v>
          </cell>
          <cell r="FU103">
            <v>7298</v>
          </cell>
          <cell r="FV103">
            <v>64175</v>
          </cell>
          <cell r="FW103">
            <v>23565</v>
          </cell>
          <cell r="FX103">
            <v>10294</v>
          </cell>
          <cell r="FY103">
            <v>9335</v>
          </cell>
          <cell r="FZ103">
            <v>1409</v>
          </cell>
          <cell r="GA103">
            <v>1884</v>
          </cell>
          <cell r="GB103">
            <v>8246</v>
          </cell>
          <cell r="GC103">
            <v>5280</v>
          </cell>
          <cell r="GD103">
            <v>4162</v>
          </cell>
          <cell r="GE103">
            <v>2339</v>
          </cell>
          <cell r="GF103">
            <v>-9197</v>
          </cell>
          <cell r="GG103">
            <v>11536</v>
          </cell>
          <cell r="GH103">
            <v>172402</v>
          </cell>
          <cell r="GI103">
            <v>195</v>
          </cell>
          <cell r="GJ103">
            <v>67855</v>
          </cell>
          <cell r="GK103">
            <v>955</v>
          </cell>
          <cell r="GL103">
            <v>3409</v>
          </cell>
          <cell r="GM103">
            <v>18477</v>
          </cell>
          <cell r="GN103">
            <v>5134</v>
          </cell>
          <cell r="GO103">
            <v>12651</v>
          </cell>
          <cell r="GP103">
            <v>5467</v>
          </cell>
          <cell r="GQ103">
            <v>29321</v>
          </cell>
          <cell r="GR103">
            <v>28938</v>
          </cell>
          <cell r="GS103">
            <v>25720</v>
          </cell>
          <cell r="GT103">
            <v>14451</v>
          </cell>
          <cell r="GU103">
            <v>3884</v>
          </cell>
          <cell r="GV103">
            <v>1301</v>
          </cell>
          <cell r="GW103">
            <v>5171</v>
          </cell>
          <cell r="GX103">
            <v>913</v>
          </cell>
        </row>
        <row r="104">
          <cell r="A104" t="str">
            <v>2014 Q4</v>
          </cell>
          <cell r="B104">
            <v>290115</v>
          </cell>
          <cell r="C104">
            <v>23571</v>
          </cell>
          <cell r="D104">
            <v>21183</v>
          </cell>
          <cell r="E104">
            <v>4051</v>
          </cell>
          <cell r="F104">
            <v>4401</v>
          </cell>
          <cell r="G104">
            <v>938</v>
          </cell>
          <cell r="H104">
            <v>2666</v>
          </cell>
          <cell r="I104">
            <v>541</v>
          </cell>
          <cell r="J104">
            <v>2136</v>
          </cell>
          <cell r="K104">
            <v>3177</v>
          </cell>
          <cell r="L104">
            <v>2298</v>
          </cell>
          <cell r="M104">
            <v>975</v>
          </cell>
          <cell r="N104">
            <v>2388</v>
          </cell>
          <cell r="O104">
            <v>511</v>
          </cell>
          <cell r="P104">
            <v>1877</v>
          </cell>
          <cell r="Q104">
            <v>10194</v>
          </cell>
          <cell r="R104">
            <v>4426</v>
          </cell>
          <cell r="S104">
            <v>1248</v>
          </cell>
          <cell r="T104">
            <v>2037</v>
          </cell>
          <cell r="U104">
            <v>1141</v>
          </cell>
          <cell r="V104">
            <v>4771</v>
          </cell>
          <cell r="W104">
            <v>997</v>
          </cell>
          <cell r="X104">
            <v>14785</v>
          </cell>
          <cell r="Y104">
            <v>12518</v>
          </cell>
          <cell r="Z104">
            <v>54</v>
          </cell>
          <cell r="AA104">
            <v>11171</v>
          </cell>
          <cell r="AB104">
            <v>1133</v>
          </cell>
          <cell r="AC104">
            <v>160</v>
          </cell>
          <cell r="AD104">
            <v>2267</v>
          </cell>
          <cell r="AE104">
            <v>2246</v>
          </cell>
          <cell r="AF104">
            <v>21</v>
          </cell>
          <cell r="AG104">
            <v>77473</v>
          </cell>
          <cell r="AH104">
            <v>18511</v>
          </cell>
          <cell r="AI104">
            <v>18458</v>
          </cell>
          <cell r="AJ104">
            <v>53</v>
          </cell>
          <cell r="AK104">
            <v>48219</v>
          </cell>
          <cell r="AL104">
            <v>45875</v>
          </cell>
          <cell r="AM104">
            <v>2344</v>
          </cell>
          <cell r="AN104">
            <v>710</v>
          </cell>
          <cell r="AO104">
            <v>241</v>
          </cell>
          <cell r="AP104">
            <v>469</v>
          </cell>
          <cell r="AQ104">
            <v>2409</v>
          </cell>
          <cell r="AR104">
            <v>1236</v>
          </cell>
          <cell r="AS104">
            <v>50</v>
          </cell>
          <cell r="AT104">
            <v>1123</v>
          </cell>
          <cell r="AU104">
            <v>0</v>
          </cell>
          <cell r="AV104">
            <v>7624</v>
          </cell>
          <cell r="AW104">
            <v>3594</v>
          </cell>
          <cell r="AX104">
            <v>3639</v>
          </cell>
          <cell r="AY104">
            <v>313</v>
          </cell>
          <cell r="AZ104">
            <v>78</v>
          </cell>
          <cell r="BA104">
            <v>0</v>
          </cell>
          <cell r="BB104">
            <v>12899</v>
          </cell>
          <cell r="BC104">
            <v>5187</v>
          </cell>
          <cell r="BD104">
            <v>4325</v>
          </cell>
          <cell r="BE104">
            <v>853</v>
          </cell>
          <cell r="BF104">
            <v>9</v>
          </cell>
          <cell r="BG104">
            <v>1198</v>
          </cell>
          <cell r="BH104">
            <v>1850</v>
          </cell>
          <cell r="BI104">
            <v>1465</v>
          </cell>
          <cell r="BJ104">
            <v>312</v>
          </cell>
          <cell r="BK104">
            <v>73</v>
          </cell>
          <cell r="BL104">
            <v>1283</v>
          </cell>
          <cell r="BM104">
            <v>1042</v>
          </cell>
          <cell r="BN104">
            <v>82</v>
          </cell>
          <cell r="BO104">
            <v>960</v>
          </cell>
          <cell r="BP104">
            <v>2339</v>
          </cell>
          <cell r="BQ104">
            <v>1387</v>
          </cell>
          <cell r="BR104">
            <v>952</v>
          </cell>
          <cell r="BS104">
            <v>5964</v>
          </cell>
          <cell r="BT104">
            <v>2603</v>
          </cell>
          <cell r="BU104">
            <v>1786</v>
          </cell>
          <cell r="BV104">
            <v>78</v>
          </cell>
          <cell r="BW104">
            <v>739</v>
          </cell>
          <cell r="BX104">
            <v>1896</v>
          </cell>
          <cell r="BY104">
            <v>938</v>
          </cell>
          <cell r="BZ104">
            <v>754</v>
          </cell>
          <cell r="CA104">
            <v>204</v>
          </cell>
          <cell r="CB104">
            <v>1465</v>
          </cell>
          <cell r="CC104">
            <v>41464</v>
          </cell>
          <cell r="CD104">
            <v>13612</v>
          </cell>
          <cell r="CE104">
            <v>13075</v>
          </cell>
          <cell r="CF104">
            <v>214</v>
          </cell>
          <cell r="CG104">
            <v>323</v>
          </cell>
          <cell r="CH104">
            <v>15352</v>
          </cell>
          <cell r="CI104">
            <v>1210</v>
          </cell>
          <cell r="CJ104">
            <v>7962</v>
          </cell>
          <cell r="CK104">
            <v>4326</v>
          </cell>
          <cell r="CL104">
            <v>1854</v>
          </cell>
          <cell r="CM104">
            <v>12500</v>
          </cell>
          <cell r="CN104">
            <v>2586</v>
          </cell>
          <cell r="CO104">
            <v>2016</v>
          </cell>
          <cell r="CP104">
            <v>5355</v>
          </cell>
          <cell r="CQ104">
            <v>1828</v>
          </cell>
          <cell r="CR104">
            <v>715</v>
          </cell>
          <cell r="CS104">
            <v>6166</v>
          </cell>
          <cell r="CT104">
            <v>235</v>
          </cell>
          <cell r="CU104">
            <v>996</v>
          </cell>
          <cell r="CV104">
            <v>4935</v>
          </cell>
          <cell r="CW104">
            <v>27496</v>
          </cell>
          <cell r="CX104">
            <v>4315</v>
          </cell>
          <cell r="CY104">
            <v>1223</v>
          </cell>
          <cell r="CZ104">
            <v>294</v>
          </cell>
          <cell r="DA104">
            <v>1443</v>
          </cell>
          <cell r="DB104">
            <v>1309</v>
          </cell>
          <cell r="DC104">
            <v>46</v>
          </cell>
          <cell r="DD104">
            <v>2125</v>
          </cell>
          <cell r="DE104">
            <v>1420</v>
          </cell>
          <cell r="DF104">
            <v>124</v>
          </cell>
          <cell r="DG104">
            <v>581</v>
          </cell>
          <cell r="DH104">
            <v>6820</v>
          </cell>
          <cell r="DI104">
            <v>2082</v>
          </cell>
          <cell r="DJ104">
            <v>1141</v>
          </cell>
          <cell r="DK104">
            <v>1166</v>
          </cell>
          <cell r="DL104">
            <v>1850</v>
          </cell>
          <cell r="DM104">
            <v>581</v>
          </cell>
          <cell r="DN104">
            <v>11131</v>
          </cell>
          <cell r="DO104">
            <v>2620</v>
          </cell>
          <cell r="DP104">
            <v>5349</v>
          </cell>
          <cell r="DQ104">
            <v>3162</v>
          </cell>
          <cell r="DR104">
            <v>3105</v>
          </cell>
          <cell r="DS104">
            <v>793</v>
          </cell>
          <cell r="DT104">
            <v>1143</v>
          </cell>
          <cell r="DU104">
            <v>750</v>
          </cell>
          <cell r="DV104">
            <v>419</v>
          </cell>
          <cell r="DW104">
            <v>0</v>
          </cell>
          <cell r="DX104">
            <v>5629</v>
          </cell>
          <cell r="DY104">
            <v>29255</v>
          </cell>
          <cell r="DZ104">
            <v>23103</v>
          </cell>
          <cell r="EA104">
            <v>21869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1234</v>
          </cell>
          <cell r="EG104">
            <v>6152</v>
          </cell>
          <cell r="EH104">
            <v>35219</v>
          </cell>
          <cell r="EI104">
            <v>6159</v>
          </cell>
          <cell r="EJ104">
            <v>1745</v>
          </cell>
          <cell r="EK104">
            <v>179</v>
          </cell>
          <cell r="EL104">
            <v>4235</v>
          </cell>
          <cell r="EM104">
            <v>1232</v>
          </cell>
          <cell r="EN104">
            <v>3192</v>
          </cell>
          <cell r="EO104">
            <v>2434</v>
          </cell>
          <cell r="EP104">
            <v>758</v>
          </cell>
          <cell r="EQ104">
            <v>3355</v>
          </cell>
          <cell r="ER104">
            <v>5950</v>
          </cell>
          <cell r="ES104">
            <v>2736</v>
          </cell>
          <cell r="ET104">
            <v>709</v>
          </cell>
          <cell r="EU104">
            <v>840</v>
          </cell>
          <cell r="EV104">
            <v>798</v>
          </cell>
          <cell r="EW104">
            <v>867</v>
          </cell>
          <cell r="EX104">
            <v>11553</v>
          </cell>
          <cell r="EY104">
            <v>5411</v>
          </cell>
          <cell r="EZ104">
            <v>6142</v>
          </cell>
          <cell r="FA104">
            <v>3778</v>
          </cell>
          <cell r="FB104">
            <v>293449</v>
          </cell>
          <cell r="FC104">
            <v>0</v>
          </cell>
          <cell r="FD104">
            <v>29010</v>
          </cell>
          <cell r="FE104">
            <v>6725</v>
          </cell>
          <cell r="FF104">
            <v>739</v>
          </cell>
          <cell r="FG104">
            <v>13612</v>
          </cell>
          <cell r="FH104">
            <v>996</v>
          </cell>
          <cell r="FI104">
            <v>4504</v>
          </cell>
          <cell r="FJ104">
            <v>2434</v>
          </cell>
          <cell r="FK104">
            <v>118481</v>
          </cell>
          <cell r="FL104">
            <v>23571</v>
          </cell>
          <cell r="FM104">
            <v>10194</v>
          </cell>
          <cell r="FN104">
            <v>14604</v>
          </cell>
          <cell r="FO104">
            <v>9101</v>
          </cell>
          <cell r="FP104">
            <v>11865</v>
          </cell>
          <cell r="FQ104">
            <v>2603</v>
          </cell>
          <cell r="FR104">
            <v>22784</v>
          </cell>
          <cell r="FS104">
            <v>996</v>
          </cell>
          <cell r="FT104">
            <v>15157</v>
          </cell>
          <cell r="FU104">
            <v>7606</v>
          </cell>
          <cell r="FV104">
            <v>63642</v>
          </cell>
          <cell r="FW104">
            <v>23571</v>
          </cell>
          <cell r="FX104">
            <v>10194</v>
          </cell>
          <cell r="FY104">
            <v>9101</v>
          </cell>
          <cell r="FZ104">
            <v>1387</v>
          </cell>
          <cell r="GA104">
            <v>1864</v>
          </cell>
          <cell r="GB104">
            <v>7962</v>
          </cell>
          <cell r="GC104">
            <v>5328</v>
          </cell>
          <cell r="GD104">
            <v>4235</v>
          </cell>
          <cell r="GE104">
            <v>3334</v>
          </cell>
          <cell r="GF104">
            <v>-8728</v>
          </cell>
          <cell r="GG104">
            <v>12062</v>
          </cell>
          <cell r="GH104">
            <v>171634</v>
          </cell>
          <cell r="GI104">
            <v>181</v>
          </cell>
          <cell r="GJ104">
            <v>68372</v>
          </cell>
          <cell r="GK104">
            <v>1034</v>
          </cell>
          <cell r="GL104">
            <v>3361</v>
          </cell>
          <cell r="GM104">
            <v>18680</v>
          </cell>
          <cell r="GN104">
            <v>5170</v>
          </cell>
          <cell r="GO104">
            <v>12339</v>
          </cell>
          <cell r="GP104">
            <v>5629</v>
          </cell>
          <cell r="GQ104">
            <v>29255</v>
          </cell>
          <cell r="GR104">
            <v>27613</v>
          </cell>
          <cell r="GS104">
            <v>25829</v>
          </cell>
          <cell r="GT104">
            <v>14604</v>
          </cell>
          <cell r="GU104">
            <v>3753</v>
          </cell>
          <cell r="GV104">
            <v>1210</v>
          </cell>
          <cell r="GW104">
            <v>5325</v>
          </cell>
          <cell r="GX104">
            <v>937</v>
          </cell>
        </row>
        <row r="105">
          <cell r="A105" t="str">
            <v>2015 Q1</v>
          </cell>
          <cell r="B105">
            <v>290537</v>
          </cell>
          <cell r="C105">
            <v>23078</v>
          </cell>
          <cell r="D105">
            <v>20764</v>
          </cell>
          <cell r="E105">
            <v>4159</v>
          </cell>
          <cell r="F105">
            <v>4205</v>
          </cell>
          <cell r="G105">
            <v>922</v>
          </cell>
          <cell r="H105">
            <v>2500</v>
          </cell>
          <cell r="I105">
            <v>534</v>
          </cell>
          <cell r="J105">
            <v>2030</v>
          </cell>
          <cell r="K105">
            <v>3078</v>
          </cell>
          <cell r="L105">
            <v>2356</v>
          </cell>
          <cell r="M105">
            <v>980</v>
          </cell>
          <cell r="N105">
            <v>2314</v>
          </cell>
          <cell r="O105">
            <v>496</v>
          </cell>
          <cell r="P105">
            <v>1818</v>
          </cell>
          <cell r="Q105">
            <v>10112</v>
          </cell>
          <cell r="R105">
            <v>4566</v>
          </cell>
          <cell r="S105">
            <v>1317</v>
          </cell>
          <cell r="T105">
            <v>2114</v>
          </cell>
          <cell r="U105">
            <v>1135</v>
          </cell>
          <cell r="V105">
            <v>4625</v>
          </cell>
          <cell r="W105">
            <v>921</v>
          </cell>
          <cell r="X105">
            <v>14939</v>
          </cell>
          <cell r="Y105">
            <v>12587</v>
          </cell>
          <cell r="Z105">
            <v>13</v>
          </cell>
          <cell r="AA105">
            <v>11208</v>
          </cell>
          <cell r="AB105">
            <v>1209</v>
          </cell>
          <cell r="AC105">
            <v>157</v>
          </cell>
          <cell r="AD105">
            <v>2352</v>
          </cell>
          <cell r="AE105">
            <v>2331</v>
          </cell>
          <cell r="AF105">
            <v>21</v>
          </cell>
          <cell r="AG105">
            <v>78496</v>
          </cell>
          <cell r="AH105">
            <v>18689</v>
          </cell>
          <cell r="AI105">
            <v>18635</v>
          </cell>
          <cell r="AJ105">
            <v>54</v>
          </cell>
          <cell r="AK105">
            <v>48523</v>
          </cell>
          <cell r="AL105">
            <v>46132</v>
          </cell>
          <cell r="AM105">
            <v>2391</v>
          </cell>
          <cell r="AN105">
            <v>737</v>
          </cell>
          <cell r="AO105">
            <v>266</v>
          </cell>
          <cell r="AP105">
            <v>471</v>
          </cell>
          <cell r="AQ105">
            <v>2424</v>
          </cell>
          <cell r="AR105">
            <v>1236</v>
          </cell>
          <cell r="AS105">
            <v>59</v>
          </cell>
          <cell r="AT105">
            <v>1129</v>
          </cell>
          <cell r="AU105">
            <v>0</v>
          </cell>
          <cell r="AV105">
            <v>8123</v>
          </cell>
          <cell r="AW105">
            <v>3967</v>
          </cell>
          <cell r="AX105">
            <v>3783</v>
          </cell>
          <cell r="AY105">
            <v>273</v>
          </cell>
          <cell r="AZ105">
            <v>100</v>
          </cell>
          <cell r="BA105">
            <v>0</v>
          </cell>
          <cell r="BB105">
            <v>13245</v>
          </cell>
          <cell r="BC105">
            <v>5358</v>
          </cell>
          <cell r="BD105">
            <v>4446</v>
          </cell>
          <cell r="BE105">
            <v>901</v>
          </cell>
          <cell r="BF105">
            <v>11</v>
          </cell>
          <cell r="BG105">
            <v>1289</v>
          </cell>
          <cell r="BH105">
            <v>1866</v>
          </cell>
          <cell r="BI105">
            <v>1467</v>
          </cell>
          <cell r="BJ105">
            <v>322</v>
          </cell>
          <cell r="BK105">
            <v>77</v>
          </cell>
          <cell r="BL105">
            <v>1298</v>
          </cell>
          <cell r="BM105">
            <v>1053</v>
          </cell>
          <cell r="BN105">
            <v>84</v>
          </cell>
          <cell r="BO105">
            <v>969</v>
          </cell>
          <cell r="BP105">
            <v>2381</v>
          </cell>
          <cell r="BQ105">
            <v>1470</v>
          </cell>
          <cell r="BR105">
            <v>911</v>
          </cell>
          <cell r="BS105">
            <v>6227</v>
          </cell>
          <cell r="BT105">
            <v>2765</v>
          </cell>
          <cell r="BU105">
            <v>1764</v>
          </cell>
          <cell r="BV105">
            <v>158</v>
          </cell>
          <cell r="BW105">
            <v>843</v>
          </cell>
          <cell r="BX105">
            <v>1998</v>
          </cell>
          <cell r="BY105">
            <v>939</v>
          </cell>
          <cell r="BZ105">
            <v>819</v>
          </cell>
          <cell r="CA105">
            <v>240</v>
          </cell>
          <cell r="CB105">
            <v>1464</v>
          </cell>
          <cell r="CC105">
            <v>40290</v>
          </cell>
          <cell r="CD105">
            <v>12779</v>
          </cell>
          <cell r="CE105">
            <v>12259</v>
          </cell>
          <cell r="CF105">
            <v>210</v>
          </cell>
          <cell r="CG105">
            <v>310</v>
          </cell>
          <cell r="CH105">
            <v>14819</v>
          </cell>
          <cell r="CI105">
            <v>1170</v>
          </cell>
          <cell r="CJ105">
            <v>7250</v>
          </cell>
          <cell r="CK105">
            <v>4459</v>
          </cell>
          <cell r="CL105">
            <v>1940</v>
          </cell>
          <cell r="CM105">
            <v>12692</v>
          </cell>
          <cell r="CN105">
            <v>2648</v>
          </cell>
          <cell r="CO105">
            <v>1994</v>
          </cell>
          <cell r="CP105">
            <v>5488</v>
          </cell>
          <cell r="CQ105">
            <v>1894</v>
          </cell>
          <cell r="CR105">
            <v>668</v>
          </cell>
          <cell r="CS105">
            <v>6213</v>
          </cell>
          <cell r="CT105">
            <v>257</v>
          </cell>
          <cell r="CU105">
            <v>1038</v>
          </cell>
          <cell r="CV105">
            <v>4918</v>
          </cell>
          <cell r="CW105">
            <v>27463</v>
          </cell>
          <cell r="CX105">
            <v>4528</v>
          </cell>
          <cell r="CY105">
            <v>1248</v>
          </cell>
          <cell r="CZ105">
            <v>359</v>
          </cell>
          <cell r="DA105">
            <v>1385</v>
          </cell>
          <cell r="DB105">
            <v>1483</v>
          </cell>
          <cell r="DC105">
            <v>53</v>
          </cell>
          <cell r="DD105">
            <v>2109</v>
          </cell>
          <cell r="DE105">
            <v>1409</v>
          </cell>
          <cell r="DF105">
            <v>117</v>
          </cell>
          <cell r="DG105">
            <v>583</v>
          </cell>
          <cell r="DH105">
            <v>6421</v>
          </cell>
          <cell r="DI105">
            <v>1879</v>
          </cell>
          <cell r="DJ105">
            <v>1066</v>
          </cell>
          <cell r="DK105">
            <v>1122</v>
          </cell>
          <cell r="DL105">
            <v>1752</v>
          </cell>
          <cell r="DM105">
            <v>602</v>
          </cell>
          <cell r="DN105">
            <v>11264</v>
          </cell>
          <cell r="DO105">
            <v>2844</v>
          </cell>
          <cell r="DP105">
            <v>5403</v>
          </cell>
          <cell r="DQ105">
            <v>3017</v>
          </cell>
          <cell r="DR105">
            <v>3141</v>
          </cell>
          <cell r="DS105">
            <v>792</v>
          </cell>
          <cell r="DT105">
            <v>1167</v>
          </cell>
          <cell r="DU105">
            <v>766</v>
          </cell>
          <cell r="DV105">
            <v>416</v>
          </cell>
          <cell r="DW105">
            <v>0</v>
          </cell>
          <cell r="DX105">
            <v>5788</v>
          </cell>
          <cell r="DY105">
            <v>30182</v>
          </cell>
          <cell r="DZ105">
            <v>23575</v>
          </cell>
          <cell r="EA105">
            <v>22279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1296</v>
          </cell>
          <cell r="EG105">
            <v>6607</v>
          </cell>
          <cell r="EH105">
            <v>34504</v>
          </cell>
          <cell r="EI105">
            <v>6410</v>
          </cell>
          <cell r="EJ105">
            <v>1738</v>
          </cell>
          <cell r="EK105">
            <v>165</v>
          </cell>
          <cell r="EL105">
            <v>4507</v>
          </cell>
          <cell r="EM105">
            <v>1241</v>
          </cell>
          <cell r="EN105">
            <v>3285</v>
          </cell>
          <cell r="EO105">
            <v>2560</v>
          </cell>
          <cell r="EP105">
            <v>725</v>
          </cell>
          <cell r="EQ105">
            <v>3398</v>
          </cell>
          <cell r="ER105">
            <v>5165</v>
          </cell>
          <cell r="ES105">
            <v>2227</v>
          </cell>
          <cell r="ET105">
            <v>649</v>
          </cell>
          <cell r="EU105">
            <v>785</v>
          </cell>
          <cell r="EV105">
            <v>683</v>
          </cell>
          <cell r="EW105">
            <v>821</v>
          </cell>
          <cell r="EX105">
            <v>11190</v>
          </cell>
          <cell r="EY105">
            <v>5279</v>
          </cell>
          <cell r="EZ105">
            <v>5911</v>
          </cell>
          <cell r="FA105">
            <v>3815</v>
          </cell>
          <cell r="FB105">
            <v>293366</v>
          </cell>
          <cell r="FC105">
            <v>0</v>
          </cell>
          <cell r="FD105">
            <v>28636</v>
          </cell>
          <cell r="FE105">
            <v>6898</v>
          </cell>
          <cell r="FF105">
            <v>843</v>
          </cell>
          <cell r="FG105">
            <v>12779</v>
          </cell>
          <cell r="FH105">
            <v>1038</v>
          </cell>
          <cell r="FI105">
            <v>4518</v>
          </cell>
          <cell r="FJ105">
            <v>2560</v>
          </cell>
          <cell r="FK105">
            <v>117742</v>
          </cell>
          <cell r="FL105">
            <v>23078</v>
          </cell>
          <cell r="FM105">
            <v>10112</v>
          </cell>
          <cell r="FN105">
            <v>14761</v>
          </cell>
          <cell r="FO105">
            <v>9625</v>
          </cell>
          <cell r="FP105">
            <v>12246</v>
          </cell>
          <cell r="FQ105">
            <v>2765</v>
          </cell>
          <cell r="FR105">
            <v>21199</v>
          </cell>
          <cell r="FS105">
            <v>1038</v>
          </cell>
          <cell r="FT105">
            <v>14961</v>
          </cell>
          <cell r="FU105">
            <v>7957</v>
          </cell>
          <cell r="FV105">
            <v>63187</v>
          </cell>
          <cell r="FW105">
            <v>23078</v>
          </cell>
          <cell r="FX105">
            <v>10112</v>
          </cell>
          <cell r="FY105">
            <v>9625</v>
          </cell>
          <cell r="FZ105">
            <v>1470</v>
          </cell>
          <cell r="GA105">
            <v>1922</v>
          </cell>
          <cell r="GB105">
            <v>7250</v>
          </cell>
          <cell r="GC105">
            <v>5223</v>
          </cell>
          <cell r="GD105">
            <v>4507</v>
          </cell>
          <cell r="GE105">
            <v>2829</v>
          </cell>
          <cell r="GF105">
            <v>-9043</v>
          </cell>
          <cell r="GG105">
            <v>11872</v>
          </cell>
          <cell r="GH105">
            <v>172795</v>
          </cell>
          <cell r="GI105">
            <v>178</v>
          </cell>
          <cell r="GJ105">
            <v>68871</v>
          </cell>
          <cell r="GK105">
            <v>999</v>
          </cell>
          <cell r="GL105">
            <v>3462</v>
          </cell>
          <cell r="GM105">
            <v>19091</v>
          </cell>
          <cell r="GN105">
            <v>5175</v>
          </cell>
          <cell r="GO105">
            <v>12502</v>
          </cell>
          <cell r="GP105">
            <v>5788</v>
          </cell>
          <cell r="GQ105">
            <v>30182</v>
          </cell>
          <cell r="GR105">
            <v>26547</v>
          </cell>
          <cell r="GS105">
            <v>25919</v>
          </cell>
          <cell r="GT105">
            <v>14761</v>
          </cell>
          <cell r="GU105">
            <v>3878</v>
          </cell>
          <cell r="GV105">
            <v>1170</v>
          </cell>
          <cell r="GW105">
            <v>5220</v>
          </cell>
          <cell r="GX105">
            <v>890</v>
          </cell>
        </row>
        <row r="106">
          <cell r="A106" t="str">
            <v>2015 Q2</v>
          </cell>
          <cell r="B106">
            <v>292828</v>
          </cell>
          <cell r="C106">
            <v>23049</v>
          </cell>
          <cell r="D106">
            <v>20708</v>
          </cell>
          <cell r="E106">
            <v>4161</v>
          </cell>
          <cell r="F106">
            <v>4215</v>
          </cell>
          <cell r="G106">
            <v>909</v>
          </cell>
          <cell r="H106">
            <v>2505</v>
          </cell>
          <cell r="I106">
            <v>525</v>
          </cell>
          <cell r="J106">
            <v>2072</v>
          </cell>
          <cell r="K106">
            <v>3151</v>
          </cell>
          <cell r="L106">
            <v>2230</v>
          </cell>
          <cell r="M106">
            <v>940</v>
          </cell>
          <cell r="N106">
            <v>2341</v>
          </cell>
          <cell r="O106">
            <v>499</v>
          </cell>
          <cell r="P106">
            <v>1842</v>
          </cell>
          <cell r="Q106">
            <v>9880</v>
          </cell>
          <cell r="R106">
            <v>4485</v>
          </cell>
          <cell r="S106">
            <v>1285</v>
          </cell>
          <cell r="T106">
            <v>2058</v>
          </cell>
          <cell r="U106">
            <v>1142</v>
          </cell>
          <cell r="V106">
            <v>4539</v>
          </cell>
          <cell r="W106">
            <v>856</v>
          </cell>
          <cell r="X106">
            <v>15383</v>
          </cell>
          <cell r="Y106">
            <v>12960</v>
          </cell>
          <cell r="Z106">
            <v>11</v>
          </cell>
          <cell r="AA106">
            <v>11584</v>
          </cell>
          <cell r="AB106">
            <v>1210</v>
          </cell>
          <cell r="AC106">
            <v>155</v>
          </cell>
          <cell r="AD106">
            <v>2423</v>
          </cell>
          <cell r="AE106">
            <v>2400</v>
          </cell>
          <cell r="AF106">
            <v>23</v>
          </cell>
          <cell r="AG106">
            <v>78986</v>
          </cell>
          <cell r="AH106">
            <v>18885</v>
          </cell>
          <cell r="AI106">
            <v>18830</v>
          </cell>
          <cell r="AJ106">
            <v>55</v>
          </cell>
          <cell r="AK106">
            <v>49071</v>
          </cell>
          <cell r="AL106">
            <v>46646</v>
          </cell>
          <cell r="AM106">
            <v>2425</v>
          </cell>
          <cell r="AN106">
            <v>717</v>
          </cell>
          <cell r="AO106">
            <v>273</v>
          </cell>
          <cell r="AP106">
            <v>444</v>
          </cell>
          <cell r="AQ106">
            <v>2337</v>
          </cell>
          <cell r="AR106">
            <v>1182</v>
          </cell>
          <cell r="AS106">
            <v>47</v>
          </cell>
          <cell r="AT106">
            <v>1108</v>
          </cell>
          <cell r="AU106">
            <v>0</v>
          </cell>
          <cell r="AV106">
            <v>7976</v>
          </cell>
          <cell r="AW106">
            <v>3947</v>
          </cell>
          <cell r="AX106">
            <v>3664</v>
          </cell>
          <cell r="AY106">
            <v>272</v>
          </cell>
          <cell r="AZ106">
            <v>93</v>
          </cell>
          <cell r="BA106">
            <v>0</v>
          </cell>
          <cell r="BB106">
            <v>13406</v>
          </cell>
          <cell r="BC106">
            <v>5456</v>
          </cell>
          <cell r="BD106">
            <v>4496</v>
          </cell>
          <cell r="BE106">
            <v>953</v>
          </cell>
          <cell r="BF106">
            <v>7</v>
          </cell>
          <cell r="BG106">
            <v>1361</v>
          </cell>
          <cell r="BH106">
            <v>1930</v>
          </cell>
          <cell r="BI106">
            <v>1424</v>
          </cell>
          <cell r="BJ106">
            <v>428</v>
          </cell>
          <cell r="BK106">
            <v>78</v>
          </cell>
          <cell r="BL106">
            <v>1290</v>
          </cell>
          <cell r="BM106">
            <v>1118</v>
          </cell>
          <cell r="BN106">
            <v>90</v>
          </cell>
          <cell r="BO106">
            <v>1028</v>
          </cell>
          <cell r="BP106">
            <v>2251</v>
          </cell>
          <cell r="BQ106">
            <v>1396</v>
          </cell>
          <cell r="BR106">
            <v>855</v>
          </cell>
          <cell r="BS106">
            <v>6210</v>
          </cell>
          <cell r="BT106">
            <v>2626</v>
          </cell>
          <cell r="BU106">
            <v>1747</v>
          </cell>
          <cell r="BV106">
            <v>101</v>
          </cell>
          <cell r="BW106">
            <v>778</v>
          </cell>
          <cell r="BX106">
            <v>2080</v>
          </cell>
          <cell r="BY106">
            <v>886</v>
          </cell>
          <cell r="BZ106">
            <v>920</v>
          </cell>
          <cell r="CA106">
            <v>274</v>
          </cell>
          <cell r="CB106">
            <v>1504</v>
          </cell>
          <cell r="CC106">
            <v>40590</v>
          </cell>
          <cell r="CD106">
            <v>13174</v>
          </cell>
          <cell r="CE106">
            <v>12672</v>
          </cell>
          <cell r="CF106">
            <v>198</v>
          </cell>
          <cell r="CG106">
            <v>304</v>
          </cell>
          <cell r="CH106">
            <v>15025</v>
          </cell>
          <cell r="CI106">
            <v>1180</v>
          </cell>
          <cell r="CJ106">
            <v>7404</v>
          </cell>
          <cell r="CK106">
            <v>4476</v>
          </cell>
          <cell r="CL106">
            <v>1965</v>
          </cell>
          <cell r="CM106">
            <v>12391</v>
          </cell>
          <cell r="CN106">
            <v>2671</v>
          </cell>
          <cell r="CO106">
            <v>2019</v>
          </cell>
          <cell r="CP106">
            <v>5296</v>
          </cell>
          <cell r="CQ106">
            <v>1735</v>
          </cell>
          <cell r="CR106">
            <v>670</v>
          </cell>
          <cell r="CS106">
            <v>6246</v>
          </cell>
          <cell r="CT106">
            <v>272</v>
          </cell>
          <cell r="CU106">
            <v>1060</v>
          </cell>
          <cell r="CV106">
            <v>4914</v>
          </cell>
          <cell r="CW106">
            <v>28069</v>
          </cell>
          <cell r="CX106">
            <v>4668</v>
          </cell>
          <cell r="CY106">
            <v>1274</v>
          </cell>
          <cell r="CZ106">
            <v>372</v>
          </cell>
          <cell r="DA106">
            <v>1432</v>
          </cell>
          <cell r="DB106">
            <v>1535</v>
          </cell>
          <cell r="DC106">
            <v>55</v>
          </cell>
          <cell r="DD106">
            <v>2427</v>
          </cell>
          <cell r="DE106">
            <v>1705</v>
          </cell>
          <cell r="DF106">
            <v>139</v>
          </cell>
          <cell r="DG106">
            <v>583</v>
          </cell>
          <cell r="DH106">
            <v>6594</v>
          </cell>
          <cell r="DI106">
            <v>1989</v>
          </cell>
          <cell r="DJ106">
            <v>1065</v>
          </cell>
          <cell r="DK106">
            <v>1143</v>
          </cell>
          <cell r="DL106">
            <v>1749</v>
          </cell>
          <cell r="DM106">
            <v>648</v>
          </cell>
          <cell r="DN106">
            <v>11225</v>
          </cell>
          <cell r="DO106">
            <v>2685</v>
          </cell>
          <cell r="DP106">
            <v>5428</v>
          </cell>
          <cell r="DQ106">
            <v>3112</v>
          </cell>
          <cell r="DR106">
            <v>3155</v>
          </cell>
          <cell r="DS106">
            <v>833</v>
          </cell>
          <cell r="DT106">
            <v>1182</v>
          </cell>
          <cell r="DU106">
            <v>667</v>
          </cell>
          <cell r="DV106">
            <v>473</v>
          </cell>
          <cell r="DW106">
            <v>0</v>
          </cell>
          <cell r="DX106">
            <v>5940</v>
          </cell>
          <cell r="DY106">
            <v>30024</v>
          </cell>
          <cell r="DZ106">
            <v>23612</v>
          </cell>
          <cell r="EA106">
            <v>22330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1282</v>
          </cell>
          <cell r="EG106">
            <v>6412</v>
          </cell>
          <cell r="EH106">
            <v>35045</v>
          </cell>
          <cell r="EI106">
            <v>6461</v>
          </cell>
          <cell r="EJ106">
            <v>1753</v>
          </cell>
          <cell r="EK106">
            <v>167</v>
          </cell>
          <cell r="EL106">
            <v>4541</v>
          </cell>
          <cell r="EM106">
            <v>1252</v>
          </cell>
          <cell r="EN106">
            <v>3250</v>
          </cell>
          <cell r="EO106">
            <v>2457</v>
          </cell>
          <cell r="EP106">
            <v>793</v>
          </cell>
          <cell r="EQ106">
            <v>4313</v>
          </cell>
          <cell r="ER106">
            <v>4687</v>
          </cell>
          <cell r="ES106">
            <v>1874</v>
          </cell>
          <cell r="ET106">
            <v>618</v>
          </cell>
          <cell r="EU106">
            <v>763</v>
          </cell>
          <cell r="EV106">
            <v>643</v>
          </cell>
          <cell r="EW106">
            <v>789</v>
          </cell>
          <cell r="EX106">
            <v>11302</v>
          </cell>
          <cell r="EY106">
            <v>5621</v>
          </cell>
          <cell r="EZ106">
            <v>5681</v>
          </cell>
          <cell r="FA106">
            <v>3780</v>
          </cell>
          <cell r="FB106">
            <v>295303</v>
          </cell>
          <cell r="FC106">
            <v>0</v>
          </cell>
          <cell r="FD106">
            <v>29354</v>
          </cell>
          <cell r="FE106">
            <v>6963</v>
          </cell>
          <cell r="FF106">
            <v>778</v>
          </cell>
          <cell r="FG106">
            <v>13174</v>
          </cell>
          <cell r="FH106">
            <v>1060</v>
          </cell>
          <cell r="FI106">
            <v>4922</v>
          </cell>
          <cell r="FJ106">
            <v>2457</v>
          </cell>
          <cell r="FK106">
            <v>118991</v>
          </cell>
          <cell r="FL106">
            <v>23049</v>
          </cell>
          <cell r="FM106">
            <v>9880</v>
          </cell>
          <cell r="FN106">
            <v>15205</v>
          </cell>
          <cell r="FO106">
            <v>9431</v>
          </cell>
          <cell r="FP106">
            <v>12466</v>
          </cell>
          <cell r="FQ106">
            <v>2626</v>
          </cell>
          <cell r="FR106">
            <v>21758</v>
          </cell>
          <cell r="FS106">
            <v>1060</v>
          </cell>
          <cell r="FT106">
            <v>15558</v>
          </cell>
          <cell r="FU106">
            <v>7958</v>
          </cell>
          <cell r="FV106">
            <v>62763</v>
          </cell>
          <cell r="FW106">
            <v>23049</v>
          </cell>
          <cell r="FX106">
            <v>9880</v>
          </cell>
          <cell r="FY106">
            <v>9431</v>
          </cell>
          <cell r="FZ106">
            <v>1396</v>
          </cell>
          <cell r="GA106">
            <v>1848</v>
          </cell>
          <cell r="GB106">
            <v>7404</v>
          </cell>
          <cell r="GC106">
            <v>5214</v>
          </cell>
          <cell r="GD106">
            <v>4541</v>
          </cell>
          <cell r="GE106">
            <v>2475</v>
          </cell>
          <cell r="GF106">
            <v>-9249</v>
          </cell>
          <cell r="GG106">
            <v>11724</v>
          </cell>
          <cell r="GH106">
            <v>173837</v>
          </cell>
          <cell r="GI106">
            <v>178</v>
          </cell>
          <cell r="GJ106">
            <v>69555</v>
          </cell>
          <cell r="GK106">
            <v>940</v>
          </cell>
          <cell r="GL106">
            <v>3584</v>
          </cell>
          <cell r="GM106">
            <v>18832</v>
          </cell>
          <cell r="GN106">
            <v>5186</v>
          </cell>
          <cell r="GO106">
            <v>12511</v>
          </cell>
          <cell r="GP106">
            <v>5940</v>
          </cell>
          <cell r="GQ106">
            <v>30024</v>
          </cell>
          <cell r="GR106">
            <v>27087</v>
          </cell>
          <cell r="GS106">
            <v>26874</v>
          </cell>
          <cell r="GT106">
            <v>15205</v>
          </cell>
          <cell r="GU106">
            <v>4107</v>
          </cell>
          <cell r="GV106">
            <v>1180</v>
          </cell>
          <cell r="GW106">
            <v>5422</v>
          </cell>
          <cell r="GX106">
            <v>960</v>
          </cell>
        </row>
        <row r="107">
          <cell r="A107" t="str">
            <v>2015 Q3</v>
          </cell>
          <cell r="B107">
            <v>296526</v>
          </cell>
          <cell r="C107">
            <v>23229</v>
          </cell>
          <cell r="D107">
            <v>20854</v>
          </cell>
          <cell r="E107">
            <v>4102</v>
          </cell>
          <cell r="F107">
            <v>4278</v>
          </cell>
          <cell r="G107">
            <v>910</v>
          </cell>
          <cell r="H107">
            <v>2459</v>
          </cell>
          <cell r="I107">
            <v>614</v>
          </cell>
          <cell r="J107">
            <v>2114</v>
          </cell>
          <cell r="K107">
            <v>3084</v>
          </cell>
          <cell r="L107">
            <v>2301</v>
          </cell>
          <cell r="M107">
            <v>992</v>
          </cell>
          <cell r="N107">
            <v>2375</v>
          </cell>
          <cell r="O107">
            <v>508</v>
          </cell>
          <cell r="P107">
            <v>1867</v>
          </cell>
          <cell r="Q107">
            <v>9887</v>
          </cell>
          <cell r="R107">
            <v>4553</v>
          </cell>
          <cell r="S107">
            <v>1313</v>
          </cell>
          <cell r="T107">
            <v>2071</v>
          </cell>
          <cell r="U107">
            <v>1169</v>
          </cell>
          <cell r="V107">
            <v>4528</v>
          </cell>
          <cell r="W107">
            <v>806</v>
          </cell>
          <cell r="X107">
            <v>15666</v>
          </cell>
          <cell r="Y107">
            <v>13251</v>
          </cell>
          <cell r="Z107">
            <v>12</v>
          </cell>
          <cell r="AA107">
            <v>11829</v>
          </cell>
          <cell r="AB107">
            <v>1256</v>
          </cell>
          <cell r="AC107">
            <v>154</v>
          </cell>
          <cell r="AD107">
            <v>2415</v>
          </cell>
          <cell r="AE107">
            <v>2394</v>
          </cell>
          <cell r="AF107">
            <v>21</v>
          </cell>
          <cell r="AG107">
            <v>80203</v>
          </cell>
          <cell r="AH107">
            <v>19092</v>
          </cell>
          <cell r="AI107">
            <v>19036</v>
          </cell>
          <cell r="AJ107">
            <v>56</v>
          </cell>
          <cell r="AK107">
            <v>49621</v>
          </cell>
          <cell r="AL107">
            <v>47169</v>
          </cell>
          <cell r="AM107">
            <v>2452</v>
          </cell>
          <cell r="AN107">
            <v>692</v>
          </cell>
          <cell r="AO107">
            <v>281</v>
          </cell>
          <cell r="AP107">
            <v>411</v>
          </cell>
          <cell r="AQ107">
            <v>2356</v>
          </cell>
          <cell r="AR107">
            <v>1192</v>
          </cell>
          <cell r="AS107">
            <v>42</v>
          </cell>
          <cell r="AT107">
            <v>1122</v>
          </cell>
          <cell r="AU107">
            <v>0</v>
          </cell>
          <cell r="AV107">
            <v>8442</v>
          </cell>
          <cell r="AW107">
            <v>4033</v>
          </cell>
          <cell r="AX107">
            <v>4057</v>
          </cell>
          <cell r="AY107">
            <v>253</v>
          </cell>
          <cell r="AZ107">
            <v>99</v>
          </cell>
          <cell r="BA107">
            <v>0</v>
          </cell>
          <cell r="BB107">
            <v>13616</v>
          </cell>
          <cell r="BC107">
            <v>5569</v>
          </cell>
          <cell r="BD107">
            <v>4497</v>
          </cell>
          <cell r="BE107">
            <v>1069</v>
          </cell>
          <cell r="BF107">
            <v>3</v>
          </cell>
          <cell r="BG107">
            <v>1408</v>
          </cell>
          <cell r="BH107">
            <v>2069</v>
          </cell>
          <cell r="BI107">
            <v>1564</v>
          </cell>
          <cell r="BJ107">
            <v>427</v>
          </cell>
          <cell r="BK107">
            <v>78</v>
          </cell>
          <cell r="BL107">
            <v>1261</v>
          </cell>
          <cell r="BM107">
            <v>1065</v>
          </cell>
          <cell r="BN107">
            <v>63</v>
          </cell>
          <cell r="BO107">
            <v>1002</v>
          </cell>
          <cell r="BP107">
            <v>2244</v>
          </cell>
          <cell r="BQ107">
            <v>1441</v>
          </cell>
          <cell r="BR107">
            <v>803</v>
          </cell>
          <cell r="BS107">
            <v>6245</v>
          </cell>
          <cell r="BT107">
            <v>2627</v>
          </cell>
          <cell r="BU107">
            <v>1739</v>
          </cell>
          <cell r="BV107">
            <v>103</v>
          </cell>
          <cell r="BW107">
            <v>785</v>
          </cell>
          <cell r="BX107">
            <v>2069</v>
          </cell>
          <cell r="BY107">
            <v>854</v>
          </cell>
          <cell r="BZ107">
            <v>969</v>
          </cell>
          <cell r="CA107">
            <v>246</v>
          </cell>
          <cell r="CB107">
            <v>1549</v>
          </cell>
          <cell r="CC107">
            <v>41515</v>
          </cell>
          <cell r="CD107">
            <v>13844</v>
          </cell>
          <cell r="CE107">
            <v>13330</v>
          </cell>
          <cell r="CF107">
            <v>205</v>
          </cell>
          <cell r="CG107">
            <v>309</v>
          </cell>
          <cell r="CH107">
            <v>14970</v>
          </cell>
          <cell r="CI107">
            <v>1228</v>
          </cell>
          <cell r="CJ107">
            <v>7254</v>
          </cell>
          <cell r="CK107">
            <v>4484</v>
          </cell>
          <cell r="CL107">
            <v>2004</v>
          </cell>
          <cell r="CM107">
            <v>12701</v>
          </cell>
          <cell r="CN107">
            <v>2719</v>
          </cell>
          <cell r="CO107">
            <v>1997</v>
          </cell>
          <cell r="CP107">
            <v>5595</v>
          </cell>
          <cell r="CQ107">
            <v>1686</v>
          </cell>
          <cell r="CR107">
            <v>704</v>
          </cell>
          <cell r="CS107">
            <v>6308</v>
          </cell>
          <cell r="CT107">
            <v>257</v>
          </cell>
          <cell r="CU107">
            <v>1173</v>
          </cell>
          <cell r="CV107">
            <v>4878</v>
          </cell>
          <cell r="CW107">
            <v>28221</v>
          </cell>
          <cell r="CX107">
            <v>4637</v>
          </cell>
          <cell r="CY107">
            <v>1258</v>
          </cell>
          <cell r="CZ107">
            <v>342</v>
          </cell>
          <cell r="DA107">
            <v>1423</v>
          </cell>
          <cell r="DB107">
            <v>1561</v>
          </cell>
          <cell r="DC107">
            <v>53</v>
          </cell>
          <cell r="DD107">
            <v>2040</v>
          </cell>
          <cell r="DE107">
            <v>1367</v>
          </cell>
          <cell r="DF107">
            <v>88</v>
          </cell>
          <cell r="DG107">
            <v>585</v>
          </cell>
          <cell r="DH107">
            <v>6878</v>
          </cell>
          <cell r="DI107">
            <v>2191</v>
          </cell>
          <cell r="DJ107">
            <v>1124</v>
          </cell>
          <cell r="DK107">
            <v>1198</v>
          </cell>
          <cell r="DL107">
            <v>1702</v>
          </cell>
          <cell r="DM107">
            <v>663</v>
          </cell>
          <cell r="DN107">
            <v>11376</v>
          </cell>
          <cell r="DO107">
            <v>2875</v>
          </cell>
          <cell r="DP107">
            <v>5427</v>
          </cell>
          <cell r="DQ107">
            <v>3074</v>
          </cell>
          <cell r="DR107">
            <v>3290</v>
          </cell>
          <cell r="DS107">
            <v>865</v>
          </cell>
          <cell r="DT107">
            <v>1149</v>
          </cell>
          <cell r="DU107">
            <v>833</v>
          </cell>
          <cell r="DV107">
            <v>443</v>
          </cell>
          <cell r="DW107">
            <v>0</v>
          </cell>
          <cell r="DX107">
            <v>6079</v>
          </cell>
          <cell r="DY107">
            <v>30525</v>
          </cell>
          <cell r="DZ107">
            <v>23853</v>
          </cell>
          <cell r="EA107">
            <v>22575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1278</v>
          </cell>
          <cell r="EG107">
            <v>6672</v>
          </cell>
          <cell r="EH107">
            <v>35032</v>
          </cell>
          <cell r="EI107">
            <v>6733</v>
          </cell>
          <cell r="EJ107">
            <v>1768</v>
          </cell>
          <cell r="EK107">
            <v>320</v>
          </cell>
          <cell r="EL107">
            <v>4645</v>
          </cell>
          <cell r="EM107">
            <v>1266</v>
          </cell>
          <cell r="EN107">
            <v>3113</v>
          </cell>
          <cell r="EO107">
            <v>2364</v>
          </cell>
          <cell r="EP107">
            <v>749</v>
          </cell>
          <cell r="EQ107">
            <v>4275</v>
          </cell>
          <cell r="ER107">
            <v>4427</v>
          </cell>
          <cell r="ES107">
            <v>1743</v>
          </cell>
          <cell r="ET107">
            <v>583</v>
          </cell>
          <cell r="EU107">
            <v>752</v>
          </cell>
          <cell r="EV107">
            <v>585</v>
          </cell>
          <cell r="EW107">
            <v>764</v>
          </cell>
          <cell r="EX107">
            <v>11454</v>
          </cell>
          <cell r="EY107">
            <v>5678</v>
          </cell>
          <cell r="EZ107">
            <v>5776</v>
          </cell>
          <cell r="FA107">
            <v>3764</v>
          </cell>
          <cell r="FB107">
            <v>299879</v>
          </cell>
          <cell r="FC107">
            <v>0</v>
          </cell>
          <cell r="FD107">
            <v>29837</v>
          </cell>
          <cell r="FE107">
            <v>7193</v>
          </cell>
          <cell r="FF107">
            <v>785</v>
          </cell>
          <cell r="FG107">
            <v>13844</v>
          </cell>
          <cell r="FH107">
            <v>1173</v>
          </cell>
          <cell r="FI107">
            <v>4478</v>
          </cell>
          <cell r="FJ107">
            <v>2364</v>
          </cell>
          <cell r="FK107">
            <v>121002</v>
          </cell>
          <cell r="FL107">
            <v>23229</v>
          </cell>
          <cell r="FM107">
            <v>9887</v>
          </cell>
          <cell r="FN107">
            <v>15491</v>
          </cell>
          <cell r="FO107">
            <v>9915</v>
          </cell>
          <cell r="FP107">
            <v>12732</v>
          </cell>
          <cell r="FQ107">
            <v>2627</v>
          </cell>
          <cell r="FR107">
            <v>22326</v>
          </cell>
          <cell r="FS107">
            <v>1173</v>
          </cell>
          <cell r="FT107">
            <v>15544</v>
          </cell>
          <cell r="FU107">
            <v>8078</v>
          </cell>
          <cell r="FV107">
            <v>63538</v>
          </cell>
          <cell r="FW107">
            <v>23229</v>
          </cell>
          <cell r="FX107">
            <v>9887</v>
          </cell>
          <cell r="FY107">
            <v>9915</v>
          </cell>
          <cell r="FZ107">
            <v>1441</v>
          </cell>
          <cell r="GA107">
            <v>1842</v>
          </cell>
          <cell r="GB107">
            <v>7254</v>
          </cell>
          <cell r="GC107">
            <v>5325</v>
          </cell>
          <cell r="GD107">
            <v>4645</v>
          </cell>
          <cell r="GE107">
            <v>3353</v>
          </cell>
          <cell r="GF107">
            <v>-9043</v>
          </cell>
          <cell r="GG107">
            <v>12396</v>
          </cell>
          <cell r="GH107">
            <v>175524</v>
          </cell>
          <cell r="GI107">
            <v>175</v>
          </cell>
          <cell r="GJ107">
            <v>70288</v>
          </cell>
          <cell r="GK107">
            <v>884</v>
          </cell>
          <cell r="GL107">
            <v>3618</v>
          </cell>
          <cell r="GM107">
            <v>19189</v>
          </cell>
          <cell r="GN107">
            <v>5135</v>
          </cell>
          <cell r="GO107">
            <v>12677</v>
          </cell>
          <cell r="GP107">
            <v>6079</v>
          </cell>
          <cell r="GQ107">
            <v>30525</v>
          </cell>
          <cell r="GR107">
            <v>26954</v>
          </cell>
          <cell r="GS107">
            <v>27627</v>
          </cell>
          <cell r="GT107">
            <v>15491</v>
          </cell>
          <cell r="GU107">
            <v>4098</v>
          </cell>
          <cell r="GV107">
            <v>1228</v>
          </cell>
          <cell r="GW107">
            <v>5741</v>
          </cell>
          <cell r="GX107">
            <v>1069</v>
          </cell>
        </row>
        <row r="108">
          <cell r="A108" t="str">
            <v>2015 Q4</v>
          </cell>
          <cell r="B108">
            <v>296586</v>
          </cell>
          <cell r="C108">
            <v>23089</v>
          </cell>
          <cell r="D108">
            <v>20684</v>
          </cell>
          <cell r="E108">
            <v>4109</v>
          </cell>
          <cell r="F108">
            <v>4281</v>
          </cell>
          <cell r="G108">
            <v>895</v>
          </cell>
          <cell r="H108">
            <v>2394</v>
          </cell>
          <cell r="I108">
            <v>498</v>
          </cell>
          <cell r="J108">
            <v>2181</v>
          </cell>
          <cell r="K108">
            <v>3030</v>
          </cell>
          <cell r="L108">
            <v>2413</v>
          </cell>
          <cell r="M108">
            <v>883</v>
          </cell>
          <cell r="N108">
            <v>2405</v>
          </cell>
          <cell r="O108">
            <v>501</v>
          </cell>
          <cell r="P108">
            <v>1904</v>
          </cell>
          <cell r="Q108">
            <v>9859</v>
          </cell>
          <cell r="R108">
            <v>4628</v>
          </cell>
          <cell r="S108">
            <v>1322</v>
          </cell>
          <cell r="T108">
            <v>2137</v>
          </cell>
          <cell r="U108">
            <v>1169</v>
          </cell>
          <cell r="V108">
            <v>4459</v>
          </cell>
          <cell r="W108">
            <v>772</v>
          </cell>
          <cell r="X108">
            <v>15779</v>
          </cell>
          <cell r="Y108">
            <v>13299</v>
          </cell>
          <cell r="Z108">
            <v>13</v>
          </cell>
          <cell r="AA108">
            <v>11886</v>
          </cell>
          <cell r="AB108">
            <v>1265</v>
          </cell>
          <cell r="AC108">
            <v>135</v>
          </cell>
          <cell r="AD108">
            <v>2480</v>
          </cell>
          <cell r="AE108">
            <v>2462</v>
          </cell>
          <cell r="AF108">
            <v>18</v>
          </cell>
          <cell r="AG108">
            <v>79446</v>
          </cell>
          <cell r="AH108">
            <v>19320</v>
          </cell>
          <cell r="AI108">
            <v>19264</v>
          </cell>
          <cell r="AJ108">
            <v>56</v>
          </cell>
          <cell r="AK108">
            <v>50161</v>
          </cell>
          <cell r="AL108">
            <v>47690</v>
          </cell>
          <cell r="AM108">
            <v>2471</v>
          </cell>
          <cell r="AN108">
            <v>700</v>
          </cell>
          <cell r="AO108">
            <v>293</v>
          </cell>
          <cell r="AP108">
            <v>407</v>
          </cell>
          <cell r="AQ108">
            <v>2407</v>
          </cell>
          <cell r="AR108">
            <v>1236</v>
          </cell>
          <cell r="AS108">
            <v>43</v>
          </cell>
          <cell r="AT108">
            <v>1128</v>
          </cell>
          <cell r="AU108">
            <v>0</v>
          </cell>
          <cell r="AV108">
            <v>6858</v>
          </cell>
          <cell r="AW108">
            <v>3518</v>
          </cell>
          <cell r="AX108">
            <v>3053</v>
          </cell>
          <cell r="AY108">
            <v>191</v>
          </cell>
          <cell r="AZ108">
            <v>96</v>
          </cell>
          <cell r="BA108">
            <v>0</v>
          </cell>
          <cell r="BB108">
            <v>14065</v>
          </cell>
          <cell r="BC108">
            <v>5577</v>
          </cell>
          <cell r="BD108">
            <v>4401</v>
          </cell>
          <cell r="BE108">
            <v>1174</v>
          </cell>
          <cell r="BF108">
            <v>2</v>
          </cell>
          <cell r="BG108">
            <v>1471</v>
          </cell>
          <cell r="BH108">
            <v>2099</v>
          </cell>
          <cell r="BI108">
            <v>1591</v>
          </cell>
          <cell r="BJ108">
            <v>410</v>
          </cell>
          <cell r="BK108">
            <v>98</v>
          </cell>
          <cell r="BL108">
            <v>1268</v>
          </cell>
          <cell r="BM108">
            <v>1171</v>
          </cell>
          <cell r="BN108">
            <v>95</v>
          </cell>
          <cell r="BO108">
            <v>1076</v>
          </cell>
          <cell r="BP108">
            <v>2479</v>
          </cell>
          <cell r="BQ108">
            <v>1443</v>
          </cell>
          <cell r="BR108">
            <v>1036</v>
          </cell>
          <cell r="BS108">
            <v>6434</v>
          </cell>
          <cell r="BT108">
            <v>2671</v>
          </cell>
          <cell r="BU108">
            <v>1763</v>
          </cell>
          <cell r="BV108">
            <v>100</v>
          </cell>
          <cell r="BW108">
            <v>808</v>
          </cell>
          <cell r="BX108">
            <v>2187</v>
          </cell>
          <cell r="BY108">
            <v>899</v>
          </cell>
          <cell r="BZ108">
            <v>1067</v>
          </cell>
          <cell r="CA108">
            <v>221</v>
          </cell>
          <cell r="CB108">
            <v>1576</v>
          </cell>
          <cell r="CC108">
            <v>41313</v>
          </cell>
          <cell r="CD108">
            <v>14014</v>
          </cell>
          <cell r="CE108">
            <v>13478</v>
          </cell>
          <cell r="CF108">
            <v>214</v>
          </cell>
          <cell r="CG108">
            <v>322</v>
          </cell>
          <cell r="CH108">
            <v>14602</v>
          </cell>
          <cell r="CI108">
            <v>1367</v>
          </cell>
          <cell r="CJ108">
            <v>6774</v>
          </cell>
          <cell r="CK108">
            <v>4408</v>
          </cell>
          <cell r="CL108">
            <v>2053</v>
          </cell>
          <cell r="CM108">
            <v>12697</v>
          </cell>
          <cell r="CN108">
            <v>2744</v>
          </cell>
          <cell r="CO108">
            <v>2037</v>
          </cell>
          <cell r="CP108">
            <v>5534</v>
          </cell>
          <cell r="CQ108">
            <v>1670</v>
          </cell>
          <cell r="CR108">
            <v>712</v>
          </cell>
          <cell r="CS108">
            <v>6364</v>
          </cell>
          <cell r="CT108">
            <v>341</v>
          </cell>
          <cell r="CU108">
            <v>1153</v>
          </cell>
          <cell r="CV108">
            <v>4870</v>
          </cell>
          <cell r="CW108">
            <v>28107</v>
          </cell>
          <cell r="CX108">
            <v>4324</v>
          </cell>
          <cell r="CY108">
            <v>1142</v>
          </cell>
          <cell r="CZ108">
            <v>269</v>
          </cell>
          <cell r="DA108">
            <v>1287</v>
          </cell>
          <cell r="DB108">
            <v>1568</v>
          </cell>
          <cell r="DC108">
            <v>58</v>
          </cell>
          <cell r="DD108">
            <v>2040</v>
          </cell>
          <cell r="DE108">
            <v>1365</v>
          </cell>
          <cell r="DF108">
            <v>87</v>
          </cell>
          <cell r="DG108">
            <v>588</v>
          </cell>
          <cell r="DH108">
            <v>7189</v>
          </cell>
          <cell r="DI108">
            <v>2506</v>
          </cell>
          <cell r="DJ108">
            <v>1101</v>
          </cell>
          <cell r="DK108">
            <v>1186</v>
          </cell>
          <cell r="DL108">
            <v>1759</v>
          </cell>
          <cell r="DM108">
            <v>637</v>
          </cell>
          <cell r="DN108">
            <v>11373</v>
          </cell>
          <cell r="DO108">
            <v>2697</v>
          </cell>
          <cell r="DP108">
            <v>5473</v>
          </cell>
          <cell r="DQ108">
            <v>3203</v>
          </cell>
          <cell r="DR108">
            <v>3181</v>
          </cell>
          <cell r="DS108">
            <v>834</v>
          </cell>
          <cell r="DT108">
            <v>1132</v>
          </cell>
          <cell r="DU108">
            <v>691</v>
          </cell>
          <cell r="DV108">
            <v>524</v>
          </cell>
          <cell r="DW108">
            <v>0</v>
          </cell>
          <cell r="DX108">
            <v>6209</v>
          </cell>
          <cell r="DY108">
            <v>30759</v>
          </cell>
          <cell r="DZ108">
            <v>23673</v>
          </cell>
          <cell r="EA108">
            <v>22368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1305</v>
          </cell>
          <cell r="EG108">
            <v>7086</v>
          </cell>
          <cell r="EH108">
            <v>35162</v>
          </cell>
          <cell r="EI108">
            <v>6698</v>
          </cell>
          <cell r="EJ108">
            <v>1825</v>
          </cell>
          <cell r="EK108">
            <v>257</v>
          </cell>
          <cell r="EL108">
            <v>4616</v>
          </cell>
          <cell r="EM108">
            <v>1287</v>
          </cell>
          <cell r="EN108">
            <v>3233</v>
          </cell>
          <cell r="EO108">
            <v>2333</v>
          </cell>
          <cell r="EP108">
            <v>900</v>
          </cell>
          <cell r="EQ108">
            <v>3537</v>
          </cell>
          <cell r="ER108">
            <v>4929</v>
          </cell>
          <cell r="ES108">
            <v>1847</v>
          </cell>
          <cell r="ET108">
            <v>681</v>
          </cell>
          <cell r="EU108">
            <v>795</v>
          </cell>
          <cell r="EV108">
            <v>803</v>
          </cell>
          <cell r="EW108">
            <v>803</v>
          </cell>
          <cell r="EX108">
            <v>11714</v>
          </cell>
          <cell r="EY108">
            <v>5720</v>
          </cell>
          <cell r="EZ108">
            <v>5994</v>
          </cell>
          <cell r="FA108">
            <v>3764</v>
          </cell>
          <cell r="FB108">
            <v>299483</v>
          </cell>
          <cell r="FC108">
            <v>0</v>
          </cell>
          <cell r="FD108">
            <v>29719</v>
          </cell>
          <cell r="FE108">
            <v>7261</v>
          </cell>
          <cell r="FF108">
            <v>808</v>
          </cell>
          <cell r="FG108">
            <v>14014</v>
          </cell>
          <cell r="FH108">
            <v>1153</v>
          </cell>
          <cell r="FI108">
            <v>4150</v>
          </cell>
          <cell r="FJ108">
            <v>2333</v>
          </cell>
          <cell r="FK108">
            <v>119426</v>
          </cell>
          <cell r="FL108">
            <v>23089</v>
          </cell>
          <cell r="FM108">
            <v>9859</v>
          </cell>
          <cell r="FN108">
            <v>15626</v>
          </cell>
          <cell r="FO108">
            <v>8387</v>
          </cell>
          <cell r="FP108">
            <v>12929</v>
          </cell>
          <cell r="FQ108">
            <v>2671</v>
          </cell>
          <cell r="FR108">
            <v>22155</v>
          </cell>
          <cell r="FS108">
            <v>1153</v>
          </cell>
          <cell r="FT108">
            <v>15451</v>
          </cell>
          <cell r="FU108">
            <v>8106</v>
          </cell>
          <cell r="FV108">
            <v>61323</v>
          </cell>
          <cell r="FW108">
            <v>23089</v>
          </cell>
          <cell r="FX108">
            <v>9859</v>
          </cell>
          <cell r="FY108">
            <v>8387</v>
          </cell>
          <cell r="FZ108">
            <v>1443</v>
          </cell>
          <cell r="GA108">
            <v>1863</v>
          </cell>
          <cell r="GB108">
            <v>6774</v>
          </cell>
          <cell r="GC108">
            <v>5292</v>
          </cell>
          <cell r="GD108">
            <v>4616</v>
          </cell>
          <cell r="GE108">
            <v>2897</v>
          </cell>
          <cell r="GF108">
            <v>-9360</v>
          </cell>
          <cell r="GG108">
            <v>12257</v>
          </cell>
          <cell r="GH108">
            <v>177160</v>
          </cell>
          <cell r="GI108">
            <v>153</v>
          </cell>
          <cell r="GJ108">
            <v>71059</v>
          </cell>
          <cell r="GK108">
            <v>1136</v>
          </cell>
          <cell r="GL108">
            <v>3763</v>
          </cell>
          <cell r="GM108">
            <v>19158</v>
          </cell>
          <cell r="GN108">
            <v>5211</v>
          </cell>
          <cell r="GO108">
            <v>12656</v>
          </cell>
          <cell r="GP108">
            <v>6209</v>
          </cell>
          <cell r="GQ108">
            <v>30759</v>
          </cell>
          <cell r="GR108">
            <v>27056</v>
          </cell>
          <cell r="GS108">
            <v>28384</v>
          </cell>
          <cell r="GT108">
            <v>15626</v>
          </cell>
          <cell r="GU108">
            <v>4225</v>
          </cell>
          <cell r="GV108">
            <v>1367</v>
          </cell>
          <cell r="GW108">
            <v>6009</v>
          </cell>
          <cell r="GX108">
            <v>1157</v>
          </cell>
        </row>
        <row r="109">
          <cell r="A109" t="str">
            <v>2016 Q1</v>
          </cell>
          <cell r="B109">
            <v>302844</v>
          </cell>
          <cell r="C109">
            <v>23869</v>
          </cell>
          <cell r="D109">
            <v>21427</v>
          </cell>
          <cell r="E109">
            <v>4187</v>
          </cell>
          <cell r="F109">
            <v>4442</v>
          </cell>
          <cell r="G109">
            <v>935</v>
          </cell>
          <cell r="H109">
            <v>2451</v>
          </cell>
          <cell r="I109">
            <v>524</v>
          </cell>
          <cell r="J109">
            <v>2241</v>
          </cell>
          <cell r="K109">
            <v>3184</v>
          </cell>
          <cell r="L109">
            <v>2421</v>
          </cell>
          <cell r="M109">
            <v>1042</v>
          </cell>
          <cell r="N109">
            <v>2442</v>
          </cell>
          <cell r="O109">
            <v>514</v>
          </cell>
          <cell r="P109">
            <v>1928</v>
          </cell>
          <cell r="Q109">
            <v>9786</v>
          </cell>
          <cell r="R109">
            <v>4523</v>
          </cell>
          <cell r="S109">
            <v>1300</v>
          </cell>
          <cell r="T109">
            <v>2090</v>
          </cell>
          <cell r="U109">
            <v>1133</v>
          </cell>
          <cell r="V109">
            <v>4512</v>
          </cell>
          <cell r="W109">
            <v>751</v>
          </cell>
          <cell r="X109">
            <v>15810</v>
          </cell>
          <cell r="Y109">
            <v>13418</v>
          </cell>
          <cell r="Z109">
            <v>7</v>
          </cell>
          <cell r="AA109">
            <v>12115</v>
          </cell>
          <cell r="AB109">
            <v>1165</v>
          </cell>
          <cell r="AC109">
            <v>131</v>
          </cell>
          <cell r="AD109">
            <v>2392</v>
          </cell>
          <cell r="AE109">
            <v>2376</v>
          </cell>
          <cell r="AF109">
            <v>16</v>
          </cell>
          <cell r="AG109">
            <v>81986</v>
          </cell>
          <cell r="AH109">
            <v>19720</v>
          </cell>
          <cell r="AI109">
            <v>19661</v>
          </cell>
          <cell r="AJ109">
            <v>59</v>
          </cell>
          <cell r="AK109">
            <v>51110</v>
          </cell>
          <cell r="AL109">
            <v>48576</v>
          </cell>
          <cell r="AM109">
            <v>2534</v>
          </cell>
          <cell r="AN109">
            <v>723</v>
          </cell>
          <cell r="AO109">
            <v>294</v>
          </cell>
          <cell r="AP109">
            <v>429</v>
          </cell>
          <cell r="AQ109">
            <v>2432</v>
          </cell>
          <cell r="AR109">
            <v>1250</v>
          </cell>
          <cell r="AS109">
            <v>47</v>
          </cell>
          <cell r="AT109">
            <v>1135</v>
          </cell>
          <cell r="AU109">
            <v>0</v>
          </cell>
          <cell r="AV109">
            <v>8001</v>
          </cell>
          <cell r="AW109">
            <v>4008</v>
          </cell>
          <cell r="AX109">
            <v>3723</v>
          </cell>
          <cell r="AY109">
            <v>172</v>
          </cell>
          <cell r="AZ109">
            <v>98</v>
          </cell>
          <cell r="BA109">
            <v>0</v>
          </cell>
          <cell r="BB109">
            <v>13739</v>
          </cell>
          <cell r="BC109">
            <v>5332</v>
          </cell>
          <cell r="BD109">
            <v>4401</v>
          </cell>
          <cell r="BE109">
            <v>927</v>
          </cell>
          <cell r="BF109">
            <v>4</v>
          </cell>
          <cell r="BG109">
            <v>1450</v>
          </cell>
          <cell r="BH109">
            <v>1928</v>
          </cell>
          <cell r="BI109">
            <v>1431</v>
          </cell>
          <cell r="BJ109">
            <v>364</v>
          </cell>
          <cell r="BK109">
            <v>133</v>
          </cell>
          <cell r="BL109">
            <v>1330</v>
          </cell>
          <cell r="BM109">
            <v>1207</v>
          </cell>
          <cell r="BN109">
            <v>95</v>
          </cell>
          <cell r="BO109">
            <v>1112</v>
          </cell>
          <cell r="BP109">
            <v>2492</v>
          </cell>
          <cell r="BQ109">
            <v>1434</v>
          </cell>
          <cell r="BR109">
            <v>1058</v>
          </cell>
          <cell r="BS109">
            <v>6568</v>
          </cell>
          <cell r="BT109">
            <v>2695</v>
          </cell>
          <cell r="BU109">
            <v>1807</v>
          </cell>
          <cell r="BV109">
            <v>117</v>
          </cell>
          <cell r="BW109">
            <v>771</v>
          </cell>
          <cell r="BX109">
            <v>2250</v>
          </cell>
          <cell r="BY109">
            <v>886</v>
          </cell>
          <cell r="BZ109">
            <v>1151</v>
          </cell>
          <cell r="CA109">
            <v>213</v>
          </cell>
          <cell r="CB109">
            <v>1623</v>
          </cell>
          <cell r="CC109">
            <v>42415</v>
          </cell>
          <cell r="CD109">
            <v>14832</v>
          </cell>
          <cell r="CE109">
            <v>14274</v>
          </cell>
          <cell r="CF109">
            <v>215</v>
          </cell>
          <cell r="CG109">
            <v>343</v>
          </cell>
          <cell r="CH109">
            <v>14604</v>
          </cell>
          <cell r="CI109">
            <v>1338</v>
          </cell>
          <cell r="CJ109">
            <v>6804</v>
          </cell>
          <cell r="CK109">
            <v>4321</v>
          </cell>
          <cell r="CL109">
            <v>2141</v>
          </cell>
          <cell r="CM109">
            <v>12979</v>
          </cell>
          <cell r="CN109">
            <v>2806</v>
          </cell>
          <cell r="CO109">
            <v>2016</v>
          </cell>
          <cell r="CP109">
            <v>5313</v>
          </cell>
          <cell r="CQ109">
            <v>2113</v>
          </cell>
          <cell r="CR109">
            <v>731</v>
          </cell>
          <cell r="CS109">
            <v>6998</v>
          </cell>
          <cell r="CT109">
            <v>263</v>
          </cell>
          <cell r="CU109">
            <v>1785</v>
          </cell>
          <cell r="CV109">
            <v>4950</v>
          </cell>
          <cell r="CW109">
            <v>27956</v>
          </cell>
          <cell r="CX109">
            <v>4154</v>
          </cell>
          <cell r="CY109">
            <v>1106</v>
          </cell>
          <cell r="CZ109">
            <v>175</v>
          </cell>
          <cell r="DA109">
            <v>1352</v>
          </cell>
          <cell r="DB109">
            <v>1463</v>
          </cell>
          <cell r="DC109">
            <v>58</v>
          </cell>
          <cell r="DD109">
            <v>2118</v>
          </cell>
          <cell r="DE109">
            <v>1441</v>
          </cell>
          <cell r="DF109">
            <v>85</v>
          </cell>
          <cell r="DG109">
            <v>592</v>
          </cell>
          <cell r="DH109">
            <v>7028</v>
          </cell>
          <cell r="DI109">
            <v>2043</v>
          </cell>
          <cell r="DJ109">
            <v>1285</v>
          </cell>
          <cell r="DK109">
            <v>1218</v>
          </cell>
          <cell r="DL109">
            <v>1847</v>
          </cell>
          <cell r="DM109">
            <v>635</v>
          </cell>
          <cell r="DN109">
            <v>11347</v>
          </cell>
          <cell r="DO109">
            <v>2768</v>
          </cell>
          <cell r="DP109">
            <v>5541</v>
          </cell>
          <cell r="DQ109">
            <v>3038</v>
          </cell>
          <cell r="DR109">
            <v>3309</v>
          </cell>
          <cell r="DS109">
            <v>842</v>
          </cell>
          <cell r="DT109">
            <v>1106</v>
          </cell>
          <cell r="DU109">
            <v>839</v>
          </cell>
          <cell r="DV109">
            <v>522</v>
          </cell>
          <cell r="DW109">
            <v>0</v>
          </cell>
          <cell r="DX109">
            <v>6332</v>
          </cell>
          <cell r="DY109">
            <v>31060</v>
          </cell>
          <cell r="DZ109">
            <v>24269</v>
          </cell>
          <cell r="EA109">
            <v>22877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1392</v>
          </cell>
          <cell r="EG109">
            <v>6791</v>
          </cell>
          <cell r="EH109">
            <v>36325</v>
          </cell>
          <cell r="EI109">
            <v>6680</v>
          </cell>
          <cell r="EJ109">
            <v>1811</v>
          </cell>
          <cell r="EK109">
            <v>326</v>
          </cell>
          <cell r="EL109">
            <v>4543</v>
          </cell>
          <cell r="EM109">
            <v>1306</v>
          </cell>
          <cell r="EN109">
            <v>3685</v>
          </cell>
          <cell r="EO109">
            <v>2951</v>
          </cell>
          <cell r="EP109">
            <v>734</v>
          </cell>
          <cell r="EQ109">
            <v>3874</v>
          </cell>
          <cell r="ER109">
            <v>5119</v>
          </cell>
          <cell r="ES109">
            <v>2084</v>
          </cell>
          <cell r="ET109">
            <v>609</v>
          </cell>
          <cell r="EU109">
            <v>689</v>
          </cell>
          <cell r="EV109">
            <v>953</v>
          </cell>
          <cell r="EW109">
            <v>784</v>
          </cell>
          <cell r="EX109">
            <v>11874</v>
          </cell>
          <cell r="EY109">
            <v>5242</v>
          </cell>
          <cell r="EZ109">
            <v>6632</v>
          </cell>
          <cell r="FA109">
            <v>3787</v>
          </cell>
          <cell r="FB109">
            <v>306346</v>
          </cell>
          <cell r="FC109">
            <v>0</v>
          </cell>
          <cell r="FD109">
            <v>31352</v>
          </cell>
          <cell r="FE109">
            <v>6854</v>
          </cell>
          <cell r="FF109">
            <v>771</v>
          </cell>
          <cell r="FG109">
            <v>14832</v>
          </cell>
          <cell r="FH109">
            <v>1785</v>
          </cell>
          <cell r="FI109">
            <v>4159</v>
          </cell>
          <cell r="FJ109">
            <v>2951</v>
          </cell>
          <cell r="FK109">
            <v>122739</v>
          </cell>
          <cell r="FL109">
            <v>23869</v>
          </cell>
          <cell r="FM109">
            <v>9786</v>
          </cell>
          <cell r="FN109">
            <v>15663</v>
          </cell>
          <cell r="FO109">
            <v>9545</v>
          </cell>
          <cell r="FP109">
            <v>12544</v>
          </cell>
          <cell r="FQ109">
            <v>2695</v>
          </cell>
          <cell r="FR109">
            <v>22974</v>
          </cell>
          <cell r="FS109">
            <v>1785</v>
          </cell>
          <cell r="FT109">
            <v>15324</v>
          </cell>
          <cell r="FU109">
            <v>8554</v>
          </cell>
          <cell r="FV109">
            <v>63437</v>
          </cell>
          <cell r="FW109">
            <v>23869</v>
          </cell>
          <cell r="FX109">
            <v>9786</v>
          </cell>
          <cell r="FY109">
            <v>9545</v>
          </cell>
          <cell r="FZ109">
            <v>1434</v>
          </cell>
          <cell r="GA109">
            <v>1924</v>
          </cell>
          <cell r="GB109">
            <v>6804</v>
          </cell>
          <cell r="GC109">
            <v>5532</v>
          </cell>
          <cell r="GD109">
            <v>4543</v>
          </cell>
          <cell r="GE109">
            <v>3502</v>
          </cell>
          <cell r="GF109">
            <v>-9270</v>
          </cell>
          <cell r="GG109">
            <v>12772</v>
          </cell>
          <cell r="GH109">
            <v>180105</v>
          </cell>
          <cell r="GI109">
            <v>147</v>
          </cell>
          <cell r="GJ109">
            <v>72441</v>
          </cell>
          <cell r="GK109">
            <v>1195</v>
          </cell>
          <cell r="GL109">
            <v>3873</v>
          </cell>
          <cell r="GM109">
            <v>19441</v>
          </cell>
          <cell r="GN109">
            <v>5213</v>
          </cell>
          <cell r="GO109">
            <v>12632</v>
          </cell>
          <cell r="GP109">
            <v>6332</v>
          </cell>
          <cell r="GQ109">
            <v>31060</v>
          </cell>
          <cell r="GR109">
            <v>27771</v>
          </cell>
          <cell r="GS109">
            <v>27950</v>
          </cell>
          <cell r="GT109">
            <v>15663</v>
          </cell>
          <cell r="GU109">
            <v>4256</v>
          </cell>
          <cell r="GV109">
            <v>1338</v>
          </cell>
          <cell r="GW109">
            <v>5633</v>
          </cell>
          <cell r="GX109">
            <v>1060</v>
          </cell>
        </row>
        <row r="110">
          <cell r="A110" t="str">
            <v>2016 Q2</v>
          </cell>
          <cell r="B110">
            <v>306594</v>
          </cell>
          <cell r="C110">
            <v>24367</v>
          </cell>
          <cell r="D110">
            <v>21988</v>
          </cell>
          <cell r="E110">
            <v>4309</v>
          </cell>
          <cell r="F110">
            <v>4529</v>
          </cell>
          <cell r="G110">
            <v>973</v>
          </cell>
          <cell r="H110">
            <v>2583</v>
          </cell>
          <cell r="I110">
            <v>515</v>
          </cell>
          <cell r="J110">
            <v>2280</v>
          </cell>
          <cell r="K110">
            <v>3321</v>
          </cell>
          <cell r="L110">
            <v>2430</v>
          </cell>
          <cell r="M110">
            <v>1048</v>
          </cell>
          <cell r="N110">
            <v>2379</v>
          </cell>
          <cell r="O110">
            <v>506</v>
          </cell>
          <cell r="P110">
            <v>1873</v>
          </cell>
          <cell r="Q110">
            <v>9774</v>
          </cell>
          <cell r="R110">
            <v>4540</v>
          </cell>
          <cell r="S110">
            <v>1330</v>
          </cell>
          <cell r="T110">
            <v>2088</v>
          </cell>
          <cell r="U110">
            <v>1122</v>
          </cell>
          <cell r="V110">
            <v>4487</v>
          </cell>
          <cell r="W110">
            <v>747</v>
          </cell>
          <cell r="X110">
            <v>15999</v>
          </cell>
          <cell r="Y110">
            <v>13632</v>
          </cell>
          <cell r="Z110">
            <v>47</v>
          </cell>
          <cell r="AA110">
            <v>12209</v>
          </cell>
          <cell r="AB110">
            <v>1238</v>
          </cell>
          <cell r="AC110">
            <v>138</v>
          </cell>
          <cell r="AD110">
            <v>2367</v>
          </cell>
          <cell r="AE110">
            <v>2351</v>
          </cell>
          <cell r="AF110">
            <v>16</v>
          </cell>
          <cell r="AG110">
            <v>83129</v>
          </cell>
          <cell r="AH110">
            <v>19878</v>
          </cell>
          <cell r="AI110">
            <v>19817</v>
          </cell>
          <cell r="AJ110">
            <v>61</v>
          </cell>
          <cell r="AK110">
            <v>51826</v>
          </cell>
          <cell r="AL110">
            <v>49232</v>
          </cell>
          <cell r="AM110">
            <v>2594</v>
          </cell>
          <cell r="AN110">
            <v>764</v>
          </cell>
          <cell r="AO110">
            <v>271</v>
          </cell>
          <cell r="AP110">
            <v>493</v>
          </cell>
          <cell r="AQ110">
            <v>2438</v>
          </cell>
          <cell r="AR110">
            <v>1249</v>
          </cell>
          <cell r="AS110">
            <v>53</v>
          </cell>
          <cell r="AT110">
            <v>1136</v>
          </cell>
          <cell r="AU110">
            <v>0</v>
          </cell>
          <cell r="AV110">
            <v>8223</v>
          </cell>
          <cell r="AW110">
            <v>3963</v>
          </cell>
          <cell r="AX110">
            <v>3949</v>
          </cell>
          <cell r="AY110">
            <v>203</v>
          </cell>
          <cell r="AZ110">
            <v>108</v>
          </cell>
          <cell r="BA110">
            <v>0</v>
          </cell>
          <cell r="BB110">
            <v>13840</v>
          </cell>
          <cell r="BC110">
            <v>5282</v>
          </cell>
          <cell r="BD110">
            <v>4320</v>
          </cell>
          <cell r="BE110">
            <v>960</v>
          </cell>
          <cell r="BF110">
            <v>2</v>
          </cell>
          <cell r="BG110">
            <v>1459</v>
          </cell>
          <cell r="BH110">
            <v>1921</v>
          </cell>
          <cell r="BI110">
            <v>1489</v>
          </cell>
          <cell r="BJ110">
            <v>310</v>
          </cell>
          <cell r="BK110">
            <v>122</v>
          </cell>
          <cell r="BL110">
            <v>1391</v>
          </cell>
          <cell r="BM110">
            <v>1210</v>
          </cell>
          <cell r="BN110">
            <v>187</v>
          </cell>
          <cell r="BO110">
            <v>1023</v>
          </cell>
          <cell r="BP110">
            <v>2577</v>
          </cell>
          <cell r="BQ110">
            <v>1443</v>
          </cell>
          <cell r="BR110">
            <v>1134</v>
          </cell>
          <cell r="BS110">
            <v>6543</v>
          </cell>
          <cell r="BT110">
            <v>2632</v>
          </cell>
          <cell r="BU110">
            <v>1807</v>
          </cell>
          <cell r="BV110">
            <v>90</v>
          </cell>
          <cell r="BW110">
            <v>735</v>
          </cell>
          <cell r="BX110">
            <v>2231</v>
          </cell>
          <cell r="BY110">
            <v>887</v>
          </cell>
          <cell r="BZ110">
            <v>1111</v>
          </cell>
          <cell r="CA110">
            <v>233</v>
          </cell>
          <cell r="CB110">
            <v>1680</v>
          </cell>
          <cell r="CC110">
            <v>42179</v>
          </cell>
          <cell r="CD110">
            <v>14537</v>
          </cell>
          <cell r="CE110">
            <v>13934</v>
          </cell>
          <cell r="CF110">
            <v>242</v>
          </cell>
          <cell r="CG110">
            <v>361</v>
          </cell>
          <cell r="CH110">
            <v>14764</v>
          </cell>
          <cell r="CI110">
            <v>1383</v>
          </cell>
          <cell r="CJ110">
            <v>6963</v>
          </cell>
          <cell r="CK110">
            <v>4314</v>
          </cell>
          <cell r="CL110">
            <v>2104</v>
          </cell>
          <cell r="CM110">
            <v>12878</v>
          </cell>
          <cell r="CN110">
            <v>2842</v>
          </cell>
          <cell r="CO110">
            <v>2052</v>
          </cell>
          <cell r="CP110">
            <v>5467</v>
          </cell>
          <cell r="CQ110">
            <v>1718</v>
          </cell>
          <cell r="CR110">
            <v>799</v>
          </cell>
          <cell r="CS110">
            <v>7225</v>
          </cell>
          <cell r="CT110">
            <v>267</v>
          </cell>
          <cell r="CU110">
            <v>1920</v>
          </cell>
          <cell r="CV110">
            <v>5038</v>
          </cell>
          <cell r="CW110">
            <v>28106</v>
          </cell>
          <cell r="CX110">
            <v>3910</v>
          </cell>
          <cell r="CY110">
            <v>1017</v>
          </cell>
          <cell r="CZ110">
            <v>106</v>
          </cell>
          <cell r="DA110">
            <v>1301</v>
          </cell>
          <cell r="DB110">
            <v>1432</v>
          </cell>
          <cell r="DC110">
            <v>54</v>
          </cell>
          <cell r="DD110">
            <v>2238</v>
          </cell>
          <cell r="DE110">
            <v>1559</v>
          </cell>
          <cell r="DF110">
            <v>82</v>
          </cell>
          <cell r="DG110">
            <v>597</v>
          </cell>
          <cell r="DH110">
            <v>7204</v>
          </cell>
          <cell r="DI110">
            <v>2067</v>
          </cell>
          <cell r="DJ110">
            <v>1324</v>
          </cell>
          <cell r="DK110">
            <v>1242</v>
          </cell>
          <cell r="DL110">
            <v>1915</v>
          </cell>
          <cell r="DM110">
            <v>656</v>
          </cell>
          <cell r="DN110">
            <v>11450</v>
          </cell>
          <cell r="DO110">
            <v>2916</v>
          </cell>
          <cell r="DP110">
            <v>5766</v>
          </cell>
          <cell r="DQ110">
            <v>2768</v>
          </cell>
          <cell r="DR110">
            <v>3304</v>
          </cell>
          <cell r="DS110">
            <v>812</v>
          </cell>
          <cell r="DT110">
            <v>1138</v>
          </cell>
          <cell r="DU110">
            <v>827</v>
          </cell>
          <cell r="DV110">
            <v>527</v>
          </cell>
          <cell r="DW110">
            <v>0</v>
          </cell>
          <cell r="DX110">
            <v>6437</v>
          </cell>
          <cell r="DY110">
            <v>31738</v>
          </cell>
          <cell r="DZ110">
            <v>24608</v>
          </cell>
          <cell r="EA110">
            <v>23305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1303</v>
          </cell>
          <cell r="EG110">
            <v>7130</v>
          </cell>
          <cell r="EH110">
            <v>37257</v>
          </cell>
          <cell r="EI110">
            <v>6589</v>
          </cell>
          <cell r="EJ110">
            <v>1860</v>
          </cell>
          <cell r="EK110">
            <v>272</v>
          </cell>
          <cell r="EL110">
            <v>4457</v>
          </cell>
          <cell r="EM110">
            <v>1326</v>
          </cell>
          <cell r="EN110">
            <v>3627</v>
          </cell>
          <cell r="EO110">
            <v>2915</v>
          </cell>
          <cell r="EP110">
            <v>712</v>
          </cell>
          <cell r="EQ110">
            <v>4049</v>
          </cell>
          <cell r="ER110">
            <v>4894</v>
          </cell>
          <cell r="ES110">
            <v>2331</v>
          </cell>
          <cell r="ET110">
            <v>450</v>
          </cell>
          <cell r="EU110">
            <v>616</v>
          </cell>
          <cell r="EV110">
            <v>902</v>
          </cell>
          <cell r="EW110">
            <v>595</v>
          </cell>
          <cell r="EX110">
            <v>12694</v>
          </cell>
          <cell r="EY110">
            <v>5767</v>
          </cell>
          <cell r="EZ110">
            <v>6927</v>
          </cell>
          <cell r="FA110">
            <v>4078</v>
          </cell>
          <cell r="FB110">
            <v>310368</v>
          </cell>
          <cell r="FC110">
            <v>0</v>
          </cell>
          <cell r="FD110">
            <v>31128</v>
          </cell>
          <cell r="FE110">
            <v>6956</v>
          </cell>
          <cell r="FF110">
            <v>735</v>
          </cell>
          <cell r="FG110">
            <v>14537</v>
          </cell>
          <cell r="FH110">
            <v>1920</v>
          </cell>
          <cell r="FI110">
            <v>4065</v>
          </cell>
          <cell r="FJ110">
            <v>2915</v>
          </cell>
          <cell r="FK110">
            <v>123451</v>
          </cell>
          <cell r="FL110">
            <v>24367</v>
          </cell>
          <cell r="FM110">
            <v>9774</v>
          </cell>
          <cell r="FN110">
            <v>15845</v>
          </cell>
          <cell r="FO110">
            <v>9743</v>
          </cell>
          <cell r="FP110">
            <v>12582</v>
          </cell>
          <cell r="FQ110">
            <v>2632</v>
          </cell>
          <cell r="FR110">
            <v>22883</v>
          </cell>
          <cell r="FS110">
            <v>1920</v>
          </cell>
          <cell r="FT110">
            <v>15349</v>
          </cell>
          <cell r="FU110">
            <v>8356</v>
          </cell>
          <cell r="FV110">
            <v>64293</v>
          </cell>
          <cell r="FW110">
            <v>24367</v>
          </cell>
          <cell r="FX110">
            <v>9774</v>
          </cell>
          <cell r="FY110">
            <v>9743</v>
          </cell>
          <cell r="FZ110">
            <v>1443</v>
          </cell>
          <cell r="GA110">
            <v>1897</v>
          </cell>
          <cell r="GB110">
            <v>6963</v>
          </cell>
          <cell r="GC110">
            <v>5649</v>
          </cell>
          <cell r="GD110">
            <v>4457</v>
          </cell>
          <cell r="GE110">
            <v>3774</v>
          </cell>
          <cell r="GF110">
            <v>-9566</v>
          </cell>
          <cell r="GG110">
            <v>13340</v>
          </cell>
          <cell r="GH110">
            <v>183143</v>
          </cell>
          <cell r="GI110">
            <v>154</v>
          </cell>
          <cell r="GJ110">
            <v>73386</v>
          </cell>
          <cell r="GK110">
            <v>1258</v>
          </cell>
          <cell r="GL110">
            <v>3911</v>
          </cell>
          <cell r="GM110">
            <v>19296</v>
          </cell>
          <cell r="GN110">
            <v>5305</v>
          </cell>
          <cell r="GO110">
            <v>12757</v>
          </cell>
          <cell r="GP110">
            <v>6437</v>
          </cell>
          <cell r="GQ110">
            <v>31738</v>
          </cell>
          <cell r="GR110">
            <v>28901</v>
          </cell>
          <cell r="GS110">
            <v>28030</v>
          </cell>
          <cell r="GT110">
            <v>15845</v>
          </cell>
          <cell r="GU110">
            <v>4183</v>
          </cell>
          <cell r="GV110">
            <v>1383</v>
          </cell>
          <cell r="GW110">
            <v>5635</v>
          </cell>
          <cell r="GX110">
            <v>984</v>
          </cell>
        </row>
        <row r="111">
          <cell r="A111" t="str">
            <v>2016 Q3</v>
          </cell>
          <cell r="B111">
            <v>311148</v>
          </cell>
          <cell r="C111">
            <v>24912</v>
          </cell>
          <cell r="D111">
            <v>22520</v>
          </cell>
          <cell r="E111">
            <v>4465</v>
          </cell>
          <cell r="F111">
            <v>4624</v>
          </cell>
          <cell r="G111">
            <v>963</v>
          </cell>
          <cell r="H111">
            <v>2639</v>
          </cell>
          <cell r="I111">
            <v>503</v>
          </cell>
          <cell r="J111">
            <v>2403</v>
          </cell>
          <cell r="K111">
            <v>3359</v>
          </cell>
          <cell r="L111">
            <v>2538</v>
          </cell>
          <cell r="M111">
            <v>1026</v>
          </cell>
          <cell r="N111">
            <v>2392</v>
          </cell>
          <cell r="O111">
            <v>515</v>
          </cell>
          <cell r="P111">
            <v>1877</v>
          </cell>
          <cell r="Q111">
            <v>9821</v>
          </cell>
          <cell r="R111">
            <v>4549</v>
          </cell>
          <cell r="S111">
            <v>1298</v>
          </cell>
          <cell r="T111">
            <v>2106</v>
          </cell>
          <cell r="U111">
            <v>1145</v>
          </cell>
          <cell r="V111">
            <v>4512</v>
          </cell>
          <cell r="W111">
            <v>760</v>
          </cell>
          <cell r="X111">
            <v>16240</v>
          </cell>
          <cell r="Y111">
            <v>13873</v>
          </cell>
          <cell r="Z111">
            <v>18</v>
          </cell>
          <cell r="AA111">
            <v>12547</v>
          </cell>
          <cell r="AB111">
            <v>1139</v>
          </cell>
          <cell r="AC111">
            <v>169</v>
          </cell>
          <cell r="AD111">
            <v>2367</v>
          </cell>
          <cell r="AE111">
            <v>2349</v>
          </cell>
          <cell r="AF111">
            <v>18</v>
          </cell>
          <cell r="AG111">
            <v>83037</v>
          </cell>
          <cell r="AH111">
            <v>20012</v>
          </cell>
          <cell r="AI111">
            <v>19949</v>
          </cell>
          <cell r="AJ111">
            <v>63</v>
          </cell>
          <cell r="AK111">
            <v>52225</v>
          </cell>
          <cell r="AL111">
            <v>49581</v>
          </cell>
          <cell r="AM111">
            <v>2644</v>
          </cell>
          <cell r="AN111">
            <v>798</v>
          </cell>
          <cell r="AO111">
            <v>291</v>
          </cell>
          <cell r="AP111">
            <v>507</v>
          </cell>
          <cell r="AQ111">
            <v>2427</v>
          </cell>
          <cell r="AR111">
            <v>1237</v>
          </cell>
          <cell r="AS111">
            <v>51</v>
          </cell>
          <cell r="AT111">
            <v>1139</v>
          </cell>
          <cell r="AU111">
            <v>0</v>
          </cell>
          <cell r="AV111">
            <v>7575</v>
          </cell>
          <cell r="AW111">
            <v>4016</v>
          </cell>
          <cell r="AX111">
            <v>3247</v>
          </cell>
          <cell r="AY111">
            <v>216</v>
          </cell>
          <cell r="AZ111">
            <v>96</v>
          </cell>
          <cell r="BA111">
            <v>0</v>
          </cell>
          <cell r="BB111">
            <v>14260</v>
          </cell>
          <cell r="BC111">
            <v>5339</v>
          </cell>
          <cell r="BD111">
            <v>4375</v>
          </cell>
          <cell r="BE111">
            <v>959</v>
          </cell>
          <cell r="BF111">
            <v>5</v>
          </cell>
          <cell r="BG111">
            <v>1529</v>
          </cell>
          <cell r="BH111">
            <v>2027</v>
          </cell>
          <cell r="BI111">
            <v>1597</v>
          </cell>
          <cell r="BJ111">
            <v>312</v>
          </cell>
          <cell r="BK111">
            <v>118</v>
          </cell>
          <cell r="BL111">
            <v>1484</v>
          </cell>
          <cell r="BM111">
            <v>1279</v>
          </cell>
          <cell r="BN111">
            <v>129</v>
          </cell>
          <cell r="BO111">
            <v>1150</v>
          </cell>
          <cell r="BP111">
            <v>2602</v>
          </cell>
          <cell r="BQ111">
            <v>1470</v>
          </cell>
          <cell r="BR111">
            <v>1132</v>
          </cell>
          <cell r="BS111">
            <v>6928</v>
          </cell>
          <cell r="BT111">
            <v>2645</v>
          </cell>
          <cell r="BU111">
            <v>1852</v>
          </cell>
          <cell r="BV111">
            <v>84</v>
          </cell>
          <cell r="BW111">
            <v>709</v>
          </cell>
          <cell r="BX111">
            <v>2489</v>
          </cell>
          <cell r="BY111">
            <v>1079</v>
          </cell>
          <cell r="BZ111">
            <v>1151</v>
          </cell>
          <cell r="CA111">
            <v>259</v>
          </cell>
          <cell r="CB111">
            <v>1794</v>
          </cell>
          <cell r="CC111">
            <v>42891</v>
          </cell>
          <cell r="CD111">
            <v>14790</v>
          </cell>
          <cell r="CE111">
            <v>14168</v>
          </cell>
          <cell r="CF111">
            <v>249</v>
          </cell>
          <cell r="CG111">
            <v>373</v>
          </cell>
          <cell r="CH111">
            <v>14931</v>
          </cell>
          <cell r="CI111">
            <v>1386</v>
          </cell>
          <cell r="CJ111">
            <v>7040</v>
          </cell>
          <cell r="CK111">
            <v>4367</v>
          </cell>
          <cell r="CL111">
            <v>2138</v>
          </cell>
          <cell r="CM111">
            <v>13170</v>
          </cell>
          <cell r="CN111">
            <v>2894</v>
          </cell>
          <cell r="CO111">
            <v>1999</v>
          </cell>
          <cell r="CP111">
            <v>5789</v>
          </cell>
          <cell r="CQ111">
            <v>1660</v>
          </cell>
          <cell r="CR111">
            <v>828</v>
          </cell>
          <cell r="CS111">
            <v>7243</v>
          </cell>
          <cell r="CT111">
            <v>288</v>
          </cell>
          <cell r="CU111">
            <v>1848</v>
          </cell>
          <cell r="CV111">
            <v>5107</v>
          </cell>
          <cell r="CW111">
            <v>28399</v>
          </cell>
          <cell r="CX111">
            <v>3887</v>
          </cell>
          <cell r="CY111">
            <v>968</v>
          </cell>
          <cell r="CZ111">
            <v>90</v>
          </cell>
          <cell r="DA111">
            <v>1281</v>
          </cell>
          <cell r="DB111">
            <v>1494</v>
          </cell>
          <cell r="DC111">
            <v>54</v>
          </cell>
          <cell r="DD111">
            <v>2305</v>
          </cell>
          <cell r="DE111">
            <v>1594</v>
          </cell>
          <cell r="DF111">
            <v>106</v>
          </cell>
          <cell r="DG111">
            <v>605</v>
          </cell>
          <cell r="DH111">
            <v>7379</v>
          </cell>
          <cell r="DI111">
            <v>2021</v>
          </cell>
          <cell r="DJ111">
            <v>1302</v>
          </cell>
          <cell r="DK111">
            <v>1334</v>
          </cell>
          <cell r="DL111">
            <v>1979</v>
          </cell>
          <cell r="DM111">
            <v>743</v>
          </cell>
          <cell r="DN111">
            <v>11484</v>
          </cell>
          <cell r="DO111">
            <v>3013</v>
          </cell>
          <cell r="DP111">
            <v>5741</v>
          </cell>
          <cell r="DQ111">
            <v>2730</v>
          </cell>
          <cell r="DR111">
            <v>3344</v>
          </cell>
          <cell r="DS111">
            <v>793</v>
          </cell>
          <cell r="DT111">
            <v>1159</v>
          </cell>
          <cell r="DU111">
            <v>844</v>
          </cell>
          <cell r="DV111">
            <v>548</v>
          </cell>
          <cell r="DW111">
            <v>0</v>
          </cell>
          <cell r="DX111">
            <v>6530</v>
          </cell>
          <cell r="DY111">
            <v>32462</v>
          </cell>
          <cell r="DZ111">
            <v>25211</v>
          </cell>
          <cell r="EA111">
            <v>23896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1315</v>
          </cell>
          <cell r="EG111">
            <v>7251</v>
          </cell>
          <cell r="EH111">
            <v>38425</v>
          </cell>
          <cell r="EI111">
            <v>6769</v>
          </cell>
          <cell r="EJ111">
            <v>1937</v>
          </cell>
          <cell r="EK111">
            <v>253</v>
          </cell>
          <cell r="EL111">
            <v>4579</v>
          </cell>
          <cell r="EM111">
            <v>1342</v>
          </cell>
          <cell r="EN111">
            <v>3518</v>
          </cell>
          <cell r="EO111">
            <v>2816</v>
          </cell>
          <cell r="EP111">
            <v>702</v>
          </cell>
          <cell r="EQ111">
            <v>4004</v>
          </cell>
          <cell r="ER111">
            <v>5547</v>
          </cell>
          <cell r="ES111">
            <v>2481</v>
          </cell>
          <cell r="ET111">
            <v>667</v>
          </cell>
          <cell r="EU111">
            <v>668</v>
          </cell>
          <cell r="EV111">
            <v>894</v>
          </cell>
          <cell r="EW111">
            <v>837</v>
          </cell>
          <cell r="EX111">
            <v>13674</v>
          </cell>
          <cell r="EY111">
            <v>5925</v>
          </cell>
          <cell r="EZ111">
            <v>7749</v>
          </cell>
          <cell r="FA111">
            <v>3571</v>
          </cell>
          <cell r="FB111">
            <v>315562</v>
          </cell>
          <cell r="FC111">
            <v>0</v>
          </cell>
          <cell r="FD111">
            <v>31262</v>
          </cell>
          <cell r="FE111">
            <v>7060</v>
          </cell>
          <cell r="FF111">
            <v>709</v>
          </cell>
          <cell r="FG111">
            <v>14790</v>
          </cell>
          <cell r="FH111">
            <v>1848</v>
          </cell>
          <cell r="FI111">
            <v>4039</v>
          </cell>
          <cell r="FJ111">
            <v>2816</v>
          </cell>
          <cell r="FK111">
            <v>124466</v>
          </cell>
          <cell r="FL111">
            <v>24912</v>
          </cell>
          <cell r="FM111">
            <v>9821</v>
          </cell>
          <cell r="FN111">
            <v>16053</v>
          </cell>
          <cell r="FO111">
            <v>9103</v>
          </cell>
          <cell r="FP111">
            <v>13005</v>
          </cell>
          <cell r="FQ111">
            <v>2645</v>
          </cell>
          <cell r="FR111">
            <v>23216</v>
          </cell>
          <cell r="FS111">
            <v>1848</v>
          </cell>
          <cell r="FT111">
            <v>15513</v>
          </cell>
          <cell r="FU111">
            <v>8350</v>
          </cell>
          <cell r="FV111">
            <v>64725</v>
          </cell>
          <cell r="FW111">
            <v>24912</v>
          </cell>
          <cell r="FX111">
            <v>9821</v>
          </cell>
          <cell r="FY111">
            <v>9103</v>
          </cell>
          <cell r="FZ111">
            <v>1470</v>
          </cell>
          <cell r="GA111">
            <v>1936</v>
          </cell>
          <cell r="GB111">
            <v>7040</v>
          </cell>
          <cell r="GC111">
            <v>5864</v>
          </cell>
          <cell r="GD111">
            <v>4579</v>
          </cell>
          <cell r="GE111">
            <v>4414</v>
          </cell>
          <cell r="GF111">
            <v>-9739</v>
          </cell>
          <cell r="GG111">
            <v>14153</v>
          </cell>
          <cell r="GH111">
            <v>186682</v>
          </cell>
          <cell r="GI111">
            <v>187</v>
          </cell>
          <cell r="GJ111">
            <v>73934</v>
          </cell>
          <cell r="GK111">
            <v>1255</v>
          </cell>
          <cell r="GL111">
            <v>4283</v>
          </cell>
          <cell r="GM111">
            <v>19675</v>
          </cell>
          <cell r="GN111">
            <v>5395</v>
          </cell>
          <cell r="GO111">
            <v>12886</v>
          </cell>
          <cell r="GP111">
            <v>6530</v>
          </cell>
          <cell r="GQ111">
            <v>32462</v>
          </cell>
          <cell r="GR111">
            <v>30075</v>
          </cell>
          <cell r="GS111">
            <v>28479</v>
          </cell>
          <cell r="GT111">
            <v>16053</v>
          </cell>
          <cell r="GU111">
            <v>4475</v>
          </cell>
          <cell r="GV111">
            <v>1386</v>
          </cell>
          <cell r="GW111">
            <v>5610</v>
          </cell>
          <cell r="GX111">
            <v>955</v>
          </cell>
        </row>
        <row r="112">
          <cell r="A112" t="str">
            <v>2016 Q4</v>
          </cell>
          <cell r="B112">
            <v>312905</v>
          </cell>
          <cell r="C112">
            <v>24958</v>
          </cell>
          <cell r="D112">
            <v>22518</v>
          </cell>
          <cell r="E112">
            <v>4382</v>
          </cell>
          <cell r="F112">
            <v>4635</v>
          </cell>
          <cell r="G112">
            <v>974</v>
          </cell>
          <cell r="H112">
            <v>2652</v>
          </cell>
          <cell r="I112">
            <v>581</v>
          </cell>
          <cell r="J112">
            <v>2491</v>
          </cell>
          <cell r="K112">
            <v>3292</v>
          </cell>
          <cell r="L112">
            <v>2496</v>
          </cell>
          <cell r="M112">
            <v>1015</v>
          </cell>
          <cell r="N112">
            <v>2440</v>
          </cell>
          <cell r="O112">
            <v>529</v>
          </cell>
          <cell r="P112">
            <v>1911</v>
          </cell>
          <cell r="Q112">
            <v>9941</v>
          </cell>
          <cell r="R112">
            <v>4657</v>
          </cell>
          <cell r="S112">
            <v>1335</v>
          </cell>
          <cell r="T112">
            <v>2158</v>
          </cell>
          <cell r="U112">
            <v>1164</v>
          </cell>
          <cell r="V112">
            <v>4504</v>
          </cell>
          <cell r="W112">
            <v>780</v>
          </cell>
          <cell r="X112">
            <v>16475</v>
          </cell>
          <cell r="Y112">
            <v>14070</v>
          </cell>
          <cell r="Z112">
            <v>39</v>
          </cell>
          <cell r="AA112">
            <v>12621</v>
          </cell>
          <cell r="AB112">
            <v>1222</v>
          </cell>
          <cell r="AC112">
            <v>188</v>
          </cell>
          <cell r="AD112">
            <v>2405</v>
          </cell>
          <cell r="AE112">
            <v>2385</v>
          </cell>
          <cell r="AF112">
            <v>20</v>
          </cell>
          <cell r="AG112">
            <v>83617</v>
          </cell>
          <cell r="AH112">
            <v>19997</v>
          </cell>
          <cell r="AI112">
            <v>19932</v>
          </cell>
          <cell r="AJ112">
            <v>65</v>
          </cell>
          <cell r="AK112">
            <v>52493</v>
          </cell>
          <cell r="AL112">
            <v>49808</v>
          </cell>
          <cell r="AM112">
            <v>2685</v>
          </cell>
          <cell r="AN112">
            <v>808</v>
          </cell>
          <cell r="AO112">
            <v>296</v>
          </cell>
          <cell r="AP112">
            <v>512</v>
          </cell>
          <cell r="AQ112">
            <v>2396</v>
          </cell>
          <cell r="AR112">
            <v>1211</v>
          </cell>
          <cell r="AS112">
            <v>47</v>
          </cell>
          <cell r="AT112">
            <v>1138</v>
          </cell>
          <cell r="AU112">
            <v>0</v>
          </cell>
          <cell r="AV112">
            <v>7923</v>
          </cell>
          <cell r="AW112">
            <v>3930</v>
          </cell>
          <cell r="AX112">
            <v>3634</v>
          </cell>
          <cell r="AY112">
            <v>255</v>
          </cell>
          <cell r="AZ112">
            <v>104</v>
          </cell>
          <cell r="BA112">
            <v>0</v>
          </cell>
          <cell r="BB112">
            <v>14489</v>
          </cell>
          <cell r="BC112">
            <v>5465</v>
          </cell>
          <cell r="BD112">
            <v>4538</v>
          </cell>
          <cell r="BE112">
            <v>918</v>
          </cell>
          <cell r="BF112">
            <v>9</v>
          </cell>
          <cell r="BG112">
            <v>1525</v>
          </cell>
          <cell r="BH112">
            <v>2058</v>
          </cell>
          <cell r="BI112">
            <v>1570</v>
          </cell>
          <cell r="BJ112">
            <v>374</v>
          </cell>
          <cell r="BK112">
            <v>114</v>
          </cell>
          <cell r="BL112">
            <v>1502</v>
          </cell>
          <cell r="BM112">
            <v>1309</v>
          </cell>
          <cell r="BN112">
            <v>137</v>
          </cell>
          <cell r="BO112">
            <v>1172</v>
          </cell>
          <cell r="BP112">
            <v>2630</v>
          </cell>
          <cell r="BQ112">
            <v>1504</v>
          </cell>
          <cell r="BR112">
            <v>1126</v>
          </cell>
          <cell r="BS112">
            <v>6481</v>
          </cell>
          <cell r="BT112">
            <v>2666</v>
          </cell>
          <cell r="BU112">
            <v>1849</v>
          </cell>
          <cell r="BV112">
            <v>100</v>
          </cell>
          <cell r="BW112">
            <v>717</v>
          </cell>
          <cell r="BX112">
            <v>2363</v>
          </cell>
          <cell r="BY112">
            <v>964</v>
          </cell>
          <cell r="BZ112">
            <v>1130</v>
          </cell>
          <cell r="CA112">
            <v>269</v>
          </cell>
          <cell r="CB112">
            <v>1452</v>
          </cell>
          <cell r="CC112">
            <v>42931</v>
          </cell>
          <cell r="CD112">
            <v>14295</v>
          </cell>
          <cell r="CE112">
            <v>13690</v>
          </cell>
          <cell r="CF112">
            <v>228</v>
          </cell>
          <cell r="CG112">
            <v>377</v>
          </cell>
          <cell r="CH112">
            <v>15460</v>
          </cell>
          <cell r="CI112">
            <v>1401</v>
          </cell>
          <cell r="CJ112">
            <v>7343</v>
          </cell>
          <cell r="CK112">
            <v>4464</v>
          </cell>
          <cell r="CL112">
            <v>2252</v>
          </cell>
          <cell r="CM112">
            <v>13176</v>
          </cell>
          <cell r="CN112">
            <v>2947</v>
          </cell>
          <cell r="CO112">
            <v>2000</v>
          </cell>
          <cell r="CP112">
            <v>5566</v>
          </cell>
          <cell r="CQ112">
            <v>1857</v>
          </cell>
          <cell r="CR112">
            <v>806</v>
          </cell>
          <cell r="CS112">
            <v>7358</v>
          </cell>
          <cell r="CT112">
            <v>282</v>
          </cell>
          <cell r="CU112">
            <v>1929</v>
          </cell>
          <cell r="CV112">
            <v>5147</v>
          </cell>
          <cell r="CW112">
            <v>29253</v>
          </cell>
          <cell r="CX112">
            <v>4410</v>
          </cell>
          <cell r="CY112">
            <v>1032</v>
          </cell>
          <cell r="CZ112">
            <v>130</v>
          </cell>
          <cell r="DA112">
            <v>1384</v>
          </cell>
          <cell r="DB112">
            <v>1808</v>
          </cell>
          <cell r="DC112">
            <v>56</v>
          </cell>
          <cell r="DD112">
            <v>2337</v>
          </cell>
          <cell r="DE112">
            <v>1636</v>
          </cell>
          <cell r="DF112">
            <v>86</v>
          </cell>
          <cell r="DG112">
            <v>615</v>
          </cell>
          <cell r="DH112">
            <v>7668</v>
          </cell>
          <cell r="DI112">
            <v>2237</v>
          </cell>
          <cell r="DJ112">
            <v>1403</v>
          </cell>
          <cell r="DK112">
            <v>1322</v>
          </cell>
          <cell r="DL112">
            <v>1924</v>
          </cell>
          <cell r="DM112">
            <v>782</v>
          </cell>
          <cell r="DN112">
            <v>11419</v>
          </cell>
          <cell r="DO112">
            <v>3101</v>
          </cell>
          <cell r="DP112">
            <v>5684</v>
          </cell>
          <cell r="DQ112">
            <v>2634</v>
          </cell>
          <cell r="DR112">
            <v>3419</v>
          </cell>
          <cell r="DS112">
            <v>824</v>
          </cell>
          <cell r="DT112">
            <v>1184</v>
          </cell>
          <cell r="DU112">
            <v>828</v>
          </cell>
          <cell r="DV112">
            <v>583</v>
          </cell>
          <cell r="DW112">
            <v>0</v>
          </cell>
          <cell r="DX112">
            <v>6608</v>
          </cell>
          <cell r="DY112">
            <v>32880</v>
          </cell>
          <cell r="DZ112">
            <v>25292</v>
          </cell>
          <cell r="EA112">
            <v>23945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1347</v>
          </cell>
          <cell r="EG112">
            <v>7588</v>
          </cell>
          <cell r="EH112">
            <v>37914</v>
          </cell>
          <cell r="EI112">
            <v>6843</v>
          </cell>
          <cell r="EJ112">
            <v>1980</v>
          </cell>
          <cell r="EK112">
            <v>197</v>
          </cell>
          <cell r="EL112">
            <v>4666</v>
          </cell>
          <cell r="EM112">
            <v>1355</v>
          </cell>
          <cell r="EN112">
            <v>3460</v>
          </cell>
          <cell r="EO112">
            <v>2764</v>
          </cell>
          <cell r="EP112">
            <v>696</v>
          </cell>
          <cell r="EQ112">
            <v>3692</v>
          </cell>
          <cell r="ER112">
            <v>4846</v>
          </cell>
          <cell r="ES112">
            <v>2490</v>
          </cell>
          <cell r="ET112">
            <v>537</v>
          </cell>
          <cell r="EU112">
            <v>562</v>
          </cell>
          <cell r="EV112">
            <v>685</v>
          </cell>
          <cell r="EW112">
            <v>572</v>
          </cell>
          <cell r="EX112">
            <v>13691</v>
          </cell>
          <cell r="EY112">
            <v>5978</v>
          </cell>
          <cell r="EZ112">
            <v>7713</v>
          </cell>
          <cell r="FA112">
            <v>4027</v>
          </cell>
          <cell r="FB112">
            <v>317069</v>
          </cell>
          <cell r="FC112">
            <v>0</v>
          </cell>
          <cell r="FD112">
            <v>31136</v>
          </cell>
          <cell r="FE112">
            <v>7163</v>
          </cell>
          <cell r="FF112">
            <v>717</v>
          </cell>
          <cell r="FG112">
            <v>14295</v>
          </cell>
          <cell r="FH112">
            <v>1929</v>
          </cell>
          <cell r="FI112">
            <v>4268</v>
          </cell>
          <cell r="FJ112">
            <v>2764</v>
          </cell>
          <cell r="FK112">
            <v>126174</v>
          </cell>
          <cell r="FL112">
            <v>24958</v>
          </cell>
          <cell r="FM112">
            <v>9941</v>
          </cell>
          <cell r="FN112">
            <v>16267</v>
          </cell>
          <cell r="FO112">
            <v>9430</v>
          </cell>
          <cell r="FP112">
            <v>13240</v>
          </cell>
          <cell r="FQ112">
            <v>2666</v>
          </cell>
          <cell r="FR112">
            <v>23039</v>
          </cell>
          <cell r="FS112">
            <v>1929</v>
          </cell>
          <cell r="FT112">
            <v>16381</v>
          </cell>
          <cell r="FU112">
            <v>8323</v>
          </cell>
          <cell r="FV112">
            <v>65632</v>
          </cell>
          <cell r="FW112">
            <v>24958</v>
          </cell>
          <cell r="FX112">
            <v>9941</v>
          </cell>
          <cell r="FY112">
            <v>9430</v>
          </cell>
          <cell r="FZ112">
            <v>1504</v>
          </cell>
          <cell r="GA112">
            <v>1949</v>
          </cell>
          <cell r="GB112">
            <v>7343</v>
          </cell>
          <cell r="GC112">
            <v>5841</v>
          </cell>
          <cell r="GD112">
            <v>4666</v>
          </cell>
          <cell r="GE112">
            <v>4164</v>
          </cell>
          <cell r="GF112">
            <v>-10000</v>
          </cell>
          <cell r="GG112">
            <v>14164</v>
          </cell>
          <cell r="GH112">
            <v>186731</v>
          </cell>
          <cell r="GI112">
            <v>208</v>
          </cell>
          <cell r="GJ112">
            <v>74187</v>
          </cell>
          <cell r="GK112">
            <v>1249</v>
          </cell>
          <cell r="GL112">
            <v>3815</v>
          </cell>
          <cell r="GM112">
            <v>19892</v>
          </cell>
          <cell r="GN112">
            <v>5429</v>
          </cell>
          <cell r="GO112">
            <v>12872</v>
          </cell>
          <cell r="GP112">
            <v>6608</v>
          </cell>
          <cell r="GQ112">
            <v>32880</v>
          </cell>
          <cell r="GR112">
            <v>29591</v>
          </cell>
          <cell r="GS112">
            <v>29406</v>
          </cell>
          <cell r="GT112">
            <v>16267</v>
          </cell>
          <cell r="GU112">
            <v>4573</v>
          </cell>
          <cell r="GV112">
            <v>1401</v>
          </cell>
          <cell r="GW112">
            <v>6272</v>
          </cell>
          <cell r="GX112">
            <v>893</v>
          </cell>
        </row>
        <row r="113">
          <cell r="A113" t="str">
            <v>2017 Q1</v>
          </cell>
          <cell r="B113">
            <v>315645</v>
          </cell>
          <cell r="C113">
            <v>25152</v>
          </cell>
          <cell r="D113">
            <v>22719</v>
          </cell>
          <cell r="E113">
            <v>4430</v>
          </cell>
          <cell r="F113">
            <v>4645</v>
          </cell>
          <cell r="G113">
            <v>1052</v>
          </cell>
          <cell r="H113">
            <v>2717</v>
          </cell>
          <cell r="I113">
            <v>550</v>
          </cell>
          <cell r="J113">
            <v>2384</v>
          </cell>
          <cell r="K113">
            <v>3340</v>
          </cell>
          <cell r="L113">
            <v>2600</v>
          </cell>
          <cell r="M113">
            <v>1001</v>
          </cell>
          <cell r="N113">
            <v>2433</v>
          </cell>
          <cell r="O113">
            <v>509</v>
          </cell>
          <cell r="P113">
            <v>1924</v>
          </cell>
          <cell r="Q113">
            <v>10208</v>
          </cell>
          <cell r="R113">
            <v>4769</v>
          </cell>
          <cell r="S113">
            <v>1342</v>
          </cell>
          <cell r="T113">
            <v>2192</v>
          </cell>
          <cell r="U113">
            <v>1235</v>
          </cell>
          <cell r="V113">
            <v>4458</v>
          </cell>
          <cell r="W113">
            <v>981</v>
          </cell>
          <cell r="X113">
            <v>16272</v>
          </cell>
          <cell r="Y113">
            <v>13818</v>
          </cell>
          <cell r="Z113">
            <v>47</v>
          </cell>
          <cell r="AA113">
            <v>12416</v>
          </cell>
          <cell r="AB113">
            <v>1148</v>
          </cell>
          <cell r="AC113">
            <v>207</v>
          </cell>
          <cell r="AD113">
            <v>2454</v>
          </cell>
          <cell r="AE113">
            <v>2435</v>
          </cell>
          <cell r="AF113">
            <v>19</v>
          </cell>
          <cell r="AG113">
            <v>82723</v>
          </cell>
          <cell r="AH113">
            <v>19973</v>
          </cell>
          <cell r="AI113">
            <v>19907</v>
          </cell>
          <cell r="AJ113">
            <v>66</v>
          </cell>
          <cell r="AK113">
            <v>52323</v>
          </cell>
          <cell r="AL113">
            <v>49645</v>
          </cell>
          <cell r="AM113">
            <v>2678</v>
          </cell>
          <cell r="AN113">
            <v>771</v>
          </cell>
          <cell r="AO113">
            <v>304</v>
          </cell>
          <cell r="AP113">
            <v>467</v>
          </cell>
          <cell r="AQ113">
            <v>2392</v>
          </cell>
          <cell r="AR113">
            <v>1200</v>
          </cell>
          <cell r="AS113">
            <v>44</v>
          </cell>
          <cell r="AT113">
            <v>1148</v>
          </cell>
          <cell r="AU113">
            <v>0</v>
          </cell>
          <cell r="AV113">
            <v>7264</v>
          </cell>
          <cell r="AW113">
            <v>3823</v>
          </cell>
          <cell r="AX113">
            <v>3059</v>
          </cell>
          <cell r="AY113">
            <v>270</v>
          </cell>
          <cell r="AZ113">
            <v>112</v>
          </cell>
          <cell r="BA113">
            <v>0</v>
          </cell>
          <cell r="BB113">
            <v>14972</v>
          </cell>
          <cell r="BC113">
            <v>5641</v>
          </cell>
          <cell r="BD113">
            <v>4635</v>
          </cell>
          <cell r="BE113">
            <v>997</v>
          </cell>
          <cell r="BF113">
            <v>9</v>
          </cell>
          <cell r="BG113">
            <v>1782</v>
          </cell>
          <cell r="BH113">
            <v>2071</v>
          </cell>
          <cell r="BI113">
            <v>1595</v>
          </cell>
          <cell r="BJ113">
            <v>351</v>
          </cell>
          <cell r="BK113">
            <v>125</v>
          </cell>
          <cell r="BL113">
            <v>1479</v>
          </cell>
          <cell r="BM113">
            <v>1370</v>
          </cell>
          <cell r="BN113">
            <v>166</v>
          </cell>
          <cell r="BO113">
            <v>1204</v>
          </cell>
          <cell r="BP113">
            <v>2629</v>
          </cell>
          <cell r="BQ113">
            <v>1570</v>
          </cell>
          <cell r="BR113">
            <v>1059</v>
          </cell>
          <cell r="BS113">
            <v>6848</v>
          </cell>
          <cell r="BT113">
            <v>2711</v>
          </cell>
          <cell r="BU113">
            <v>1824</v>
          </cell>
          <cell r="BV113">
            <v>107</v>
          </cell>
          <cell r="BW113">
            <v>780</v>
          </cell>
          <cell r="BX113">
            <v>2455</v>
          </cell>
          <cell r="BY113">
            <v>952</v>
          </cell>
          <cell r="BZ113">
            <v>1224</v>
          </cell>
          <cell r="CA113">
            <v>279</v>
          </cell>
          <cell r="CB113">
            <v>1682</v>
          </cell>
          <cell r="CC113">
            <v>44069</v>
          </cell>
          <cell r="CD113">
            <v>14628</v>
          </cell>
          <cell r="CE113">
            <v>14008</v>
          </cell>
          <cell r="CF113">
            <v>243</v>
          </cell>
          <cell r="CG113">
            <v>377</v>
          </cell>
          <cell r="CH113">
            <v>16263</v>
          </cell>
          <cell r="CI113">
            <v>1370</v>
          </cell>
          <cell r="CJ113">
            <v>7906</v>
          </cell>
          <cell r="CK113">
            <v>4578</v>
          </cell>
          <cell r="CL113">
            <v>2409</v>
          </cell>
          <cell r="CM113">
            <v>13178</v>
          </cell>
          <cell r="CN113">
            <v>2955</v>
          </cell>
          <cell r="CO113">
            <v>2116</v>
          </cell>
          <cell r="CP113">
            <v>5513</v>
          </cell>
          <cell r="CQ113">
            <v>1756</v>
          </cell>
          <cell r="CR113">
            <v>838</v>
          </cell>
          <cell r="CS113">
            <v>7063</v>
          </cell>
          <cell r="CT113">
            <v>277</v>
          </cell>
          <cell r="CU113">
            <v>1598</v>
          </cell>
          <cell r="CV113">
            <v>5188</v>
          </cell>
          <cell r="CW113">
            <v>29873</v>
          </cell>
          <cell r="CX113">
            <v>4018</v>
          </cell>
          <cell r="CY113">
            <v>1124</v>
          </cell>
          <cell r="CZ113">
            <v>313</v>
          </cell>
          <cell r="DA113">
            <v>1434</v>
          </cell>
          <cell r="DB113">
            <v>1082</v>
          </cell>
          <cell r="DC113">
            <v>65</v>
          </cell>
          <cell r="DD113">
            <v>2586</v>
          </cell>
          <cell r="DE113">
            <v>1840</v>
          </cell>
          <cell r="DF113">
            <v>120</v>
          </cell>
          <cell r="DG113">
            <v>626</v>
          </cell>
          <cell r="DH113">
            <v>8284</v>
          </cell>
          <cell r="DI113">
            <v>2708</v>
          </cell>
          <cell r="DJ113">
            <v>1562</v>
          </cell>
          <cell r="DK113">
            <v>1325</v>
          </cell>
          <cell r="DL113">
            <v>1877</v>
          </cell>
          <cell r="DM113">
            <v>812</v>
          </cell>
          <cell r="DN113">
            <v>11463</v>
          </cell>
          <cell r="DO113">
            <v>2946</v>
          </cell>
          <cell r="DP113">
            <v>5795</v>
          </cell>
          <cell r="DQ113">
            <v>2722</v>
          </cell>
          <cell r="DR113">
            <v>3522</v>
          </cell>
          <cell r="DS113">
            <v>923</v>
          </cell>
          <cell r="DT113">
            <v>1193</v>
          </cell>
          <cell r="DU113">
            <v>826</v>
          </cell>
          <cell r="DV113">
            <v>580</v>
          </cell>
          <cell r="DW113">
            <v>0</v>
          </cell>
          <cell r="DX113">
            <v>6674</v>
          </cell>
          <cell r="DY113">
            <v>33919</v>
          </cell>
          <cell r="DZ113">
            <v>26309</v>
          </cell>
          <cell r="EA113">
            <v>24856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1453</v>
          </cell>
          <cell r="EG113">
            <v>7610</v>
          </cell>
          <cell r="EH113">
            <v>37872</v>
          </cell>
          <cell r="EI113">
            <v>7274</v>
          </cell>
          <cell r="EJ113">
            <v>2019</v>
          </cell>
          <cell r="EK113">
            <v>348</v>
          </cell>
          <cell r="EL113">
            <v>4907</v>
          </cell>
          <cell r="EM113">
            <v>1369</v>
          </cell>
          <cell r="EN113">
            <v>3436</v>
          </cell>
          <cell r="EO113">
            <v>2567</v>
          </cell>
          <cell r="EP113">
            <v>869</v>
          </cell>
          <cell r="EQ113">
            <v>3897</v>
          </cell>
          <cell r="ER113">
            <v>4746</v>
          </cell>
          <cell r="ES113">
            <v>2454</v>
          </cell>
          <cell r="ET113">
            <v>511</v>
          </cell>
          <cell r="EU113">
            <v>575</v>
          </cell>
          <cell r="EV113">
            <v>588</v>
          </cell>
          <cell r="EW113">
            <v>618</v>
          </cell>
          <cell r="EX113">
            <v>13197</v>
          </cell>
          <cell r="EY113">
            <v>5506</v>
          </cell>
          <cell r="EZ113">
            <v>7691</v>
          </cell>
          <cell r="FA113">
            <v>3953</v>
          </cell>
          <cell r="FB113">
            <v>319312</v>
          </cell>
          <cell r="FC113">
            <v>0</v>
          </cell>
          <cell r="FD113">
            <v>31797</v>
          </cell>
          <cell r="FE113">
            <v>7393</v>
          </cell>
          <cell r="FF113">
            <v>780</v>
          </cell>
          <cell r="FG113">
            <v>14628</v>
          </cell>
          <cell r="FH113">
            <v>1598</v>
          </cell>
          <cell r="FI113">
            <v>4831</v>
          </cell>
          <cell r="FJ113">
            <v>2567</v>
          </cell>
          <cell r="FK113">
            <v>127764</v>
          </cell>
          <cell r="FL113">
            <v>25152</v>
          </cell>
          <cell r="FM113">
            <v>10208</v>
          </cell>
          <cell r="FN113">
            <v>16046</v>
          </cell>
          <cell r="FO113">
            <v>8768</v>
          </cell>
          <cell r="FP113">
            <v>13779</v>
          </cell>
          <cell r="FQ113">
            <v>2711</v>
          </cell>
          <cell r="FR113">
            <v>23904</v>
          </cell>
          <cell r="FS113">
            <v>1598</v>
          </cell>
          <cell r="FT113">
            <v>16907</v>
          </cell>
          <cell r="FU113">
            <v>8691</v>
          </cell>
          <cell r="FV113">
            <v>66243</v>
          </cell>
          <cell r="FW113">
            <v>25152</v>
          </cell>
          <cell r="FX113">
            <v>10208</v>
          </cell>
          <cell r="FY113">
            <v>8768</v>
          </cell>
          <cell r="FZ113">
            <v>1570</v>
          </cell>
          <cell r="GA113">
            <v>1931</v>
          </cell>
          <cell r="GB113">
            <v>7906</v>
          </cell>
          <cell r="GC113">
            <v>5801</v>
          </cell>
          <cell r="GD113">
            <v>4907</v>
          </cell>
          <cell r="GE113">
            <v>3667</v>
          </cell>
          <cell r="GF113">
            <v>-10463</v>
          </cell>
          <cell r="GG113">
            <v>14130</v>
          </cell>
          <cell r="GH113">
            <v>187881</v>
          </cell>
          <cell r="GI113">
            <v>227</v>
          </cell>
          <cell r="GJ113">
            <v>73955</v>
          </cell>
          <cell r="GK113">
            <v>1193</v>
          </cell>
          <cell r="GL113">
            <v>4137</v>
          </cell>
          <cell r="GM113">
            <v>20165</v>
          </cell>
          <cell r="GN113">
            <v>5465</v>
          </cell>
          <cell r="GO113">
            <v>12966</v>
          </cell>
          <cell r="GP113">
            <v>6674</v>
          </cell>
          <cell r="GQ113">
            <v>33919</v>
          </cell>
          <cell r="GR113">
            <v>29181</v>
          </cell>
          <cell r="GS113">
            <v>29724</v>
          </cell>
          <cell r="GT113">
            <v>16046</v>
          </cell>
          <cell r="GU113">
            <v>4816</v>
          </cell>
          <cell r="GV113">
            <v>1370</v>
          </cell>
          <cell r="GW113">
            <v>6275</v>
          </cell>
          <cell r="GX113">
            <v>1217</v>
          </cell>
        </row>
        <row r="114">
          <cell r="A114" t="str">
            <v>2017 Q2</v>
          </cell>
          <cell r="B114">
            <v>317541</v>
          </cell>
          <cell r="C114">
            <v>26178</v>
          </cell>
          <cell r="D114">
            <v>23688</v>
          </cell>
          <cell r="E114">
            <v>4673</v>
          </cell>
          <cell r="F114">
            <v>4728</v>
          </cell>
          <cell r="G114">
            <v>1089</v>
          </cell>
          <cell r="H114">
            <v>2904</v>
          </cell>
          <cell r="I114">
            <v>630</v>
          </cell>
          <cell r="J114">
            <v>2492</v>
          </cell>
          <cell r="K114">
            <v>3454</v>
          </cell>
          <cell r="L114">
            <v>2659</v>
          </cell>
          <cell r="M114">
            <v>1059</v>
          </cell>
          <cell r="N114">
            <v>2490</v>
          </cell>
          <cell r="O114">
            <v>557</v>
          </cell>
          <cell r="P114">
            <v>1933</v>
          </cell>
          <cell r="Q114">
            <v>10514</v>
          </cell>
          <cell r="R114">
            <v>4976</v>
          </cell>
          <cell r="S114">
            <v>1417</v>
          </cell>
          <cell r="T114">
            <v>2263</v>
          </cell>
          <cell r="U114">
            <v>1296</v>
          </cell>
          <cell r="V114">
            <v>4461</v>
          </cell>
          <cell r="W114">
            <v>1077</v>
          </cell>
          <cell r="X114">
            <v>16151</v>
          </cell>
          <cell r="Y114">
            <v>13643</v>
          </cell>
          <cell r="Z114">
            <v>59</v>
          </cell>
          <cell r="AA114">
            <v>12287</v>
          </cell>
          <cell r="AB114">
            <v>1109</v>
          </cell>
          <cell r="AC114">
            <v>188</v>
          </cell>
          <cell r="AD114">
            <v>2508</v>
          </cell>
          <cell r="AE114">
            <v>2491</v>
          </cell>
          <cell r="AF114">
            <v>17</v>
          </cell>
          <cell r="AG114">
            <v>82810</v>
          </cell>
          <cell r="AH114">
            <v>20014</v>
          </cell>
          <cell r="AI114">
            <v>19947</v>
          </cell>
          <cell r="AJ114">
            <v>67</v>
          </cell>
          <cell r="AK114">
            <v>52302</v>
          </cell>
          <cell r="AL114">
            <v>49611</v>
          </cell>
          <cell r="AM114">
            <v>2691</v>
          </cell>
          <cell r="AN114">
            <v>745</v>
          </cell>
          <cell r="AO114">
            <v>299</v>
          </cell>
          <cell r="AP114">
            <v>446</v>
          </cell>
          <cell r="AQ114">
            <v>2409</v>
          </cell>
          <cell r="AR114">
            <v>1200</v>
          </cell>
          <cell r="AS114">
            <v>55</v>
          </cell>
          <cell r="AT114">
            <v>1154</v>
          </cell>
          <cell r="AU114">
            <v>0</v>
          </cell>
          <cell r="AV114">
            <v>7340</v>
          </cell>
          <cell r="AW114">
            <v>3962</v>
          </cell>
          <cell r="AX114">
            <v>3040</v>
          </cell>
          <cell r="AY114">
            <v>238</v>
          </cell>
          <cell r="AZ114">
            <v>100</v>
          </cell>
          <cell r="BA114">
            <v>0</v>
          </cell>
          <cell r="BB114">
            <v>15214</v>
          </cell>
          <cell r="BC114">
            <v>5672</v>
          </cell>
          <cell r="BD114">
            <v>4811</v>
          </cell>
          <cell r="BE114">
            <v>853</v>
          </cell>
          <cell r="BF114">
            <v>8</v>
          </cell>
          <cell r="BG114">
            <v>1793</v>
          </cell>
          <cell r="BH114">
            <v>2147</v>
          </cell>
          <cell r="BI114">
            <v>1633</v>
          </cell>
          <cell r="BJ114">
            <v>389</v>
          </cell>
          <cell r="BK114">
            <v>125</v>
          </cell>
          <cell r="BL114">
            <v>1550</v>
          </cell>
          <cell r="BM114">
            <v>1415</v>
          </cell>
          <cell r="BN114">
            <v>172</v>
          </cell>
          <cell r="BO114">
            <v>1243</v>
          </cell>
          <cell r="BP114">
            <v>2637</v>
          </cell>
          <cell r="BQ114">
            <v>1557</v>
          </cell>
          <cell r="BR114">
            <v>1080</v>
          </cell>
          <cell r="BS114">
            <v>6961</v>
          </cell>
          <cell r="BT114">
            <v>2767</v>
          </cell>
          <cell r="BU114">
            <v>1841</v>
          </cell>
          <cell r="BV114">
            <v>101</v>
          </cell>
          <cell r="BW114">
            <v>825</v>
          </cell>
          <cell r="BX114">
            <v>2461</v>
          </cell>
          <cell r="BY114">
            <v>1000</v>
          </cell>
          <cell r="BZ114">
            <v>1206</v>
          </cell>
          <cell r="CA114">
            <v>255</v>
          </cell>
          <cell r="CB114">
            <v>1733</v>
          </cell>
          <cell r="CC114">
            <v>42727</v>
          </cell>
          <cell r="CD114">
            <v>13373</v>
          </cell>
          <cell r="CE114">
            <v>12730</v>
          </cell>
          <cell r="CF114">
            <v>263</v>
          </cell>
          <cell r="CG114">
            <v>380</v>
          </cell>
          <cell r="CH114">
            <v>16095</v>
          </cell>
          <cell r="CI114">
            <v>1368</v>
          </cell>
          <cell r="CJ114">
            <v>7470</v>
          </cell>
          <cell r="CK114">
            <v>4714</v>
          </cell>
          <cell r="CL114">
            <v>2543</v>
          </cell>
          <cell r="CM114">
            <v>13259</v>
          </cell>
          <cell r="CN114">
            <v>2909</v>
          </cell>
          <cell r="CO114">
            <v>2036</v>
          </cell>
          <cell r="CP114">
            <v>5704</v>
          </cell>
          <cell r="CQ114">
            <v>1764</v>
          </cell>
          <cell r="CR114">
            <v>846</v>
          </cell>
          <cell r="CS114">
            <v>7298</v>
          </cell>
          <cell r="CT114">
            <v>285</v>
          </cell>
          <cell r="CU114">
            <v>1660</v>
          </cell>
          <cell r="CV114">
            <v>5353</v>
          </cell>
          <cell r="CW114">
            <v>30578</v>
          </cell>
          <cell r="CX114">
            <v>4542</v>
          </cell>
          <cell r="CY114">
            <v>1288</v>
          </cell>
          <cell r="CZ114">
            <v>420</v>
          </cell>
          <cell r="DA114">
            <v>1368</v>
          </cell>
          <cell r="DB114">
            <v>1407</v>
          </cell>
          <cell r="DC114">
            <v>59</v>
          </cell>
          <cell r="DD114">
            <v>2679</v>
          </cell>
          <cell r="DE114">
            <v>1917</v>
          </cell>
          <cell r="DF114">
            <v>124</v>
          </cell>
          <cell r="DG114">
            <v>638</v>
          </cell>
          <cell r="DH114">
            <v>8411</v>
          </cell>
          <cell r="DI114">
            <v>2874</v>
          </cell>
          <cell r="DJ114">
            <v>1568</v>
          </cell>
          <cell r="DK114">
            <v>1317</v>
          </cell>
          <cell r="DL114">
            <v>1832</v>
          </cell>
          <cell r="DM114">
            <v>820</v>
          </cell>
          <cell r="DN114">
            <v>11451</v>
          </cell>
          <cell r="DO114">
            <v>2961</v>
          </cell>
          <cell r="DP114">
            <v>5679</v>
          </cell>
          <cell r="DQ114">
            <v>2811</v>
          </cell>
          <cell r="DR114">
            <v>3495</v>
          </cell>
          <cell r="DS114">
            <v>895</v>
          </cell>
          <cell r="DT114">
            <v>1163</v>
          </cell>
          <cell r="DU114">
            <v>824</v>
          </cell>
          <cell r="DV114">
            <v>613</v>
          </cell>
          <cell r="DW114">
            <v>0</v>
          </cell>
          <cell r="DX114">
            <v>6744</v>
          </cell>
          <cell r="DY114">
            <v>33771</v>
          </cell>
          <cell r="DZ114">
            <v>26155</v>
          </cell>
          <cell r="EA114">
            <v>24801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1354</v>
          </cell>
          <cell r="EG114">
            <v>7616</v>
          </cell>
          <cell r="EH114">
            <v>38595</v>
          </cell>
          <cell r="EI114">
            <v>7292</v>
          </cell>
          <cell r="EJ114">
            <v>2004</v>
          </cell>
          <cell r="EK114">
            <v>206</v>
          </cell>
          <cell r="EL114">
            <v>5082</v>
          </cell>
          <cell r="EM114">
            <v>1380</v>
          </cell>
          <cell r="EN114">
            <v>3266</v>
          </cell>
          <cell r="EO114">
            <v>2392</v>
          </cell>
          <cell r="EP114">
            <v>874</v>
          </cell>
          <cell r="EQ114">
            <v>3921</v>
          </cell>
          <cell r="ER114">
            <v>5194</v>
          </cell>
          <cell r="ES114">
            <v>2269</v>
          </cell>
          <cell r="ET114">
            <v>511</v>
          </cell>
          <cell r="EU114">
            <v>658</v>
          </cell>
          <cell r="EV114">
            <v>1038</v>
          </cell>
          <cell r="EW114">
            <v>718</v>
          </cell>
          <cell r="EX114">
            <v>13373</v>
          </cell>
          <cell r="EY114">
            <v>5352</v>
          </cell>
          <cell r="EZ114">
            <v>8021</v>
          </cell>
          <cell r="FA114">
            <v>4169</v>
          </cell>
          <cell r="FB114">
            <v>321596</v>
          </cell>
          <cell r="FC114">
            <v>0</v>
          </cell>
          <cell r="FD114">
            <v>30836</v>
          </cell>
          <cell r="FE114">
            <v>7469</v>
          </cell>
          <cell r="FF114">
            <v>825</v>
          </cell>
          <cell r="FG114">
            <v>13373</v>
          </cell>
          <cell r="FH114">
            <v>1660</v>
          </cell>
          <cell r="FI114">
            <v>5117</v>
          </cell>
          <cell r="FJ114">
            <v>2392</v>
          </cell>
          <cell r="FK114">
            <v>128280</v>
          </cell>
          <cell r="FL114">
            <v>26178</v>
          </cell>
          <cell r="FM114">
            <v>10514</v>
          </cell>
          <cell r="FN114">
            <v>15946</v>
          </cell>
          <cell r="FO114">
            <v>8839</v>
          </cell>
          <cell r="FP114">
            <v>14001</v>
          </cell>
          <cell r="FQ114">
            <v>2767</v>
          </cell>
          <cell r="FR114">
            <v>22211</v>
          </cell>
          <cell r="FS114">
            <v>1660</v>
          </cell>
          <cell r="FT114">
            <v>17610</v>
          </cell>
          <cell r="FU114">
            <v>8554</v>
          </cell>
          <cell r="FV114">
            <v>67331</v>
          </cell>
          <cell r="FW114">
            <v>26178</v>
          </cell>
          <cell r="FX114">
            <v>10514</v>
          </cell>
          <cell r="FY114">
            <v>8839</v>
          </cell>
          <cell r="FZ114">
            <v>1557</v>
          </cell>
          <cell r="GA114">
            <v>1942</v>
          </cell>
          <cell r="GB114">
            <v>7470</v>
          </cell>
          <cell r="GC114">
            <v>5749</v>
          </cell>
          <cell r="GD114">
            <v>5082</v>
          </cell>
          <cell r="GE114">
            <v>4055</v>
          </cell>
          <cell r="GF114">
            <v>-10753</v>
          </cell>
          <cell r="GG114">
            <v>14808</v>
          </cell>
          <cell r="GH114">
            <v>189261</v>
          </cell>
          <cell r="GI114">
            <v>205</v>
          </cell>
          <cell r="GJ114">
            <v>73971</v>
          </cell>
          <cell r="GK114">
            <v>1213</v>
          </cell>
          <cell r="GL114">
            <v>4194</v>
          </cell>
          <cell r="GM114">
            <v>20516</v>
          </cell>
          <cell r="GN114">
            <v>5638</v>
          </cell>
          <cell r="GO114">
            <v>12968</v>
          </cell>
          <cell r="GP114">
            <v>6744</v>
          </cell>
          <cell r="GQ114">
            <v>33771</v>
          </cell>
          <cell r="GR114">
            <v>30041</v>
          </cell>
          <cell r="GS114">
            <v>30113</v>
          </cell>
          <cell r="GT114">
            <v>15946</v>
          </cell>
          <cell r="GU114">
            <v>4975</v>
          </cell>
          <cell r="GV114">
            <v>1368</v>
          </cell>
          <cell r="GW114">
            <v>6744</v>
          </cell>
          <cell r="GX114">
            <v>1080</v>
          </cell>
        </row>
        <row r="115">
          <cell r="A115" t="str">
            <v>2017 Q3</v>
          </cell>
          <cell r="B115">
            <v>321342</v>
          </cell>
          <cell r="C115">
            <v>25738</v>
          </cell>
          <cell r="D115">
            <v>23208</v>
          </cell>
          <cell r="E115">
            <v>4497</v>
          </cell>
          <cell r="F115">
            <v>4822</v>
          </cell>
          <cell r="G115">
            <v>1076</v>
          </cell>
          <cell r="H115">
            <v>2801</v>
          </cell>
          <cell r="I115">
            <v>633</v>
          </cell>
          <cell r="J115">
            <v>2494</v>
          </cell>
          <cell r="K115">
            <v>3342</v>
          </cell>
          <cell r="L115">
            <v>2580</v>
          </cell>
          <cell r="M115">
            <v>963</v>
          </cell>
          <cell r="N115">
            <v>2530</v>
          </cell>
          <cell r="O115">
            <v>571</v>
          </cell>
          <cell r="P115">
            <v>1959</v>
          </cell>
          <cell r="Q115">
            <v>10717</v>
          </cell>
          <cell r="R115">
            <v>5023</v>
          </cell>
          <cell r="S115">
            <v>1451</v>
          </cell>
          <cell r="T115">
            <v>2276</v>
          </cell>
          <cell r="U115">
            <v>1296</v>
          </cell>
          <cell r="V115">
            <v>4567</v>
          </cell>
          <cell r="W115">
            <v>1127</v>
          </cell>
          <cell r="X115">
            <v>16404</v>
          </cell>
          <cell r="Y115">
            <v>13836</v>
          </cell>
          <cell r="Z115">
            <v>59</v>
          </cell>
          <cell r="AA115">
            <v>12433</v>
          </cell>
          <cell r="AB115">
            <v>1179</v>
          </cell>
          <cell r="AC115">
            <v>165</v>
          </cell>
          <cell r="AD115">
            <v>2568</v>
          </cell>
          <cell r="AE115">
            <v>2553</v>
          </cell>
          <cell r="AF115">
            <v>15</v>
          </cell>
          <cell r="AG115">
            <v>84168</v>
          </cell>
          <cell r="AH115">
            <v>20018</v>
          </cell>
          <cell r="AI115">
            <v>19951</v>
          </cell>
          <cell r="AJ115">
            <v>67</v>
          </cell>
          <cell r="AK115">
            <v>52564</v>
          </cell>
          <cell r="AL115">
            <v>49853</v>
          </cell>
          <cell r="AM115">
            <v>2711</v>
          </cell>
          <cell r="AN115">
            <v>799</v>
          </cell>
          <cell r="AO115">
            <v>312</v>
          </cell>
          <cell r="AP115">
            <v>487</v>
          </cell>
          <cell r="AQ115">
            <v>2433</v>
          </cell>
          <cell r="AR115">
            <v>1216</v>
          </cell>
          <cell r="AS115">
            <v>49</v>
          </cell>
          <cell r="AT115">
            <v>1168</v>
          </cell>
          <cell r="AU115">
            <v>0</v>
          </cell>
          <cell r="AV115">
            <v>8354</v>
          </cell>
          <cell r="AW115">
            <v>4231</v>
          </cell>
          <cell r="AX115">
            <v>3760</v>
          </cell>
          <cell r="AY115">
            <v>261</v>
          </cell>
          <cell r="AZ115">
            <v>102</v>
          </cell>
          <cell r="BA115">
            <v>0</v>
          </cell>
          <cell r="BB115">
            <v>15411</v>
          </cell>
          <cell r="BC115">
            <v>5956</v>
          </cell>
          <cell r="BD115">
            <v>5100</v>
          </cell>
          <cell r="BE115">
            <v>846</v>
          </cell>
          <cell r="BF115">
            <v>10</v>
          </cell>
          <cell r="BG115">
            <v>1838</v>
          </cell>
          <cell r="BH115">
            <v>2019</v>
          </cell>
          <cell r="BI115">
            <v>1595</v>
          </cell>
          <cell r="BJ115">
            <v>304</v>
          </cell>
          <cell r="BK115">
            <v>120</v>
          </cell>
          <cell r="BL115">
            <v>1566</v>
          </cell>
          <cell r="BM115">
            <v>1378</v>
          </cell>
          <cell r="BN115">
            <v>169</v>
          </cell>
          <cell r="BO115">
            <v>1209</v>
          </cell>
          <cell r="BP115">
            <v>2654</v>
          </cell>
          <cell r="BQ115">
            <v>1547</v>
          </cell>
          <cell r="BR115">
            <v>1107</v>
          </cell>
          <cell r="BS115">
            <v>6700</v>
          </cell>
          <cell r="BT115">
            <v>2783</v>
          </cell>
          <cell r="BU115">
            <v>1866</v>
          </cell>
          <cell r="BV115">
            <v>115</v>
          </cell>
          <cell r="BW115">
            <v>802</v>
          </cell>
          <cell r="BX115">
            <v>2197</v>
          </cell>
          <cell r="BY115">
            <v>807</v>
          </cell>
          <cell r="BZ115">
            <v>1167</v>
          </cell>
          <cell r="CA115">
            <v>223</v>
          </cell>
          <cell r="CB115">
            <v>1720</v>
          </cell>
          <cell r="CC115">
            <v>43895</v>
          </cell>
          <cell r="CD115">
            <v>14161</v>
          </cell>
          <cell r="CE115">
            <v>13519</v>
          </cell>
          <cell r="CF115">
            <v>251</v>
          </cell>
          <cell r="CG115">
            <v>391</v>
          </cell>
          <cell r="CH115">
            <v>16415</v>
          </cell>
          <cell r="CI115">
            <v>1332</v>
          </cell>
          <cell r="CJ115">
            <v>7657</v>
          </cell>
          <cell r="CK115">
            <v>4841</v>
          </cell>
          <cell r="CL115">
            <v>2585</v>
          </cell>
          <cell r="CM115">
            <v>13319</v>
          </cell>
          <cell r="CN115">
            <v>2972</v>
          </cell>
          <cell r="CO115">
            <v>2147</v>
          </cell>
          <cell r="CP115">
            <v>5592</v>
          </cell>
          <cell r="CQ115">
            <v>1770</v>
          </cell>
          <cell r="CR115">
            <v>838</v>
          </cell>
          <cell r="CS115">
            <v>7341</v>
          </cell>
          <cell r="CT115">
            <v>317</v>
          </cell>
          <cell r="CU115">
            <v>1664</v>
          </cell>
          <cell r="CV115">
            <v>5360</v>
          </cell>
          <cell r="CW115">
            <v>31326</v>
          </cell>
          <cell r="CX115">
            <v>4760</v>
          </cell>
          <cell r="CY115">
            <v>1413</v>
          </cell>
          <cell r="CZ115">
            <v>471</v>
          </cell>
          <cell r="DA115">
            <v>1426</v>
          </cell>
          <cell r="DB115">
            <v>1392</v>
          </cell>
          <cell r="DC115">
            <v>58</v>
          </cell>
          <cell r="DD115">
            <v>2645</v>
          </cell>
          <cell r="DE115">
            <v>1897</v>
          </cell>
          <cell r="DF115">
            <v>100</v>
          </cell>
          <cell r="DG115">
            <v>648</v>
          </cell>
          <cell r="DH115">
            <v>8570</v>
          </cell>
          <cell r="DI115">
            <v>2943</v>
          </cell>
          <cell r="DJ115">
            <v>1646</v>
          </cell>
          <cell r="DK115">
            <v>1326</v>
          </cell>
          <cell r="DL115">
            <v>1833</v>
          </cell>
          <cell r="DM115">
            <v>822</v>
          </cell>
          <cell r="DN115">
            <v>11769</v>
          </cell>
          <cell r="DO115">
            <v>3117</v>
          </cell>
          <cell r="DP115">
            <v>5694</v>
          </cell>
          <cell r="DQ115">
            <v>2958</v>
          </cell>
          <cell r="DR115">
            <v>3582</v>
          </cell>
          <cell r="DS115">
            <v>954</v>
          </cell>
          <cell r="DT115">
            <v>1147</v>
          </cell>
          <cell r="DU115">
            <v>840</v>
          </cell>
          <cell r="DV115">
            <v>641</v>
          </cell>
          <cell r="DW115">
            <v>0</v>
          </cell>
          <cell r="DX115">
            <v>6826</v>
          </cell>
          <cell r="DY115">
            <v>34567</v>
          </cell>
          <cell r="DZ115">
            <v>26600</v>
          </cell>
          <cell r="EA115">
            <v>25181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1419</v>
          </cell>
          <cell r="EG115">
            <v>7967</v>
          </cell>
          <cell r="EH115">
            <v>38249</v>
          </cell>
          <cell r="EI115">
            <v>7525</v>
          </cell>
          <cell r="EJ115">
            <v>2003</v>
          </cell>
          <cell r="EK115">
            <v>235</v>
          </cell>
          <cell r="EL115">
            <v>5287</v>
          </cell>
          <cell r="EM115">
            <v>1390</v>
          </cell>
          <cell r="EN115">
            <v>3242</v>
          </cell>
          <cell r="EO115">
            <v>2357</v>
          </cell>
          <cell r="EP115">
            <v>885</v>
          </cell>
          <cell r="EQ115">
            <v>4001</v>
          </cell>
          <cell r="ER115">
            <v>4752</v>
          </cell>
          <cell r="ES115">
            <v>2031</v>
          </cell>
          <cell r="ET115">
            <v>266</v>
          </cell>
          <cell r="EU115">
            <v>695</v>
          </cell>
          <cell r="EV115">
            <v>1042</v>
          </cell>
          <cell r="EW115">
            <v>718</v>
          </cell>
          <cell r="EX115">
            <v>13051</v>
          </cell>
          <cell r="EY115">
            <v>5160</v>
          </cell>
          <cell r="EZ115">
            <v>7891</v>
          </cell>
          <cell r="FA115">
            <v>4288</v>
          </cell>
          <cell r="FB115">
            <v>325060</v>
          </cell>
          <cell r="FC115">
            <v>0</v>
          </cell>
          <cell r="FD115">
            <v>32001</v>
          </cell>
          <cell r="FE115">
            <v>7710</v>
          </cell>
          <cell r="FF115">
            <v>802</v>
          </cell>
          <cell r="FG115">
            <v>14161</v>
          </cell>
          <cell r="FH115">
            <v>1664</v>
          </cell>
          <cell r="FI115">
            <v>5307</v>
          </cell>
          <cell r="FJ115">
            <v>2357</v>
          </cell>
          <cell r="FK115">
            <v>131125</v>
          </cell>
          <cell r="FL115">
            <v>25738</v>
          </cell>
          <cell r="FM115">
            <v>10717</v>
          </cell>
          <cell r="FN115">
            <v>16224</v>
          </cell>
          <cell r="FO115">
            <v>9882</v>
          </cell>
          <cell r="FP115">
            <v>14174</v>
          </cell>
          <cell r="FQ115">
            <v>2783</v>
          </cell>
          <cell r="FR115">
            <v>23150</v>
          </cell>
          <cell r="FS115">
            <v>1664</v>
          </cell>
          <cell r="FT115">
            <v>18029</v>
          </cell>
          <cell r="FU115">
            <v>8764</v>
          </cell>
          <cell r="FV115">
            <v>68596</v>
          </cell>
          <cell r="FW115">
            <v>25738</v>
          </cell>
          <cell r="FX115">
            <v>10717</v>
          </cell>
          <cell r="FY115">
            <v>9882</v>
          </cell>
          <cell r="FZ115">
            <v>1547</v>
          </cell>
          <cell r="GA115">
            <v>1981</v>
          </cell>
          <cell r="GB115">
            <v>7657</v>
          </cell>
          <cell r="GC115">
            <v>5787</v>
          </cell>
          <cell r="GD115">
            <v>5287</v>
          </cell>
          <cell r="GE115">
            <v>3718</v>
          </cell>
          <cell r="GF115">
            <v>-11285</v>
          </cell>
          <cell r="GG115">
            <v>15003</v>
          </cell>
          <cell r="GH115">
            <v>190217</v>
          </cell>
          <cell r="GI115">
            <v>180</v>
          </cell>
          <cell r="GJ115">
            <v>74286</v>
          </cell>
          <cell r="GK115">
            <v>1237</v>
          </cell>
          <cell r="GL115">
            <v>3917</v>
          </cell>
          <cell r="GM115">
            <v>20745</v>
          </cell>
          <cell r="GN115">
            <v>5677</v>
          </cell>
          <cell r="GO115">
            <v>13297</v>
          </cell>
          <cell r="GP115">
            <v>6826</v>
          </cell>
          <cell r="GQ115">
            <v>34567</v>
          </cell>
          <cell r="GR115">
            <v>29485</v>
          </cell>
          <cell r="GS115">
            <v>30528</v>
          </cell>
          <cell r="GT115">
            <v>16224</v>
          </cell>
          <cell r="GU115">
            <v>4917</v>
          </cell>
          <cell r="GV115">
            <v>1332</v>
          </cell>
          <cell r="GW115">
            <v>6935</v>
          </cell>
          <cell r="GX115">
            <v>1120</v>
          </cell>
        </row>
        <row r="116">
          <cell r="A116" t="str">
            <v>2017 Q4</v>
          </cell>
          <cell r="B116">
            <v>324161</v>
          </cell>
          <cell r="C116">
            <v>26380</v>
          </cell>
          <cell r="D116">
            <v>23839</v>
          </cell>
          <cell r="E116">
            <v>4785</v>
          </cell>
          <cell r="F116">
            <v>4891</v>
          </cell>
          <cell r="G116">
            <v>1085</v>
          </cell>
          <cell r="H116">
            <v>2786</v>
          </cell>
          <cell r="I116">
            <v>665</v>
          </cell>
          <cell r="J116">
            <v>2587</v>
          </cell>
          <cell r="K116">
            <v>3404</v>
          </cell>
          <cell r="L116">
            <v>2570</v>
          </cell>
          <cell r="M116">
            <v>1066</v>
          </cell>
          <cell r="N116">
            <v>2541</v>
          </cell>
          <cell r="O116">
            <v>569</v>
          </cell>
          <cell r="P116">
            <v>1972</v>
          </cell>
          <cell r="Q116">
            <v>10875</v>
          </cell>
          <cell r="R116">
            <v>5148</v>
          </cell>
          <cell r="S116">
            <v>1484</v>
          </cell>
          <cell r="T116">
            <v>2338</v>
          </cell>
          <cell r="U116">
            <v>1326</v>
          </cell>
          <cell r="V116">
            <v>4605</v>
          </cell>
          <cell r="W116">
            <v>1122</v>
          </cell>
          <cell r="X116">
            <v>16432</v>
          </cell>
          <cell r="Y116">
            <v>13803</v>
          </cell>
          <cell r="Z116">
            <v>54</v>
          </cell>
          <cell r="AA116">
            <v>12456</v>
          </cell>
          <cell r="AB116">
            <v>1150</v>
          </cell>
          <cell r="AC116">
            <v>143</v>
          </cell>
          <cell r="AD116">
            <v>2629</v>
          </cell>
          <cell r="AE116">
            <v>2616</v>
          </cell>
          <cell r="AF116">
            <v>13</v>
          </cell>
          <cell r="AG116">
            <v>84306</v>
          </cell>
          <cell r="AH116">
            <v>20060</v>
          </cell>
          <cell r="AI116">
            <v>19993</v>
          </cell>
          <cell r="AJ116">
            <v>67</v>
          </cell>
          <cell r="AK116">
            <v>52998</v>
          </cell>
          <cell r="AL116">
            <v>50264</v>
          </cell>
          <cell r="AM116">
            <v>2734</v>
          </cell>
          <cell r="AN116">
            <v>774</v>
          </cell>
          <cell r="AO116">
            <v>317</v>
          </cell>
          <cell r="AP116">
            <v>457</v>
          </cell>
          <cell r="AQ116">
            <v>2457</v>
          </cell>
          <cell r="AR116">
            <v>1234</v>
          </cell>
          <cell r="AS116">
            <v>51</v>
          </cell>
          <cell r="AT116">
            <v>1172</v>
          </cell>
          <cell r="AU116">
            <v>0</v>
          </cell>
          <cell r="AV116">
            <v>8017</v>
          </cell>
          <cell r="AW116">
            <v>4308</v>
          </cell>
          <cell r="AX116">
            <v>3289</v>
          </cell>
          <cell r="AY116">
            <v>302</v>
          </cell>
          <cell r="AZ116">
            <v>118</v>
          </cell>
          <cell r="BA116">
            <v>0</v>
          </cell>
          <cell r="BB116">
            <v>15632</v>
          </cell>
          <cell r="BC116">
            <v>6063</v>
          </cell>
          <cell r="BD116">
            <v>5155</v>
          </cell>
          <cell r="BE116">
            <v>901</v>
          </cell>
          <cell r="BF116">
            <v>7</v>
          </cell>
          <cell r="BG116">
            <v>1868</v>
          </cell>
          <cell r="BH116">
            <v>2207</v>
          </cell>
          <cell r="BI116">
            <v>1657</v>
          </cell>
          <cell r="BJ116">
            <v>431</v>
          </cell>
          <cell r="BK116">
            <v>119</v>
          </cell>
          <cell r="BL116">
            <v>1597</v>
          </cell>
          <cell r="BM116">
            <v>1325</v>
          </cell>
          <cell r="BN116">
            <v>149</v>
          </cell>
          <cell r="BO116">
            <v>1176</v>
          </cell>
          <cell r="BP116">
            <v>2572</v>
          </cell>
          <cell r="BQ116">
            <v>1573</v>
          </cell>
          <cell r="BR116">
            <v>999</v>
          </cell>
          <cell r="BS116">
            <v>6794</v>
          </cell>
          <cell r="BT116">
            <v>2843</v>
          </cell>
          <cell r="BU116">
            <v>1936</v>
          </cell>
          <cell r="BV116">
            <v>115</v>
          </cell>
          <cell r="BW116">
            <v>792</v>
          </cell>
          <cell r="BX116">
            <v>2231</v>
          </cell>
          <cell r="BY116">
            <v>922</v>
          </cell>
          <cell r="BZ116">
            <v>1115</v>
          </cell>
          <cell r="CA116">
            <v>194</v>
          </cell>
          <cell r="CB116">
            <v>1720</v>
          </cell>
          <cell r="CC116">
            <v>45555</v>
          </cell>
          <cell r="CD116">
            <v>14349</v>
          </cell>
          <cell r="CE116">
            <v>13690</v>
          </cell>
          <cell r="CF116">
            <v>251</v>
          </cell>
          <cell r="CG116">
            <v>408</v>
          </cell>
          <cell r="CH116">
            <v>17014</v>
          </cell>
          <cell r="CI116">
            <v>1336</v>
          </cell>
          <cell r="CJ116">
            <v>8123</v>
          </cell>
          <cell r="CK116">
            <v>4889</v>
          </cell>
          <cell r="CL116">
            <v>2666</v>
          </cell>
          <cell r="CM116">
            <v>14192</v>
          </cell>
          <cell r="CN116">
            <v>3042</v>
          </cell>
          <cell r="CO116">
            <v>2140</v>
          </cell>
          <cell r="CP116">
            <v>6268</v>
          </cell>
          <cell r="CQ116">
            <v>1861</v>
          </cell>
          <cell r="CR116">
            <v>881</v>
          </cell>
          <cell r="CS116">
            <v>7458</v>
          </cell>
          <cell r="CT116">
            <v>317</v>
          </cell>
          <cell r="CU116">
            <v>1684</v>
          </cell>
          <cell r="CV116">
            <v>5457</v>
          </cell>
          <cell r="CW116">
            <v>31325</v>
          </cell>
          <cell r="CX116">
            <v>4712</v>
          </cell>
          <cell r="CY116">
            <v>1487</v>
          </cell>
          <cell r="CZ116">
            <v>504</v>
          </cell>
          <cell r="DA116">
            <v>1374</v>
          </cell>
          <cell r="DB116">
            <v>1293</v>
          </cell>
          <cell r="DC116">
            <v>54</v>
          </cell>
          <cell r="DD116">
            <v>2566</v>
          </cell>
          <cell r="DE116">
            <v>1791</v>
          </cell>
          <cell r="DF116">
            <v>116</v>
          </cell>
          <cell r="DG116">
            <v>659</v>
          </cell>
          <cell r="DH116">
            <v>8691</v>
          </cell>
          <cell r="DI116">
            <v>2995</v>
          </cell>
          <cell r="DJ116">
            <v>1602</v>
          </cell>
          <cell r="DK116">
            <v>1361</v>
          </cell>
          <cell r="DL116">
            <v>1883</v>
          </cell>
          <cell r="DM116">
            <v>850</v>
          </cell>
          <cell r="DN116">
            <v>11806</v>
          </cell>
          <cell r="DO116">
            <v>3164</v>
          </cell>
          <cell r="DP116">
            <v>5736</v>
          </cell>
          <cell r="DQ116">
            <v>2906</v>
          </cell>
          <cell r="DR116">
            <v>3550</v>
          </cell>
          <cell r="DS116">
            <v>944</v>
          </cell>
          <cell r="DT116">
            <v>1117</v>
          </cell>
          <cell r="DU116">
            <v>883</v>
          </cell>
          <cell r="DV116">
            <v>606</v>
          </cell>
          <cell r="DW116">
            <v>0</v>
          </cell>
          <cell r="DX116">
            <v>6918</v>
          </cell>
          <cell r="DY116">
            <v>34073</v>
          </cell>
          <cell r="DZ116">
            <v>26682</v>
          </cell>
          <cell r="EA116">
            <v>25281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1401</v>
          </cell>
          <cell r="EG116">
            <v>7391</v>
          </cell>
          <cell r="EH116">
            <v>38413</v>
          </cell>
          <cell r="EI116">
            <v>7562</v>
          </cell>
          <cell r="EJ116">
            <v>2001</v>
          </cell>
          <cell r="EK116">
            <v>95</v>
          </cell>
          <cell r="EL116">
            <v>5466</v>
          </cell>
          <cell r="EM116">
            <v>1401</v>
          </cell>
          <cell r="EN116">
            <v>3252</v>
          </cell>
          <cell r="EO116">
            <v>2358</v>
          </cell>
          <cell r="EP116">
            <v>894</v>
          </cell>
          <cell r="EQ116">
            <v>4118</v>
          </cell>
          <cell r="ER116">
            <v>4694</v>
          </cell>
          <cell r="ES116">
            <v>1782</v>
          </cell>
          <cell r="ET116">
            <v>459</v>
          </cell>
          <cell r="EU116">
            <v>736</v>
          </cell>
          <cell r="EV116">
            <v>1003</v>
          </cell>
          <cell r="EW116">
            <v>714</v>
          </cell>
          <cell r="EX116">
            <v>12995</v>
          </cell>
          <cell r="EY116">
            <v>5147</v>
          </cell>
          <cell r="EZ116">
            <v>7848</v>
          </cell>
          <cell r="FA116">
            <v>4391</v>
          </cell>
          <cell r="FB116">
            <v>328601</v>
          </cell>
          <cell r="FC116">
            <v>0</v>
          </cell>
          <cell r="FD116">
            <v>32317</v>
          </cell>
          <cell r="FE116">
            <v>7862</v>
          </cell>
          <cell r="FF116">
            <v>792</v>
          </cell>
          <cell r="FG116">
            <v>14349</v>
          </cell>
          <cell r="FH116">
            <v>1684</v>
          </cell>
          <cell r="FI116">
            <v>5272</v>
          </cell>
          <cell r="FJ116">
            <v>2358</v>
          </cell>
          <cell r="FK116">
            <v>132710</v>
          </cell>
          <cell r="FL116">
            <v>26380</v>
          </cell>
          <cell r="FM116">
            <v>10875</v>
          </cell>
          <cell r="FN116">
            <v>16276</v>
          </cell>
          <cell r="FO116">
            <v>9568</v>
          </cell>
          <cell r="FP116">
            <v>14507</v>
          </cell>
          <cell r="FQ116">
            <v>2843</v>
          </cell>
          <cell r="FR116">
            <v>23808</v>
          </cell>
          <cell r="FS116">
            <v>1684</v>
          </cell>
          <cell r="FT116">
            <v>17956</v>
          </cell>
          <cell r="FU116">
            <v>8813</v>
          </cell>
          <cell r="FV116">
            <v>69886</v>
          </cell>
          <cell r="FW116">
            <v>26380</v>
          </cell>
          <cell r="FX116">
            <v>10875</v>
          </cell>
          <cell r="FY116">
            <v>9568</v>
          </cell>
          <cell r="FZ116">
            <v>1573</v>
          </cell>
          <cell r="GA116">
            <v>2051</v>
          </cell>
          <cell r="GB116">
            <v>8123</v>
          </cell>
          <cell r="GC116">
            <v>5850</v>
          </cell>
          <cell r="GD116">
            <v>5466</v>
          </cell>
          <cell r="GE116">
            <v>4440</v>
          </cell>
          <cell r="GF116">
            <v>-11163</v>
          </cell>
          <cell r="GG116">
            <v>15603</v>
          </cell>
          <cell r="GH116">
            <v>191451</v>
          </cell>
          <cell r="GI116">
            <v>155</v>
          </cell>
          <cell r="GJ116">
            <v>74738</v>
          </cell>
          <cell r="GK116">
            <v>1125</v>
          </cell>
          <cell r="GL116">
            <v>3951</v>
          </cell>
          <cell r="GM116">
            <v>21747</v>
          </cell>
          <cell r="GN116">
            <v>5774</v>
          </cell>
          <cell r="GO116">
            <v>13369</v>
          </cell>
          <cell r="GP116">
            <v>6918</v>
          </cell>
          <cell r="GQ116">
            <v>34073</v>
          </cell>
          <cell r="GR116">
            <v>29600</v>
          </cell>
          <cell r="GS116">
            <v>30507</v>
          </cell>
          <cell r="GT116">
            <v>16276</v>
          </cell>
          <cell r="GU116">
            <v>5072</v>
          </cell>
          <cell r="GV116">
            <v>1336</v>
          </cell>
          <cell r="GW116">
            <v>6834</v>
          </cell>
          <cell r="GX116">
            <v>989</v>
          </cell>
        </row>
        <row r="117">
          <cell r="A117" t="str">
            <v>2018 Q1</v>
          </cell>
          <cell r="B117">
            <v>327440</v>
          </cell>
          <cell r="C117">
            <v>26420</v>
          </cell>
          <cell r="D117">
            <v>23852</v>
          </cell>
          <cell r="E117">
            <v>4773</v>
          </cell>
          <cell r="F117">
            <v>4750</v>
          </cell>
          <cell r="G117">
            <v>1073</v>
          </cell>
          <cell r="H117">
            <v>2904</v>
          </cell>
          <cell r="I117">
            <v>678</v>
          </cell>
          <cell r="J117">
            <v>2630</v>
          </cell>
          <cell r="K117">
            <v>3378</v>
          </cell>
          <cell r="L117">
            <v>2634</v>
          </cell>
          <cell r="M117">
            <v>1032</v>
          </cell>
          <cell r="N117">
            <v>2568</v>
          </cell>
          <cell r="O117">
            <v>590</v>
          </cell>
          <cell r="P117">
            <v>1978</v>
          </cell>
          <cell r="Q117">
            <v>10808</v>
          </cell>
          <cell r="R117">
            <v>5142</v>
          </cell>
          <cell r="S117">
            <v>1503</v>
          </cell>
          <cell r="T117">
            <v>2285</v>
          </cell>
          <cell r="U117">
            <v>1354</v>
          </cell>
          <cell r="V117">
            <v>4578</v>
          </cell>
          <cell r="W117">
            <v>1088</v>
          </cell>
          <cell r="X117">
            <v>16529</v>
          </cell>
          <cell r="Y117">
            <v>13930</v>
          </cell>
          <cell r="Z117">
            <v>10</v>
          </cell>
          <cell r="AA117">
            <v>12453</v>
          </cell>
          <cell r="AB117">
            <v>1306</v>
          </cell>
          <cell r="AC117">
            <v>161</v>
          </cell>
          <cell r="AD117">
            <v>2599</v>
          </cell>
          <cell r="AE117">
            <v>2587</v>
          </cell>
          <cell r="AF117">
            <v>12</v>
          </cell>
          <cell r="AG117">
            <v>85646</v>
          </cell>
          <cell r="AH117">
            <v>20145</v>
          </cell>
          <cell r="AI117">
            <v>20074</v>
          </cell>
          <cell r="AJ117">
            <v>71</v>
          </cell>
          <cell r="AK117">
            <v>53443</v>
          </cell>
          <cell r="AL117">
            <v>50649</v>
          </cell>
          <cell r="AM117">
            <v>2794</v>
          </cell>
          <cell r="AN117">
            <v>786</v>
          </cell>
          <cell r="AO117">
            <v>314</v>
          </cell>
          <cell r="AP117">
            <v>472</v>
          </cell>
          <cell r="AQ117">
            <v>2495</v>
          </cell>
          <cell r="AR117">
            <v>1254</v>
          </cell>
          <cell r="AS117">
            <v>49</v>
          </cell>
          <cell r="AT117">
            <v>1192</v>
          </cell>
          <cell r="AU117">
            <v>0</v>
          </cell>
          <cell r="AV117">
            <v>8777</v>
          </cell>
          <cell r="AW117">
            <v>4398</v>
          </cell>
          <cell r="AX117">
            <v>3883</v>
          </cell>
          <cell r="AY117">
            <v>366</v>
          </cell>
          <cell r="AZ117">
            <v>130</v>
          </cell>
          <cell r="BA117">
            <v>0</v>
          </cell>
          <cell r="BB117">
            <v>16131</v>
          </cell>
          <cell r="BC117">
            <v>5723</v>
          </cell>
          <cell r="BD117">
            <v>4727</v>
          </cell>
          <cell r="BE117">
            <v>986</v>
          </cell>
          <cell r="BF117">
            <v>10</v>
          </cell>
          <cell r="BG117">
            <v>1748</v>
          </cell>
          <cell r="BH117">
            <v>2828</v>
          </cell>
          <cell r="BI117">
            <v>2306</v>
          </cell>
          <cell r="BJ117">
            <v>382</v>
          </cell>
          <cell r="BK117">
            <v>140</v>
          </cell>
          <cell r="BL117">
            <v>1629</v>
          </cell>
          <cell r="BM117">
            <v>1551</v>
          </cell>
          <cell r="BN117">
            <v>212</v>
          </cell>
          <cell r="BO117">
            <v>1339</v>
          </cell>
          <cell r="BP117">
            <v>2652</v>
          </cell>
          <cell r="BQ117">
            <v>1571</v>
          </cell>
          <cell r="BR117">
            <v>1081</v>
          </cell>
          <cell r="BS117">
            <v>6824</v>
          </cell>
          <cell r="BT117">
            <v>2832</v>
          </cell>
          <cell r="BU117">
            <v>1863</v>
          </cell>
          <cell r="BV117">
            <v>110</v>
          </cell>
          <cell r="BW117">
            <v>859</v>
          </cell>
          <cell r="BX117">
            <v>2247</v>
          </cell>
          <cell r="BY117">
            <v>932</v>
          </cell>
          <cell r="BZ117">
            <v>1115</v>
          </cell>
          <cell r="CA117">
            <v>200</v>
          </cell>
          <cell r="CB117">
            <v>1745</v>
          </cell>
          <cell r="CC117">
            <v>46066</v>
          </cell>
          <cell r="CD117">
            <v>14083</v>
          </cell>
          <cell r="CE117">
            <v>13447</v>
          </cell>
          <cell r="CF117">
            <v>254</v>
          </cell>
          <cell r="CG117">
            <v>382</v>
          </cell>
          <cell r="CH117">
            <v>17128</v>
          </cell>
          <cell r="CI117">
            <v>1312</v>
          </cell>
          <cell r="CJ117">
            <v>8253</v>
          </cell>
          <cell r="CK117">
            <v>4851</v>
          </cell>
          <cell r="CL117">
            <v>2712</v>
          </cell>
          <cell r="CM117">
            <v>14855</v>
          </cell>
          <cell r="CN117">
            <v>3012</v>
          </cell>
          <cell r="CO117">
            <v>2151</v>
          </cell>
          <cell r="CP117">
            <v>6614</v>
          </cell>
          <cell r="CQ117">
            <v>2180</v>
          </cell>
          <cell r="CR117">
            <v>898</v>
          </cell>
          <cell r="CS117">
            <v>7278</v>
          </cell>
          <cell r="CT117">
            <v>283</v>
          </cell>
          <cell r="CU117">
            <v>1771</v>
          </cell>
          <cell r="CV117">
            <v>5224</v>
          </cell>
          <cell r="CW117">
            <v>31245</v>
          </cell>
          <cell r="CX117">
            <v>4881</v>
          </cell>
          <cell r="CY117">
            <v>1509</v>
          </cell>
          <cell r="CZ117">
            <v>571</v>
          </cell>
          <cell r="DA117">
            <v>1278</v>
          </cell>
          <cell r="DB117">
            <v>1473</v>
          </cell>
          <cell r="DC117">
            <v>50</v>
          </cell>
          <cell r="DD117">
            <v>2445</v>
          </cell>
          <cell r="DE117">
            <v>1673</v>
          </cell>
          <cell r="DF117">
            <v>104</v>
          </cell>
          <cell r="DG117">
            <v>668</v>
          </cell>
          <cell r="DH117">
            <v>8626</v>
          </cell>
          <cell r="DI117">
            <v>2905</v>
          </cell>
          <cell r="DJ117">
            <v>1522</v>
          </cell>
          <cell r="DK117">
            <v>1397</v>
          </cell>
          <cell r="DL117">
            <v>1933</v>
          </cell>
          <cell r="DM117">
            <v>869</v>
          </cell>
          <cell r="DN117">
            <v>11690</v>
          </cell>
          <cell r="DO117">
            <v>3036</v>
          </cell>
          <cell r="DP117">
            <v>5828</v>
          </cell>
          <cell r="DQ117">
            <v>2826</v>
          </cell>
          <cell r="DR117">
            <v>3603</v>
          </cell>
          <cell r="DS117">
            <v>963</v>
          </cell>
          <cell r="DT117">
            <v>1104</v>
          </cell>
          <cell r="DU117">
            <v>756</v>
          </cell>
          <cell r="DV117">
            <v>780</v>
          </cell>
          <cell r="DW117">
            <v>0</v>
          </cell>
          <cell r="DX117">
            <v>7021</v>
          </cell>
          <cell r="DY117">
            <v>34711</v>
          </cell>
          <cell r="DZ117">
            <v>26662</v>
          </cell>
          <cell r="EA117">
            <v>25226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1436</v>
          </cell>
          <cell r="EG117">
            <v>8049</v>
          </cell>
          <cell r="EH117">
            <v>38761</v>
          </cell>
          <cell r="EI117">
            <v>7655</v>
          </cell>
          <cell r="EJ117">
            <v>2049</v>
          </cell>
          <cell r="EK117">
            <v>262</v>
          </cell>
          <cell r="EL117">
            <v>5344</v>
          </cell>
          <cell r="EM117">
            <v>1413</v>
          </cell>
          <cell r="EN117">
            <v>3260</v>
          </cell>
          <cell r="EO117">
            <v>2452</v>
          </cell>
          <cell r="EP117">
            <v>808</v>
          </cell>
          <cell r="EQ117">
            <v>4254</v>
          </cell>
          <cell r="ER117">
            <v>4295</v>
          </cell>
          <cell r="ES117">
            <v>1585</v>
          </cell>
          <cell r="ET117">
            <v>424</v>
          </cell>
          <cell r="EU117">
            <v>728</v>
          </cell>
          <cell r="EV117">
            <v>888</v>
          </cell>
          <cell r="EW117">
            <v>670</v>
          </cell>
          <cell r="EX117">
            <v>13593</v>
          </cell>
          <cell r="EY117">
            <v>5924</v>
          </cell>
          <cell r="EZ117">
            <v>7669</v>
          </cell>
          <cell r="FA117">
            <v>4291</v>
          </cell>
          <cell r="FB117">
            <v>332393</v>
          </cell>
          <cell r="FC117">
            <v>0</v>
          </cell>
          <cell r="FD117">
            <v>32531</v>
          </cell>
          <cell r="FE117">
            <v>8231</v>
          </cell>
          <cell r="FF117">
            <v>859</v>
          </cell>
          <cell r="FG117">
            <v>14083</v>
          </cell>
          <cell r="FH117">
            <v>1771</v>
          </cell>
          <cell r="FI117">
            <v>5135</v>
          </cell>
          <cell r="FJ117">
            <v>2452</v>
          </cell>
          <cell r="FK117">
            <v>133914</v>
          </cell>
          <cell r="FL117">
            <v>26420</v>
          </cell>
          <cell r="FM117">
            <v>10808</v>
          </cell>
          <cell r="FN117">
            <v>16356</v>
          </cell>
          <cell r="FO117">
            <v>10345</v>
          </cell>
          <cell r="FP117">
            <v>14900</v>
          </cell>
          <cell r="FQ117">
            <v>2832</v>
          </cell>
          <cell r="FR117">
            <v>23648</v>
          </cell>
          <cell r="FS117">
            <v>1771</v>
          </cell>
          <cell r="FT117">
            <v>17968</v>
          </cell>
          <cell r="FU117">
            <v>8866</v>
          </cell>
          <cell r="FV117">
            <v>70684</v>
          </cell>
          <cell r="FW117">
            <v>26420</v>
          </cell>
          <cell r="FX117">
            <v>10808</v>
          </cell>
          <cell r="FY117">
            <v>10345</v>
          </cell>
          <cell r="FZ117">
            <v>1571</v>
          </cell>
          <cell r="GA117">
            <v>1973</v>
          </cell>
          <cell r="GB117">
            <v>8253</v>
          </cell>
          <cell r="GC117">
            <v>5970</v>
          </cell>
          <cell r="GD117">
            <v>5344</v>
          </cell>
          <cell r="GE117">
            <v>4953</v>
          </cell>
          <cell r="GF117">
            <v>-10446</v>
          </cell>
          <cell r="GG117">
            <v>15399</v>
          </cell>
          <cell r="GH117">
            <v>193526</v>
          </cell>
          <cell r="GI117">
            <v>173</v>
          </cell>
          <cell r="GJ117">
            <v>75301</v>
          </cell>
          <cell r="GK117">
            <v>1231</v>
          </cell>
          <cell r="GL117">
            <v>3992</v>
          </cell>
          <cell r="GM117">
            <v>22418</v>
          </cell>
          <cell r="GN117">
            <v>5507</v>
          </cell>
          <cell r="GO117">
            <v>13277</v>
          </cell>
          <cell r="GP117">
            <v>7021</v>
          </cell>
          <cell r="GQ117">
            <v>34711</v>
          </cell>
          <cell r="GR117">
            <v>29895</v>
          </cell>
          <cell r="GS117">
            <v>30699</v>
          </cell>
          <cell r="GT117">
            <v>16356</v>
          </cell>
          <cell r="GU117">
            <v>5098</v>
          </cell>
          <cell r="GV117">
            <v>1312</v>
          </cell>
          <cell r="GW117">
            <v>6863</v>
          </cell>
          <cell r="GX117">
            <v>1070</v>
          </cell>
        </row>
        <row r="118">
          <cell r="A118" t="str">
            <v>2018 Q2</v>
          </cell>
          <cell r="B118">
            <v>327589</v>
          </cell>
          <cell r="C118">
            <v>26466</v>
          </cell>
          <cell r="D118">
            <v>23882</v>
          </cell>
          <cell r="E118">
            <v>4691</v>
          </cell>
          <cell r="F118">
            <v>4737</v>
          </cell>
          <cell r="G118">
            <v>1064</v>
          </cell>
          <cell r="H118">
            <v>2850</v>
          </cell>
          <cell r="I118">
            <v>705</v>
          </cell>
          <cell r="J118">
            <v>2578</v>
          </cell>
          <cell r="K118">
            <v>3376</v>
          </cell>
          <cell r="L118">
            <v>2807</v>
          </cell>
          <cell r="M118">
            <v>1074</v>
          </cell>
          <cell r="N118">
            <v>2584</v>
          </cell>
          <cell r="O118">
            <v>586</v>
          </cell>
          <cell r="P118">
            <v>1998</v>
          </cell>
          <cell r="Q118">
            <v>10965</v>
          </cell>
          <cell r="R118">
            <v>5414</v>
          </cell>
          <cell r="S118">
            <v>1570</v>
          </cell>
          <cell r="T118">
            <v>2383</v>
          </cell>
          <cell r="U118">
            <v>1461</v>
          </cell>
          <cell r="V118">
            <v>4531</v>
          </cell>
          <cell r="W118">
            <v>1020</v>
          </cell>
          <cell r="X118">
            <v>16588</v>
          </cell>
          <cell r="Y118">
            <v>13936</v>
          </cell>
          <cell r="Z118">
            <v>10</v>
          </cell>
          <cell r="AA118">
            <v>12496</v>
          </cell>
          <cell r="AB118">
            <v>1245</v>
          </cell>
          <cell r="AC118">
            <v>185</v>
          </cell>
          <cell r="AD118">
            <v>2652</v>
          </cell>
          <cell r="AE118">
            <v>2641</v>
          </cell>
          <cell r="AF118">
            <v>11</v>
          </cell>
          <cell r="AG118">
            <v>85252</v>
          </cell>
          <cell r="AH118">
            <v>20300</v>
          </cell>
          <cell r="AI118">
            <v>20228</v>
          </cell>
          <cell r="AJ118">
            <v>72</v>
          </cell>
          <cell r="AK118">
            <v>53821</v>
          </cell>
          <cell r="AL118">
            <v>50995</v>
          </cell>
          <cell r="AM118">
            <v>2826</v>
          </cell>
          <cell r="AN118">
            <v>759</v>
          </cell>
          <cell r="AO118">
            <v>310</v>
          </cell>
          <cell r="AP118">
            <v>449</v>
          </cell>
          <cell r="AQ118">
            <v>2528</v>
          </cell>
          <cell r="AR118">
            <v>1264</v>
          </cell>
          <cell r="AS118">
            <v>57</v>
          </cell>
          <cell r="AT118">
            <v>1207</v>
          </cell>
          <cell r="AU118">
            <v>0</v>
          </cell>
          <cell r="AV118">
            <v>7844</v>
          </cell>
          <cell r="AW118">
            <v>4319</v>
          </cell>
          <cell r="AX118">
            <v>3088</v>
          </cell>
          <cell r="AY118">
            <v>317</v>
          </cell>
          <cell r="AZ118">
            <v>120</v>
          </cell>
          <cell r="BA118">
            <v>0</v>
          </cell>
          <cell r="BB118">
            <v>15764</v>
          </cell>
          <cell r="BC118">
            <v>5610</v>
          </cell>
          <cell r="BD118">
            <v>4594</v>
          </cell>
          <cell r="BE118">
            <v>1008</v>
          </cell>
          <cell r="BF118">
            <v>8</v>
          </cell>
          <cell r="BG118">
            <v>1580</v>
          </cell>
          <cell r="BH118">
            <v>2808</v>
          </cell>
          <cell r="BI118">
            <v>2348</v>
          </cell>
          <cell r="BJ118">
            <v>317</v>
          </cell>
          <cell r="BK118">
            <v>143</v>
          </cell>
          <cell r="BL118">
            <v>1601</v>
          </cell>
          <cell r="BM118">
            <v>1468</v>
          </cell>
          <cell r="BN118">
            <v>170</v>
          </cell>
          <cell r="BO118">
            <v>1298</v>
          </cell>
          <cell r="BP118">
            <v>2697</v>
          </cell>
          <cell r="BQ118">
            <v>1550</v>
          </cell>
          <cell r="BR118">
            <v>1147</v>
          </cell>
          <cell r="BS118">
            <v>6990</v>
          </cell>
          <cell r="BT118">
            <v>2960</v>
          </cell>
          <cell r="BU118">
            <v>1907</v>
          </cell>
          <cell r="BV118">
            <v>137</v>
          </cell>
          <cell r="BW118">
            <v>916</v>
          </cell>
          <cell r="BX118">
            <v>2250</v>
          </cell>
          <cell r="BY118">
            <v>937</v>
          </cell>
          <cell r="BZ118">
            <v>1077</v>
          </cell>
          <cell r="CA118">
            <v>236</v>
          </cell>
          <cell r="CB118">
            <v>1780</v>
          </cell>
          <cell r="CC118">
            <v>46801</v>
          </cell>
          <cell r="CD118">
            <v>14393</v>
          </cell>
          <cell r="CE118">
            <v>13748</v>
          </cell>
          <cell r="CF118">
            <v>266</v>
          </cell>
          <cell r="CG118">
            <v>379</v>
          </cell>
          <cell r="CH118">
            <v>17673</v>
          </cell>
          <cell r="CI118">
            <v>1295</v>
          </cell>
          <cell r="CJ118">
            <v>8617</v>
          </cell>
          <cell r="CK118">
            <v>4887</v>
          </cell>
          <cell r="CL118">
            <v>2874</v>
          </cell>
          <cell r="CM118">
            <v>14735</v>
          </cell>
          <cell r="CN118">
            <v>3046</v>
          </cell>
          <cell r="CO118">
            <v>2174</v>
          </cell>
          <cell r="CP118">
            <v>6588</v>
          </cell>
          <cell r="CQ118">
            <v>2035</v>
          </cell>
          <cell r="CR118">
            <v>892</v>
          </cell>
          <cell r="CS118">
            <v>7069</v>
          </cell>
          <cell r="CT118">
            <v>267</v>
          </cell>
          <cell r="CU118">
            <v>1611</v>
          </cell>
          <cell r="CV118">
            <v>5191</v>
          </cell>
          <cell r="CW118">
            <v>30549</v>
          </cell>
          <cell r="CX118">
            <v>4187</v>
          </cell>
          <cell r="CY118">
            <v>1492</v>
          </cell>
          <cell r="CZ118">
            <v>573</v>
          </cell>
          <cell r="DA118">
            <v>1146</v>
          </cell>
          <cell r="DB118">
            <v>922</v>
          </cell>
          <cell r="DC118">
            <v>54</v>
          </cell>
          <cell r="DD118">
            <v>2414</v>
          </cell>
          <cell r="DE118">
            <v>1664</v>
          </cell>
          <cell r="DF118">
            <v>73</v>
          </cell>
          <cell r="DG118">
            <v>677</v>
          </cell>
          <cell r="DH118">
            <v>8534</v>
          </cell>
          <cell r="DI118">
            <v>2902</v>
          </cell>
          <cell r="DJ118">
            <v>1363</v>
          </cell>
          <cell r="DK118">
            <v>1440</v>
          </cell>
          <cell r="DL118">
            <v>1962</v>
          </cell>
          <cell r="DM118">
            <v>867</v>
          </cell>
          <cell r="DN118">
            <v>11843</v>
          </cell>
          <cell r="DO118">
            <v>3025</v>
          </cell>
          <cell r="DP118">
            <v>5883</v>
          </cell>
          <cell r="DQ118">
            <v>2935</v>
          </cell>
          <cell r="DR118">
            <v>3571</v>
          </cell>
          <cell r="DS118">
            <v>914</v>
          </cell>
          <cell r="DT118">
            <v>1135</v>
          </cell>
          <cell r="DU118">
            <v>891</v>
          </cell>
          <cell r="DV118">
            <v>631</v>
          </cell>
          <cell r="DW118">
            <v>0</v>
          </cell>
          <cell r="DX118">
            <v>7106</v>
          </cell>
          <cell r="DY118">
            <v>35005</v>
          </cell>
          <cell r="DZ118">
            <v>27526</v>
          </cell>
          <cell r="EA118">
            <v>26149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1377</v>
          </cell>
          <cell r="EG118">
            <v>7479</v>
          </cell>
          <cell r="EH118">
            <v>39034</v>
          </cell>
          <cell r="EI118">
            <v>7723</v>
          </cell>
          <cell r="EJ118">
            <v>2060</v>
          </cell>
          <cell r="EK118">
            <v>252</v>
          </cell>
          <cell r="EL118">
            <v>5411</v>
          </cell>
          <cell r="EM118">
            <v>1422</v>
          </cell>
          <cell r="EN118">
            <v>3309</v>
          </cell>
          <cell r="EO118">
            <v>2491</v>
          </cell>
          <cell r="EP118">
            <v>818</v>
          </cell>
          <cell r="EQ118">
            <v>3970</v>
          </cell>
          <cell r="ER118">
            <v>4371</v>
          </cell>
          <cell r="ES118">
            <v>1477</v>
          </cell>
          <cell r="ET118">
            <v>492</v>
          </cell>
          <cell r="EU118">
            <v>714</v>
          </cell>
          <cell r="EV118">
            <v>1021</v>
          </cell>
          <cell r="EW118">
            <v>667</v>
          </cell>
          <cell r="EX118">
            <v>13905</v>
          </cell>
          <cell r="EY118">
            <v>6340</v>
          </cell>
          <cell r="EZ118">
            <v>7565</v>
          </cell>
          <cell r="FA118">
            <v>4334</v>
          </cell>
          <cell r="FB118">
            <v>332504</v>
          </cell>
          <cell r="FC118">
            <v>0</v>
          </cell>
          <cell r="FD118">
            <v>32479</v>
          </cell>
          <cell r="FE118">
            <v>8120</v>
          </cell>
          <cell r="FF118">
            <v>916</v>
          </cell>
          <cell r="FG118">
            <v>14393</v>
          </cell>
          <cell r="FH118">
            <v>1611</v>
          </cell>
          <cell r="FI118">
            <v>4948</v>
          </cell>
          <cell r="FJ118">
            <v>2491</v>
          </cell>
          <cell r="FK118">
            <v>132663</v>
          </cell>
          <cell r="FL118">
            <v>26466</v>
          </cell>
          <cell r="FM118">
            <v>10965</v>
          </cell>
          <cell r="FN118">
            <v>16392</v>
          </cell>
          <cell r="FO118">
            <v>9418</v>
          </cell>
          <cell r="FP118">
            <v>14466</v>
          </cell>
          <cell r="FQ118">
            <v>2960</v>
          </cell>
          <cell r="FR118">
            <v>24305</v>
          </cell>
          <cell r="FS118">
            <v>1611</v>
          </cell>
          <cell r="FT118">
            <v>17108</v>
          </cell>
          <cell r="FU118">
            <v>8972</v>
          </cell>
          <cell r="FV118">
            <v>70530</v>
          </cell>
          <cell r="FW118">
            <v>26466</v>
          </cell>
          <cell r="FX118">
            <v>10965</v>
          </cell>
          <cell r="FY118">
            <v>9418</v>
          </cell>
          <cell r="FZ118">
            <v>1550</v>
          </cell>
          <cell r="GA118">
            <v>2044</v>
          </cell>
          <cell r="GB118">
            <v>8617</v>
          </cell>
          <cell r="GC118">
            <v>6059</v>
          </cell>
          <cell r="GD118">
            <v>5411</v>
          </cell>
          <cell r="GE118">
            <v>4915</v>
          </cell>
          <cell r="GF118">
            <v>-10628</v>
          </cell>
          <cell r="GG118">
            <v>15543</v>
          </cell>
          <cell r="GH118">
            <v>194926</v>
          </cell>
          <cell r="GI118">
            <v>196</v>
          </cell>
          <cell r="GJ118">
            <v>75834</v>
          </cell>
          <cell r="GK118">
            <v>1298</v>
          </cell>
          <cell r="GL118">
            <v>4030</v>
          </cell>
          <cell r="GM118">
            <v>22496</v>
          </cell>
          <cell r="GN118">
            <v>5458</v>
          </cell>
          <cell r="GO118">
            <v>13441</v>
          </cell>
          <cell r="GP118">
            <v>7106</v>
          </cell>
          <cell r="GQ118">
            <v>35005</v>
          </cell>
          <cell r="GR118">
            <v>30062</v>
          </cell>
          <cell r="GS118">
            <v>29654</v>
          </cell>
          <cell r="GT118">
            <v>16392</v>
          </cell>
          <cell r="GU118">
            <v>4796</v>
          </cell>
          <cell r="GV118">
            <v>1295</v>
          </cell>
          <cell r="GW118">
            <v>6101</v>
          </cell>
          <cell r="GX118">
            <v>1070</v>
          </cell>
        </row>
        <row r="119">
          <cell r="A119" t="str">
            <v>2018 Q3</v>
          </cell>
          <cell r="B119">
            <v>332123</v>
          </cell>
          <cell r="C119">
            <v>27183</v>
          </cell>
          <cell r="D119">
            <v>24542</v>
          </cell>
          <cell r="E119">
            <v>4979</v>
          </cell>
          <cell r="F119">
            <v>4810</v>
          </cell>
          <cell r="G119">
            <v>1109</v>
          </cell>
          <cell r="H119">
            <v>2845</v>
          </cell>
          <cell r="I119">
            <v>691</v>
          </cell>
          <cell r="J119">
            <v>2574</v>
          </cell>
          <cell r="K119">
            <v>3524</v>
          </cell>
          <cell r="L119">
            <v>2881</v>
          </cell>
          <cell r="M119">
            <v>1129</v>
          </cell>
          <cell r="N119">
            <v>2641</v>
          </cell>
          <cell r="O119">
            <v>567</v>
          </cell>
          <cell r="P119">
            <v>2074</v>
          </cell>
          <cell r="Q119">
            <v>11163</v>
          </cell>
          <cell r="R119">
            <v>5438</v>
          </cell>
          <cell r="S119">
            <v>1585</v>
          </cell>
          <cell r="T119">
            <v>2392</v>
          </cell>
          <cell r="U119">
            <v>1461</v>
          </cell>
          <cell r="V119">
            <v>4727</v>
          </cell>
          <cell r="W119">
            <v>998</v>
          </cell>
          <cell r="X119">
            <v>16911</v>
          </cell>
          <cell r="Y119">
            <v>14198</v>
          </cell>
          <cell r="Z119">
            <v>21</v>
          </cell>
          <cell r="AA119">
            <v>12615</v>
          </cell>
          <cell r="AB119">
            <v>1366</v>
          </cell>
          <cell r="AC119">
            <v>196</v>
          </cell>
          <cell r="AD119">
            <v>2713</v>
          </cell>
          <cell r="AE119">
            <v>2703</v>
          </cell>
          <cell r="AF119">
            <v>10</v>
          </cell>
          <cell r="AG119">
            <v>86315</v>
          </cell>
          <cell r="AH119">
            <v>20436</v>
          </cell>
          <cell r="AI119">
            <v>20363</v>
          </cell>
          <cell r="AJ119">
            <v>73</v>
          </cell>
          <cell r="AK119">
            <v>54170</v>
          </cell>
          <cell r="AL119">
            <v>51314</v>
          </cell>
          <cell r="AM119">
            <v>2856</v>
          </cell>
          <cell r="AN119">
            <v>769</v>
          </cell>
          <cell r="AO119">
            <v>329</v>
          </cell>
          <cell r="AP119">
            <v>440</v>
          </cell>
          <cell r="AQ119">
            <v>2532</v>
          </cell>
          <cell r="AR119">
            <v>1265</v>
          </cell>
          <cell r="AS119">
            <v>60</v>
          </cell>
          <cell r="AT119">
            <v>1207</v>
          </cell>
          <cell r="AU119">
            <v>0</v>
          </cell>
          <cell r="AV119">
            <v>8408</v>
          </cell>
          <cell r="AW119">
            <v>4512</v>
          </cell>
          <cell r="AX119">
            <v>3403</v>
          </cell>
          <cell r="AY119">
            <v>340</v>
          </cell>
          <cell r="AZ119">
            <v>153</v>
          </cell>
          <cell r="BA119">
            <v>0</v>
          </cell>
          <cell r="BB119">
            <v>15990</v>
          </cell>
          <cell r="BC119">
            <v>5941</v>
          </cell>
          <cell r="BD119">
            <v>4845</v>
          </cell>
          <cell r="BE119">
            <v>1086</v>
          </cell>
          <cell r="BF119">
            <v>10</v>
          </cell>
          <cell r="BG119">
            <v>1625</v>
          </cell>
          <cell r="BH119">
            <v>2224</v>
          </cell>
          <cell r="BI119">
            <v>1743</v>
          </cell>
          <cell r="BJ119">
            <v>335</v>
          </cell>
          <cell r="BK119">
            <v>146</v>
          </cell>
          <cell r="BL119">
            <v>1618</v>
          </cell>
          <cell r="BM119">
            <v>1798</v>
          </cell>
          <cell r="BN119">
            <v>198</v>
          </cell>
          <cell r="BO119">
            <v>1600</v>
          </cell>
          <cell r="BP119">
            <v>2784</v>
          </cell>
          <cell r="BQ119">
            <v>1595</v>
          </cell>
          <cell r="BR119">
            <v>1189</v>
          </cell>
          <cell r="BS119">
            <v>7016</v>
          </cell>
          <cell r="BT119">
            <v>2997</v>
          </cell>
          <cell r="BU119">
            <v>2000</v>
          </cell>
          <cell r="BV119">
            <v>100</v>
          </cell>
          <cell r="BW119">
            <v>897</v>
          </cell>
          <cell r="BX119">
            <v>2258</v>
          </cell>
          <cell r="BY119">
            <v>934</v>
          </cell>
          <cell r="BZ119">
            <v>1062</v>
          </cell>
          <cell r="CA119">
            <v>262</v>
          </cell>
          <cell r="CB119">
            <v>1761</v>
          </cell>
          <cell r="CC119">
            <v>46966</v>
          </cell>
          <cell r="CD119">
            <v>13956</v>
          </cell>
          <cell r="CE119">
            <v>13320</v>
          </cell>
          <cell r="CF119">
            <v>257</v>
          </cell>
          <cell r="CG119">
            <v>379</v>
          </cell>
          <cell r="CH119">
            <v>18126</v>
          </cell>
          <cell r="CI119">
            <v>1284</v>
          </cell>
          <cell r="CJ119">
            <v>8944</v>
          </cell>
          <cell r="CK119">
            <v>5011</v>
          </cell>
          <cell r="CL119">
            <v>2887</v>
          </cell>
          <cell r="CM119">
            <v>14884</v>
          </cell>
          <cell r="CN119">
            <v>3117</v>
          </cell>
          <cell r="CO119">
            <v>2255</v>
          </cell>
          <cell r="CP119">
            <v>6601</v>
          </cell>
          <cell r="CQ119">
            <v>1989</v>
          </cell>
          <cell r="CR119">
            <v>922</v>
          </cell>
          <cell r="CS119">
            <v>7038</v>
          </cell>
          <cell r="CT119">
            <v>257</v>
          </cell>
          <cell r="CU119">
            <v>1581</v>
          </cell>
          <cell r="CV119">
            <v>5200</v>
          </cell>
          <cell r="CW119">
            <v>31423</v>
          </cell>
          <cell r="CX119">
            <v>4699</v>
          </cell>
          <cell r="CY119">
            <v>1503</v>
          </cell>
          <cell r="CZ119">
            <v>555</v>
          </cell>
          <cell r="DA119">
            <v>1106</v>
          </cell>
          <cell r="DB119">
            <v>1474</v>
          </cell>
          <cell r="DC119">
            <v>61</v>
          </cell>
          <cell r="DD119">
            <v>2484</v>
          </cell>
          <cell r="DE119">
            <v>1687</v>
          </cell>
          <cell r="DF119">
            <v>115</v>
          </cell>
          <cell r="DG119">
            <v>682</v>
          </cell>
          <cell r="DH119">
            <v>8515</v>
          </cell>
          <cell r="DI119">
            <v>2956</v>
          </cell>
          <cell r="DJ119">
            <v>1303</v>
          </cell>
          <cell r="DK119">
            <v>1433</v>
          </cell>
          <cell r="DL119">
            <v>1901</v>
          </cell>
          <cell r="DM119">
            <v>922</v>
          </cell>
          <cell r="DN119">
            <v>12133</v>
          </cell>
          <cell r="DO119">
            <v>2947</v>
          </cell>
          <cell r="DP119">
            <v>6164</v>
          </cell>
          <cell r="DQ119">
            <v>3022</v>
          </cell>
          <cell r="DR119">
            <v>3592</v>
          </cell>
          <cell r="DS119">
            <v>913</v>
          </cell>
          <cell r="DT119">
            <v>1135</v>
          </cell>
          <cell r="DU119">
            <v>796</v>
          </cell>
          <cell r="DV119">
            <v>748</v>
          </cell>
          <cell r="DW119">
            <v>0</v>
          </cell>
          <cell r="DX119">
            <v>7172</v>
          </cell>
          <cell r="DY119">
            <v>35276</v>
          </cell>
          <cell r="DZ119">
            <v>27737</v>
          </cell>
          <cell r="EA119">
            <v>26378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1359</v>
          </cell>
          <cell r="EG119">
            <v>7539</v>
          </cell>
          <cell r="EH119">
            <v>39670</v>
          </cell>
          <cell r="EI119">
            <v>7877</v>
          </cell>
          <cell r="EJ119">
            <v>2111</v>
          </cell>
          <cell r="EK119">
            <v>210</v>
          </cell>
          <cell r="EL119">
            <v>5556</v>
          </cell>
          <cell r="EM119">
            <v>1431</v>
          </cell>
          <cell r="EN119">
            <v>3447</v>
          </cell>
          <cell r="EO119">
            <v>2628</v>
          </cell>
          <cell r="EP119">
            <v>819</v>
          </cell>
          <cell r="EQ119">
            <v>3985</v>
          </cell>
          <cell r="ER119">
            <v>4164</v>
          </cell>
          <cell r="ES119">
            <v>1514</v>
          </cell>
          <cell r="ET119">
            <v>473</v>
          </cell>
          <cell r="EU119">
            <v>697</v>
          </cell>
          <cell r="EV119">
            <v>853</v>
          </cell>
          <cell r="EW119">
            <v>627</v>
          </cell>
          <cell r="EX119">
            <v>14409</v>
          </cell>
          <cell r="EY119">
            <v>6741</v>
          </cell>
          <cell r="EZ119">
            <v>7668</v>
          </cell>
          <cell r="FA119">
            <v>4357</v>
          </cell>
          <cell r="FB119">
            <v>336762</v>
          </cell>
          <cell r="FC119">
            <v>0</v>
          </cell>
          <cell r="FD119">
            <v>31900</v>
          </cell>
          <cell r="FE119">
            <v>7872</v>
          </cell>
          <cell r="FF119">
            <v>897</v>
          </cell>
          <cell r="FG119">
            <v>13956</v>
          </cell>
          <cell r="FH119">
            <v>1581</v>
          </cell>
          <cell r="FI119">
            <v>4966</v>
          </cell>
          <cell r="FJ119">
            <v>2628</v>
          </cell>
          <cell r="FK119">
            <v>135298</v>
          </cell>
          <cell r="FL119">
            <v>27183</v>
          </cell>
          <cell r="FM119">
            <v>11163</v>
          </cell>
          <cell r="FN119">
            <v>16705</v>
          </cell>
          <cell r="FO119">
            <v>10002</v>
          </cell>
          <cell r="FP119">
            <v>14645</v>
          </cell>
          <cell r="FQ119">
            <v>2997</v>
          </cell>
          <cell r="FR119">
            <v>24184</v>
          </cell>
          <cell r="FS119">
            <v>1581</v>
          </cell>
          <cell r="FT119">
            <v>17625</v>
          </cell>
          <cell r="FU119">
            <v>9213</v>
          </cell>
          <cell r="FV119">
            <v>72556</v>
          </cell>
          <cell r="FW119">
            <v>27183</v>
          </cell>
          <cell r="FX119">
            <v>11163</v>
          </cell>
          <cell r="FY119">
            <v>10002</v>
          </cell>
          <cell r="FZ119">
            <v>1595</v>
          </cell>
          <cell r="GA119">
            <v>2100</v>
          </cell>
          <cell r="GB119">
            <v>8944</v>
          </cell>
          <cell r="GC119">
            <v>6013</v>
          </cell>
          <cell r="GD119">
            <v>5556</v>
          </cell>
          <cell r="GE119">
            <v>4639</v>
          </cell>
          <cell r="GF119">
            <v>-11323</v>
          </cell>
          <cell r="GG119">
            <v>15962</v>
          </cell>
          <cell r="GH119">
            <v>196825</v>
          </cell>
          <cell r="GI119">
            <v>206</v>
          </cell>
          <cell r="GJ119">
            <v>76313</v>
          </cell>
          <cell r="GK119">
            <v>1345</v>
          </cell>
          <cell r="GL119">
            <v>4019</v>
          </cell>
          <cell r="GM119">
            <v>22782</v>
          </cell>
          <cell r="GN119">
            <v>5457</v>
          </cell>
          <cell r="GO119">
            <v>13798</v>
          </cell>
          <cell r="GP119">
            <v>7172</v>
          </cell>
          <cell r="GQ119">
            <v>35276</v>
          </cell>
          <cell r="GR119">
            <v>30457</v>
          </cell>
          <cell r="GS119">
            <v>30842</v>
          </cell>
          <cell r="GT119">
            <v>16705</v>
          </cell>
          <cell r="GU119">
            <v>5178</v>
          </cell>
          <cell r="GV119">
            <v>1284</v>
          </cell>
          <cell r="GW119">
            <v>6646</v>
          </cell>
          <cell r="GX119">
            <v>1029</v>
          </cell>
        </row>
        <row r="120">
          <cell r="A120" t="str">
            <v>2018 Q4</v>
          </cell>
          <cell r="B120">
            <v>336550</v>
          </cell>
          <cell r="C120">
            <v>27419</v>
          </cell>
          <cell r="D120">
            <v>24734</v>
          </cell>
          <cell r="E120">
            <v>4959</v>
          </cell>
          <cell r="F120">
            <v>4752</v>
          </cell>
          <cell r="G120">
            <v>1105</v>
          </cell>
          <cell r="H120">
            <v>2846</v>
          </cell>
          <cell r="I120">
            <v>671</v>
          </cell>
          <cell r="J120">
            <v>2609</v>
          </cell>
          <cell r="K120">
            <v>3696</v>
          </cell>
          <cell r="L120">
            <v>2979</v>
          </cell>
          <cell r="M120">
            <v>1117</v>
          </cell>
          <cell r="N120">
            <v>2685</v>
          </cell>
          <cell r="O120">
            <v>588</v>
          </cell>
          <cell r="P120">
            <v>2097</v>
          </cell>
          <cell r="Q120">
            <v>11073</v>
          </cell>
          <cell r="R120">
            <v>5392</v>
          </cell>
          <cell r="S120">
            <v>1567</v>
          </cell>
          <cell r="T120">
            <v>2362</v>
          </cell>
          <cell r="U120">
            <v>1463</v>
          </cell>
          <cell r="V120">
            <v>4710</v>
          </cell>
          <cell r="W120">
            <v>971</v>
          </cell>
          <cell r="X120">
            <v>16822</v>
          </cell>
          <cell r="Y120">
            <v>14150</v>
          </cell>
          <cell r="Z120">
            <v>16</v>
          </cell>
          <cell r="AA120">
            <v>12669</v>
          </cell>
          <cell r="AB120">
            <v>1286</v>
          </cell>
          <cell r="AC120">
            <v>179</v>
          </cell>
          <cell r="AD120">
            <v>2672</v>
          </cell>
          <cell r="AE120">
            <v>2661</v>
          </cell>
          <cell r="AF120">
            <v>11</v>
          </cell>
          <cell r="AG120">
            <v>86910</v>
          </cell>
          <cell r="AH120">
            <v>20554</v>
          </cell>
          <cell r="AI120">
            <v>20481</v>
          </cell>
          <cell r="AJ120">
            <v>73</v>
          </cell>
          <cell r="AK120">
            <v>54561</v>
          </cell>
          <cell r="AL120">
            <v>51693</v>
          </cell>
          <cell r="AM120">
            <v>2868</v>
          </cell>
          <cell r="AN120">
            <v>795</v>
          </cell>
          <cell r="AO120">
            <v>338</v>
          </cell>
          <cell r="AP120">
            <v>457</v>
          </cell>
          <cell r="AQ120">
            <v>2519</v>
          </cell>
          <cell r="AR120">
            <v>1261</v>
          </cell>
          <cell r="AS120">
            <v>53</v>
          </cell>
          <cell r="AT120">
            <v>1205</v>
          </cell>
          <cell r="AU120">
            <v>0</v>
          </cell>
          <cell r="AV120">
            <v>8481</v>
          </cell>
          <cell r="AW120">
            <v>4560</v>
          </cell>
          <cell r="AX120">
            <v>3440</v>
          </cell>
          <cell r="AY120">
            <v>340</v>
          </cell>
          <cell r="AZ120">
            <v>141</v>
          </cell>
          <cell r="BA120">
            <v>0</v>
          </cell>
          <cell r="BB120">
            <v>16412</v>
          </cell>
          <cell r="BC120">
            <v>6023</v>
          </cell>
          <cell r="BD120">
            <v>4892</v>
          </cell>
          <cell r="BE120">
            <v>1121</v>
          </cell>
          <cell r="BF120">
            <v>10</v>
          </cell>
          <cell r="BG120">
            <v>1660</v>
          </cell>
          <cell r="BH120">
            <v>2651</v>
          </cell>
          <cell r="BI120">
            <v>2168</v>
          </cell>
          <cell r="BJ120">
            <v>330</v>
          </cell>
          <cell r="BK120">
            <v>153</v>
          </cell>
          <cell r="BL120">
            <v>1668</v>
          </cell>
          <cell r="BM120">
            <v>1616</v>
          </cell>
          <cell r="BN120">
            <v>181</v>
          </cell>
          <cell r="BO120">
            <v>1435</v>
          </cell>
          <cell r="BP120">
            <v>2794</v>
          </cell>
          <cell r="BQ120">
            <v>1596</v>
          </cell>
          <cell r="BR120">
            <v>1198</v>
          </cell>
          <cell r="BS120">
            <v>7094</v>
          </cell>
          <cell r="BT120">
            <v>3046</v>
          </cell>
          <cell r="BU120">
            <v>2022</v>
          </cell>
          <cell r="BV120">
            <v>116</v>
          </cell>
          <cell r="BW120">
            <v>908</v>
          </cell>
          <cell r="BX120">
            <v>2281</v>
          </cell>
          <cell r="BY120">
            <v>879</v>
          </cell>
          <cell r="BZ120">
            <v>1131</v>
          </cell>
          <cell r="CA120">
            <v>271</v>
          </cell>
          <cell r="CB120">
            <v>1767</v>
          </cell>
          <cell r="CC120">
            <v>47746</v>
          </cell>
          <cell r="CD120">
            <v>14557</v>
          </cell>
          <cell r="CE120">
            <v>13919</v>
          </cell>
          <cell r="CF120">
            <v>255</v>
          </cell>
          <cell r="CG120">
            <v>383</v>
          </cell>
          <cell r="CH120">
            <v>18093</v>
          </cell>
          <cell r="CI120">
            <v>1273</v>
          </cell>
          <cell r="CJ120">
            <v>8913</v>
          </cell>
          <cell r="CK120">
            <v>5105</v>
          </cell>
          <cell r="CL120">
            <v>2802</v>
          </cell>
          <cell r="CM120">
            <v>15096</v>
          </cell>
          <cell r="CN120">
            <v>3313</v>
          </cell>
          <cell r="CO120">
            <v>2306</v>
          </cell>
          <cell r="CP120">
            <v>6581</v>
          </cell>
          <cell r="CQ120">
            <v>1923</v>
          </cell>
          <cell r="CR120">
            <v>973</v>
          </cell>
          <cell r="CS120">
            <v>7048</v>
          </cell>
          <cell r="CT120">
            <v>259</v>
          </cell>
          <cell r="CU120">
            <v>1657</v>
          </cell>
          <cell r="CV120">
            <v>5132</v>
          </cell>
          <cell r="CW120">
            <v>32603</v>
          </cell>
          <cell r="CX120">
            <v>5721</v>
          </cell>
          <cell r="CY120">
            <v>1506</v>
          </cell>
          <cell r="CZ120">
            <v>518</v>
          </cell>
          <cell r="DA120">
            <v>1170</v>
          </cell>
          <cell r="DB120">
            <v>2465</v>
          </cell>
          <cell r="DC120">
            <v>62</v>
          </cell>
          <cell r="DD120">
            <v>2517</v>
          </cell>
          <cell r="DE120">
            <v>1758</v>
          </cell>
          <cell r="DF120">
            <v>72</v>
          </cell>
          <cell r="DG120">
            <v>687</v>
          </cell>
          <cell r="DH120">
            <v>8475</v>
          </cell>
          <cell r="DI120">
            <v>2984</v>
          </cell>
          <cell r="DJ120">
            <v>1342</v>
          </cell>
          <cell r="DK120">
            <v>1458</v>
          </cell>
          <cell r="DL120">
            <v>1810</v>
          </cell>
          <cell r="DM120">
            <v>881</v>
          </cell>
          <cell r="DN120">
            <v>12199</v>
          </cell>
          <cell r="DO120">
            <v>2888</v>
          </cell>
          <cell r="DP120">
            <v>6414</v>
          </cell>
          <cell r="DQ120">
            <v>2897</v>
          </cell>
          <cell r="DR120">
            <v>3691</v>
          </cell>
          <cell r="DS120">
            <v>967</v>
          </cell>
          <cell r="DT120">
            <v>1162</v>
          </cell>
          <cell r="DU120">
            <v>864</v>
          </cell>
          <cell r="DV120">
            <v>698</v>
          </cell>
          <cell r="DW120">
            <v>0</v>
          </cell>
          <cell r="DX120">
            <v>7222</v>
          </cell>
          <cell r="DY120">
            <v>35187</v>
          </cell>
          <cell r="DZ120">
            <v>27432</v>
          </cell>
          <cell r="EA120">
            <v>26039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1393</v>
          </cell>
          <cell r="EG120">
            <v>7755</v>
          </cell>
          <cell r="EH120">
            <v>41014</v>
          </cell>
          <cell r="EI120">
            <v>8075</v>
          </cell>
          <cell r="EJ120">
            <v>2143</v>
          </cell>
          <cell r="EK120">
            <v>294</v>
          </cell>
          <cell r="EL120">
            <v>5638</v>
          </cell>
          <cell r="EM120">
            <v>1437</v>
          </cell>
          <cell r="EN120">
            <v>3549</v>
          </cell>
          <cell r="EO120">
            <v>2510</v>
          </cell>
          <cell r="EP120">
            <v>1039</v>
          </cell>
          <cell r="EQ120">
            <v>3815</v>
          </cell>
          <cell r="ER120">
            <v>4750</v>
          </cell>
          <cell r="ES120">
            <v>1686</v>
          </cell>
          <cell r="ET120">
            <v>448</v>
          </cell>
          <cell r="EU120">
            <v>811</v>
          </cell>
          <cell r="EV120">
            <v>1126</v>
          </cell>
          <cell r="EW120">
            <v>679</v>
          </cell>
          <cell r="EX120">
            <v>14943</v>
          </cell>
          <cell r="EY120">
            <v>7104</v>
          </cell>
          <cell r="EZ120">
            <v>7839</v>
          </cell>
          <cell r="FA120">
            <v>4445</v>
          </cell>
          <cell r="FB120">
            <v>342072</v>
          </cell>
          <cell r="FC120">
            <v>0</v>
          </cell>
          <cell r="FD120">
            <v>33018</v>
          </cell>
          <cell r="FE120">
            <v>8362</v>
          </cell>
          <cell r="FF120">
            <v>908</v>
          </cell>
          <cell r="FG120">
            <v>14557</v>
          </cell>
          <cell r="FH120">
            <v>1657</v>
          </cell>
          <cell r="FI120">
            <v>5024</v>
          </cell>
          <cell r="FJ120">
            <v>2510</v>
          </cell>
          <cell r="FK120">
            <v>137956</v>
          </cell>
          <cell r="FL120">
            <v>27419</v>
          </cell>
          <cell r="FM120">
            <v>11073</v>
          </cell>
          <cell r="FN120">
            <v>16632</v>
          </cell>
          <cell r="FO120">
            <v>10080</v>
          </cell>
          <cell r="FP120">
            <v>15051</v>
          </cell>
          <cell r="FQ120">
            <v>3046</v>
          </cell>
          <cell r="FR120">
            <v>24743</v>
          </cell>
          <cell r="FS120">
            <v>1657</v>
          </cell>
          <cell r="FT120">
            <v>18774</v>
          </cell>
          <cell r="FU120">
            <v>9481</v>
          </cell>
          <cell r="FV120">
            <v>72849</v>
          </cell>
          <cell r="FW120">
            <v>27419</v>
          </cell>
          <cell r="FX120">
            <v>11073</v>
          </cell>
          <cell r="FY120">
            <v>10080</v>
          </cell>
          <cell r="FZ120">
            <v>1596</v>
          </cell>
          <cell r="GA120">
            <v>2138</v>
          </cell>
          <cell r="GB120">
            <v>8913</v>
          </cell>
          <cell r="GC120">
            <v>5992</v>
          </cell>
          <cell r="GD120">
            <v>5638</v>
          </cell>
          <cell r="GE120">
            <v>5522</v>
          </cell>
          <cell r="GF120">
            <v>-10682</v>
          </cell>
          <cell r="GG120">
            <v>16204</v>
          </cell>
          <cell r="GH120">
            <v>198594</v>
          </cell>
          <cell r="GI120">
            <v>190</v>
          </cell>
          <cell r="GJ120">
            <v>76830</v>
          </cell>
          <cell r="GK120">
            <v>1361</v>
          </cell>
          <cell r="GL120">
            <v>4048</v>
          </cell>
          <cell r="GM120">
            <v>23003</v>
          </cell>
          <cell r="GN120">
            <v>5391</v>
          </cell>
          <cell r="GO120">
            <v>13829</v>
          </cell>
          <cell r="GP120">
            <v>7222</v>
          </cell>
          <cell r="GQ120">
            <v>35187</v>
          </cell>
          <cell r="GR120">
            <v>31533</v>
          </cell>
          <cell r="GS120">
            <v>32089</v>
          </cell>
          <cell r="GT120">
            <v>16632</v>
          </cell>
          <cell r="GU120">
            <v>5093</v>
          </cell>
          <cell r="GV120">
            <v>1273</v>
          </cell>
          <cell r="GW120">
            <v>7758</v>
          </cell>
          <cell r="GX120">
            <v>1333</v>
          </cell>
        </row>
        <row r="121">
          <cell r="A121" t="str">
            <v>2019 Q1</v>
          </cell>
          <cell r="B121">
            <v>336695</v>
          </cell>
          <cell r="C121">
            <v>27096</v>
          </cell>
          <cell r="D121">
            <v>24396</v>
          </cell>
          <cell r="E121">
            <v>4942</v>
          </cell>
          <cell r="F121">
            <v>4750</v>
          </cell>
          <cell r="G121">
            <v>1115</v>
          </cell>
          <cell r="H121">
            <v>2827</v>
          </cell>
          <cell r="I121">
            <v>675</v>
          </cell>
          <cell r="J121">
            <v>2546</v>
          </cell>
          <cell r="K121">
            <v>3660</v>
          </cell>
          <cell r="L121">
            <v>2783</v>
          </cell>
          <cell r="M121">
            <v>1098</v>
          </cell>
          <cell r="N121">
            <v>2700</v>
          </cell>
          <cell r="O121">
            <v>588</v>
          </cell>
          <cell r="P121">
            <v>2112</v>
          </cell>
          <cell r="Q121">
            <v>10918</v>
          </cell>
          <cell r="R121">
            <v>5339</v>
          </cell>
          <cell r="S121">
            <v>1558</v>
          </cell>
          <cell r="T121">
            <v>2354</v>
          </cell>
          <cell r="U121">
            <v>1427</v>
          </cell>
          <cell r="V121">
            <v>4646</v>
          </cell>
          <cell r="W121">
            <v>933</v>
          </cell>
          <cell r="X121">
            <v>17139</v>
          </cell>
          <cell r="Y121">
            <v>14448</v>
          </cell>
          <cell r="Z121">
            <v>93</v>
          </cell>
          <cell r="AA121">
            <v>12621</v>
          </cell>
          <cell r="AB121">
            <v>1565</v>
          </cell>
          <cell r="AC121">
            <v>169</v>
          </cell>
          <cell r="AD121">
            <v>2691</v>
          </cell>
          <cell r="AE121">
            <v>2677</v>
          </cell>
          <cell r="AF121">
            <v>14</v>
          </cell>
          <cell r="AG121">
            <v>86638</v>
          </cell>
          <cell r="AH121">
            <v>20615</v>
          </cell>
          <cell r="AI121">
            <v>20542</v>
          </cell>
          <cell r="AJ121">
            <v>73</v>
          </cell>
          <cell r="AK121">
            <v>54809</v>
          </cell>
          <cell r="AL121">
            <v>51938</v>
          </cell>
          <cell r="AM121">
            <v>2871</v>
          </cell>
          <cell r="AN121">
            <v>786</v>
          </cell>
          <cell r="AO121">
            <v>343</v>
          </cell>
          <cell r="AP121">
            <v>443</v>
          </cell>
          <cell r="AQ121">
            <v>2509</v>
          </cell>
          <cell r="AR121">
            <v>1257</v>
          </cell>
          <cell r="AS121">
            <v>49</v>
          </cell>
          <cell r="AT121">
            <v>1203</v>
          </cell>
          <cell r="AU121">
            <v>0</v>
          </cell>
          <cell r="AV121">
            <v>7919</v>
          </cell>
          <cell r="AW121">
            <v>4501</v>
          </cell>
          <cell r="AX121">
            <v>2954</v>
          </cell>
          <cell r="AY121">
            <v>337</v>
          </cell>
          <cell r="AZ121">
            <v>127</v>
          </cell>
          <cell r="BA121">
            <v>0</v>
          </cell>
          <cell r="BB121">
            <v>16360</v>
          </cell>
          <cell r="BC121">
            <v>6002</v>
          </cell>
          <cell r="BD121">
            <v>4861</v>
          </cell>
          <cell r="BE121">
            <v>1132</v>
          </cell>
          <cell r="BF121">
            <v>9</v>
          </cell>
          <cell r="BG121">
            <v>1653</v>
          </cell>
          <cell r="BH121">
            <v>2525</v>
          </cell>
          <cell r="BI121">
            <v>1950</v>
          </cell>
          <cell r="BJ121">
            <v>435</v>
          </cell>
          <cell r="BK121">
            <v>140</v>
          </cell>
          <cell r="BL121">
            <v>1716</v>
          </cell>
          <cell r="BM121">
            <v>1547</v>
          </cell>
          <cell r="BN121">
            <v>237</v>
          </cell>
          <cell r="BO121">
            <v>1310</v>
          </cell>
          <cell r="BP121">
            <v>2917</v>
          </cell>
          <cell r="BQ121">
            <v>1641</v>
          </cell>
          <cell r="BR121">
            <v>1276</v>
          </cell>
          <cell r="BS121">
            <v>7372</v>
          </cell>
          <cell r="BT121">
            <v>3297</v>
          </cell>
          <cell r="BU121">
            <v>2279</v>
          </cell>
          <cell r="BV121">
            <v>136</v>
          </cell>
          <cell r="BW121">
            <v>882</v>
          </cell>
          <cell r="BX121">
            <v>2266</v>
          </cell>
          <cell r="BY121">
            <v>937</v>
          </cell>
          <cell r="BZ121">
            <v>1076</v>
          </cell>
          <cell r="CA121">
            <v>253</v>
          </cell>
          <cell r="CB121">
            <v>1809</v>
          </cell>
          <cell r="CC121">
            <v>49167</v>
          </cell>
          <cell r="CD121">
            <v>15449</v>
          </cell>
          <cell r="CE121">
            <v>14766</v>
          </cell>
          <cell r="CF121">
            <v>305</v>
          </cell>
          <cell r="CG121">
            <v>378</v>
          </cell>
          <cell r="CH121">
            <v>18020</v>
          </cell>
          <cell r="CI121">
            <v>1281</v>
          </cell>
          <cell r="CJ121">
            <v>8757</v>
          </cell>
          <cell r="CK121">
            <v>4950</v>
          </cell>
          <cell r="CL121">
            <v>3032</v>
          </cell>
          <cell r="CM121">
            <v>15698</v>
          </cell>
          <cell r="CN121">
            <v>3413</v>
          </cell>
          <cell r="CO121">
            <v>2280</v>
          </cell>
          <cell r="CP121">
            <v>6767</v>
          </cell>
          <cell r="CQ121">
            <v>2212</v>
          </cell>
          <cell r="CR121">
            <v>1026</v>
          </cell>
          <cell r="CS121">
            <v>6951</v>
          </cell>
          <cell r="CT121">
            <v>255</v>
          </cell>
          <cell r="CU121">
            <v>1575</v>
          </cell>
          <cell r="CV121">
            <v>5121</v>
          </cell>
          <cell r="CW121">
            <v>32420</v>
          </cell>
          <cell r="CX121">
            <v>4339</v>
          </cell>
          <cell r="CY121">
            <v>1578</v>
          </cell>
          <cell r="CZ121">
            <v>378</v>
          </cell>
          <cell r="DA121">
            <v>1171</v>
          </cell>
          <cell r="DB121">
            <v>1154</v>
          </cell>
          <cell r="DC121">
            <v>58</v>
          </cell>
          <cell r="DD121">
            <v>2664</v>
          </cell>
          <cell r="DE121">
            <v>1880</v>
          </cell>
          <cell r="DF121">
            <v>94</v>
          </cell>
          <cell r="DG121">
            <v>690</v>
          </cell>
          <cell r="DH121">
            <v>9520</v>
          </cell>
          <cell r="DI121">
            <v>2996</v>
          </cell>
          <cell r="DJ121">
            <v>2353</v>
          </cell>
          <cell r="DK121">
            <v>1456</v>
          </cell>
          <cell r="DL121">
            <v>1795</v>
          </cell>
          <cell r="DM121">
            <v>920</v>
          </cell>
          <cell r="DN121">
            <v>12109</v>
          </cell>
          <cell r="DO121">
            <v>2888</v>
          </cell>
          <cell r="DP121">
            <v>6136</v>
          </cell>
          <cell r="DQ121">
            <v>3085</v>
          </cell>
          <cell r="DR121">
            <v>3788</v>
          </cell>
          <cell r="DS121">
            <v>998</v>
          </cell>
          <cell r="DT121">
            <v>1185</v>
          </cell>
          <cell r="DU121">
            <v>870</v>
          </cell>
          <cell r="DV121">
            <v>735</v>
          </cell>
          <cell r="DW121">
            <v>0</v>
          </cell>
          <cell r="DX121">
            <v>7270</v>
          </cell>
          <cell r="DY121">
            <v>34802</v>
          </cell>
          <cell r="DZ121">
            <v>27120</v>
          </cell>
          <cell r="EA121">
            <v>25698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1422</v>
          </cell>
          <cell r="EG121">
            <v>7682</v>
          </cell>
          <cell r="EH121">
            <v>40562</v>
          </cell>
          <cell r="EI121">
            <v>8111</v>
          </cell>
          <cell r="EJ121">
            <v>2189</v>
          </cell>
          <cell r="EK121">
            <v>285</v>
          </cell>
          <cell r="EL121">
            <v>5637</v>
          </cell>
          <cell r="EM121">
            <v>1465</v>
          </cell>
          <cell r="EN121">
            <v>3432</v>
          </cell>
          <cell r="EO121">
            <v>2489</v>
          </cell>
          <cell r="EP121">
            <v>943</v>
          </cell>
          <cell r="EQ121">
            <v>3889</v>
          </cell>
          <cell r="ER121">
            <v>4835</v>
          </cell>
          <cell r="ES121">
            <v>1973</v>
          </cell>
          <cell r="ET121">
            <v>497</v>
          </cell>
          <cell r="EU121">
            <v>778</v>
          </cell>
          <cell r="EV121">
            <v>910</v>
          </cell>
          <cell r="EW121">
            <v>677</v>
          </cell>
          <cell r="EX121">
            <v>14226</v>
          </cell>
          <cell r="EY121">
            <v>6376</v>
          </cell>
          <cell r="EZ121">
            <v>7850</v>
          </cell>
          <cell r="FA121">
            <v>4604</v>
          </cell>
          <cell r="FB121">
            <v>342109</v>
          </cell>
          <cell r="FC121">
            <v>0</v>
          </cell>
          <cell r="FD121">
            <v>33676</v>
          </cell>
          <cell r="FE121">
            <v>8180</v>
          </cell>
          <cell r="FF121">
            <v>882</v>
          </cell>
          <cell r="FG121">
            <v>15449</v>
          </cell>
          <cell r="FH121">
            <v>1575</v>
          </cell>
          <cell r="FI121">
            <v>5101</v>
          </cell>
          <cell r="FJ121">
            <v>2489</v>
          </cell>
          <cell r="FK121">
            <v>137780</v>
          </cell>
          <cell r="FL121">
            <v>27096</v>
          </cell>
          <cell r="FM121">
            <v>10918</v>
          </cell>
          <cell r="FN121">
            <v>16956</v>
          </cell>
          <cell r="FO121">
            <v>9519</v>
          </cell>
          <cell r="FP121">
            <v>14935</v>
          </cell>
          <cell r="FQ121">
            <v>3297</v>
          </cell>
          <cell r="FR121">
            <v>25487</v>
          </cell>
          <cell r="FS121">
            <v>1575</v>
          </cell>
          <cell r="FT121">
            <v>18643</v>
          </cell>
          <cell r="FU121">
            <v>9354</v>
          </cell>
          <cell r="FV121">
            <v>72024</v>
          </cell>
          <cell r="FW121">
            <v>27096</v>
          </cell>
          <cell r="FX121">
            <v>10918</v>
          </cell>
          <cell r="FY121">
            <v>9519</v>
          </cell>
          <cell r="FZ121">
            <v>1641</v>
          </cell>
          <cell r="GA121">
            <v>2415</v>
          </cell>
          <cell r="GB121">
            <v>8757</v>
          </cell>
          <cell r="GC121">
            <v>6041</v>
          </cell>
          <cell r="GD121">
            <v>5637</v>
          </cell>
          <cell r="GE121">
            <v>5414</v>
          </cell>
          <cell r="GF121">
            <v>-10793</v>
          </cell>
          <cell r="GG121">
            <v>16207</v>
          </cell>
          <cell r="GH121">
            <v>198915</v>
          </cell>
          <cell r="GI121">
            <v>183</v>
          </cell>
          <cell r="GJ121">
            <v>77119</v>
          </cell>
          <cell r="GK121">
            <v>1425</v>
          </cell>
          <cell r="GL121">
            <v>4075</v>
          </cell>
          <cell r="GM121">
            <v>23680</v>
          </cell>
          <cell r="GN121">
            <v>5376</v>
          </cell>
          <cell r="GO121">
            <v>13777</v>
          </cell>
          <cell r="GP121">
            <v>7270</v>
          </cell>
          <cell r="GQ121">
            <v>34802</v>
          </cell>
          <cell r="GR121">
            <v>31208</v>
          </cell>
          <cell r="GS121">
            <v>32080</v>
          </cell>
          <cell r="GT121">
            <v>16956</v>
          </cell>
          <cell r="GU121">
            <v>5114</v>
          </cell>
          <cell r="GV121">
            <v>1281</v>
          </cell>
          <cell r="GW121">
            <v>7501</v>
          </cell>
          <cell r="GX121">
            <v>1228</v>
          </cell>
        </row>
        <row r="122">
          <cell r="A122" t="str">
            <v>2019 Q2</v>
          </cell>
          <cell r="B122">
            <v>339161</v>
          </cell>
          <cell r="C122">
            <v>27162</v>
          </cell>
          <cell r="D122">
            <v>24435</v>
          </cell>
          <cell r="E122">
            <v>4944</v>
          </cell>
          <cell r="F122">
            <v>4789</v>
          </cell>
          <cell r="G122">
            <v>1123</v>
          </cell>
          <cell r="H122">
            <v>2840</v>
          </cell>
          <cell r="I122">
            <v>672</v>
          </cell>
          <cell r="J122">
            <v>2531</v>
          </cell>
          <cell r="K122">
            <v>3681</v>
          </cell>
          <cell r="L122">
            <v>2829</v>
          </cell>
          <cell r="M122">
            <v>1026</v>
          </cell>
          <cell r="N122">
            <v>2727</v>
          </cell>
          <cell r="O122">
            <v>586</v>
          </cell>
          <cell r="P122">
            <v>2141</v>
          </cell>
          <cell r="Q122">
            <v>10687</v>
          </cell>
          <cell r="R122">
            <v>5302</v>
          </cell>
          <cell r="S122">
            <v>1551</v>
          </cell>
          <cell r="T122">
            <v>2343</v>
          </cell>
          <cell r="U122">
            <v>1408</v>
          </cell>
          <cell r="V122">
            <v>4467</v>
          </cell>
          <cell r="W122">
            <v>918</v>
          </cell>
          <cell r="X122">
            <v>17208</v>
          </cell>
          <cell r="Y122">
            <v>14644</v>
          </cell>
          <cell r="Z122">
            <v>97</v>
          </cell>
          <cell r="AA122">
            <v>12734</v>
          </cell>
          <cell r="AB122">
            <v>1631</v>
          </cell>
          <cell r="AC122">
            <v>182</v>
          </cell>
          <cell r="AD122">
            <v>2564</v>
          </cell>
          <cell r="AE122">
            <v>2546</v>
          </cell>
          <cell r="AF122">
            <v>18</v>
          </cell>
          <cell r="AG122">
            <v>87676</v>
          </cell>
          <cell r="AH122">
            <v>20678</v>
          </cell>
          <cell r="AI122">
            <v>20604</v>
          </cell>
          <cell r="AJ122">
            <v>74</v>
          </cell>
          <cell r="AK122">
            <v>55054</v>
          </cell>
          <cell r="AL122">
            <v>52171</v>
          </cell>
          <cell r="AM122">
            <v>2883</v>
          </cell>
          <cell r="AN122">
            <v>816</v>
          </cell>
          <cell r="AO122">
            <v>363</v>
          </cell>
          <cell r="AP122">
            <v>453</v>
          </cell>
          <cell r="AQ122">
            <v>2544</v>
          </cell>
          <cell r="AR122">
            <v>1273</v>
          </cell>
          <cell r="AS122">
            <v>48</v>
          </cell>
          <cell r="AT122">
            <v>1223</v>
          </cell>
          <cell r="AU122">
            <v>0</v>
          </cell>
          <cell r="AV122">
            <v>8584</v>
          </cell>
          <cell r="AW122">
            <v>4633</v>
          </cell>
          <cell r="AX122">
            <v>3586</v>
          </cell>
          <cell r="AY122">
            <v>249</v>
          </cell>
          <cell r="AZ122">
            <v>116</v>
          </cell>
          <cell r="BA122">
            <v>0</v>
          </cell>
          <cell r="BB122">
            <v>16797</v>
          </cell>
          <cell r="BC122">
            <v>6101</v>
          </cell>
          <cell r="BD122">
            <v>4968</v>
          </cell>
          <cell r="BE122">
            <v>1123</v>
          </cell>
          <cell r="BF122">
            <v>10</v>
          </cell>
          <cell r="BG122">
            <v>1682</v>
          </cell>
          <cell r="BH122">
            <v>2589</v>
          </cell>
          <cell r="BI122">
            <v>2035</v>
          </cell>
          <cell r="BJ122">
            <v>421</v>
          </cell>
          <cell r="BK122">
            <v>133</v>
          </cell>
          <cell r="BL122">
            <v>1752</v>
          </cell>
          <cell r="BM122">
            <v>1715</v>
          </cell>
          <cell r="BN122">
            <v>216</v>
          </cell>
          <cell r="BO122">
            <v>1499</v>
          </cell>
          <cell r="BP122">
            <v>2958</v>
          </cell>
          <cell r="BQ122">
            <v>1657</v>
          </cell>
          <cell r="BR122">
            <v>1301</v>
          </cell>
          <cell r="BS122">
            <v>7214</v>
          </cell>
          <cell r="BT122">
            <v>3273</v>
          </cell>
          <cell r="BU122">
            <v>2262</v>
          </cell>
          <cell r="BV122">
            <v>114</v>
          </cell>
          <cell r="BW122">
            <v>897</v>
          </cell>
          <cell r="BX122">
            <v>2107</v>
          </cell>
          <cell r="BY122">
            <v>859</v>
          </cell>
          <cell r="BZ122">
            <v>994</v>
          </cell>
          <cell r="CA122">
            <v>254</v>
          </cell>
          <cell r="CB122">
            <v>1834</v>
          </cell>
          <cell r="CC122">
            <v>48817</v>
          </cell>
          <cell r="CD122">
            <v>15203</v>
          </cell>
          <cell r="CE122">
            <v>14568</v>
          </cell>
          <cell r="CF122">
            <v>256</v>
          </cell>
          <cell r="CG122">
            <v>379</v>
          </cell>
          <cell r="CH122">
            <v>17794</v>
          </cell>
          <cell r="CI122">
            <v>1279</v>
          </cell>
          <cell r="CJ122">
            <v>8650</v>
          </cell>
          <cell r="CK122">
            <v>4728</v>
          </cell>
          <cell r="CL122">
            <v>3137</v>
          </cell>
          <cell r="CM122">
            <v>15820</v>
          </cell>
          <cell r="CN122">
            <v>3501</v>
          </cell>
          <cell r="CO122">
            <v>2310</v>
          </cell>
          <cell r="CP122">
            <v>6743</v>
          </cell>
          <cell r="CQ122">
            <v>2227</v>
          </cell>
          <cell r="CR122">
            <v>1039</v>
          </cell>
          <cell r="CS122">
            <v>6962</v>
          </cell>
          <cell r="CT122">
            <v>254</v>
          </cell>
          <cell r="CU122">
            <v>1614</v>
          </cell>
          <cell r="CV122">
            <v>5094</v>
          </cell>
          <cell r="CW122">
            <v>33743</v>
          </cell>
          <cell r="CX122">
            <v>4686</v>
          </cell>
          <cell r="CY122">
            <v>1594</v>
          </cell>
          <cell r="CZ122">
            <v>371</v>
          </cell>
          <cell r="DA122">
            <v>1217</v>
          </cell>
          <cell r="DB122">
            <v>1451</v>
          </cell>
          <cell r="DC122">
            <v>53</v>
          </cell>
          <cell r="DD122">
            <v>2781</v>
          </cell>
          <cell r="DE122">
            <v>1899</v>
          </cell>
          <cell r="DF122">
            <v>187</v>
          </cell>
          <cell r="DG122">
            <v>695</v>
          </cell>
          <cell r="DH122">
            <v>9525</v>
          </cell>
          <cell r="DI122">
            <v>3014</v>
          </cell>
          <cell r="DJ122">
            <v>2256</v>
          </cell>
          <cell r="DK122">
            <v>1441</v>
          </cell>
          <cell r="DL122">
            <v>1911</v>
          </cell>
          <cell r="DM122">
            <v>903</v>
          </cell>
          <cell r="DN122">
            <v>12933</v>
          </cell>
          <cell r="DO122">
            <v>3401</v>
          </cell>
          <cell r="DP122">
            <v>6313</v>
          </cell>
          <cell r="DQ122">
            <v>3219</v>
          </cell>
          <cell r="DR122">
            <v>3818</v>
          </cell>
          <cell r="DS122">
            <v>1053</v>
          </cell>
          <cell r="DT122">
            <v>1173</v>
          </cell>
          <cell r="DU122">
            <v>909</v>
          </cell>
          <cell r="DV122">
            <v>683</v>
          </cell>
          <cell r="DW122">
            <v>0</v>
          </cell>
          <cell r="DX122">
            <v>7303</v>
          </cell>
          <cell r="DY122">
            <v>35492</v>
          </cell>
          <cell r="DZ122">
            <v>27661</v>
          </cell>
          <cell r="EA122">
            <v>26177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1484</v>
          </cell>
          <cell r="EG122">
            <v>7831</v>
          </cell>
          <cell r="EH122">
            <v>40100</v>
          </cell>
          <cell r="EI122">
            <v>8309</v>
          </cell>
          <cell r="EJ122">
            <v>2188</v>
          </cell>
          <cell r="EK122">
            <v>383</v>
          </cell>
          <cell r="EL122">
            <v>5738</v>
          </cell>
          <cell r="EM122">
            <v>1482</v>
          </cell>
          <cell r="EN122">
            <v>3437</v>
          </cell>
          <cell r="EO122">
            <v>2526</v>
          </cell>
          <cell r="EP122">
            <v>911</v>
          </cell>
          <cell r="EQ122">
            <v>3712</v>
          </cell>
          <cell r="ER122">
            <v>4774</v>
          </cell>
          <cell r="ES122">
            <v>2190</v>
          </cell>
          <cell r="ET122">
            <v>510</v>
          </cell>
          <cell r="EU122">
            <v>727</v>
          </cell>
          <cell r="EV122">
            <v>733</v>
          </cell>
          <cell r="EW122">
            <v>614</v>
          </cell>
          <cell r="EX122">
            <v>13841</v>
          </cell>
          <cell r="EY122">
            <v>5776</v>
          </cell>
          <cell r="EZ122">
            <v>8065</v>
          </cell>
          <cell r="FA122">
            <v>4545</v>
          </cell>
          <cell r="FB122">
            <v>345024</v>
          </cell>
          <cell r="FC122">
            <v>0</v>
          </cell>
          <cell r="FD122">
            <v>33850</v>
          </cell>
          <cell r="FE122">
            <v>8342</v>
          </cell>
          <cell r="FF122">
            <v>897</v>
          </cell>
          <cell r="FG122">
            <v>15203</v>
          </cell>
          <cell r="FH122">
            <v>1614</v>
          </cell>
          <cell r="FI122">
            <v>5268</v>
          </cell>
          <cell r="FJ122">
            <v>2526</v>
          </cell>
          <cell r="FK122">
            <v>139166</v>
          </cell>
          <cell r="FL122">
            <v>27162</v>
          </cell>
          <cell r="FM122">
            <v>10687</v>
          </cell>
          <cell r="FN122">
            <v>17008</v>
          </cell>
          <cell r="FO122">
            <v>10220</v>
          </cell>
          <cell r="FP122">
            <v>15353</v>
          </cell>
          <cell r="FQ122">
            <v>3273</v>
          </cell>
          <cell r="FR122">
            <v>25132</v>
          </cell>
          <cell r="FS122">
            <v>1614</v>
          </cell>
          <cell r="FT122">
            <v>19159</v>
          </cell>
          <cell r="FU122">
            <v>9558</v>
          </cell>
          <cell r="FV122">
            <v>72607</v>
          </cell>
          <cell r="FW122">
            <v>27162</v>
          </cell>
          <cell r="FX122">
            <v>10687</v>
          </cell>
          <cell r="FY122">
            <v>10220</v>
          </cell>
          <cell r="FZ122">
            <v>1657</v>
          </cell>
          <cell r="GA122">
            <v>2376</v>
          </cell>
          <cell r="GB122">
            <v>8650</v>
          </cell>
          <cell r="GC122">
            <v>6117</v>
          </cell>
          <cell r="GD122">
            <v>5738</v>
          </cell>
          <cell r="GE122">
            <v>5863</v>
          </cell>
          <cell r="GF122">
            <v>-11725</v>
          </cell>
          <cell r="GG122">
            <v>17588</v>
          </cell>
          <cell r="GH122">
            <v>199995</v>
          </cell>
          <cell r="GI122">
            <v>200</v>
          </cell>
          <cell r="GJ122">
            <v>77456</v>
          </cell>
          <cell r="GK122">
            <v>1444</v>
          </cell>
          <cell r="GL122">
            <v>3941</v>
          </cell>
          <cell r="GM122">
            <v>23685</v>
          </cell>
          <cell r="GN122">
            <v>5348</v>
          </cell>
          <cell r="GO122">
            <v>14583</v>
          </cell>
          <cell r="GP122">
            <v>7303</v>
          </cell>
          <cell r="GQ122">
            <v>35492</v>
          </cell>
          <cell r="GR122">
            <v>30542</v>
          </cell>
          <cell r="GS122">
            <v>32709</v>
          </cell>
          <cell r="GT122">
            <v>17008</v>
          </cell>
          <cell r="GU122">
            <v>5354</v>
          </cell>
          <cell r="GV122">
            <v>1279</v>
          </cell>
          <cell r="GW122">
            <v>7774</v>
          </cell>
          <cell r="GX122">
            <v>1294</v>
          </cell>
        </row>
        <row r="123">
          <cell r="A123" t="str">
            <v>2019 Q3</v>
          </cell>
          <cell r="B123">
            <v>340821</v>
          </cell>
          <cell r="C123">
            <v>27519</v>
          </cell>
          <cell r="D123">
            <v>24699</v>
          </cell>
          <cell r="E123">
            <v>4865</v>
          </cell>
          <cell r="F123">
            <v>4855</v>
          </cell>
          <cell r="G123">
            <v>1184</v>
          </cell>
          <cell r="H123">
            <v>2861</v>
          </cell>
          <cell r="I123">
            <v>719</v>
          </cell>
          <cell r="J123">
            <v>2544</v>
          </cell>
          <cell r="K123">
            <v>3746</v>
          </cell>
          <cell r="L123">
            <v>2840</v>
          </cell>
          <cell r="M123">
            <v>1085</v>
          </cell>
          <cell r="N123">
            <v>2820</v>
          </cell>
          <cell r="O123">
            <v>616</v>
          </cell>
          <cell r="P123">
            <v>2204</v>
          </cell>
          <cell r="Q123">
            <v>10786</v>
          </cell>
          <cell r="R123">
            <v>5383</v>
          </cell>
          <cell r="S123">
            <v>1562</v>
          </cell>
          <cell r="T123">
            <v>2400</v>
          </cell>
          <cell r="U123">
            <v>1421</v>
          </cell>
          <cell r="V123">
            <v>4505</v>
          </cell>
          <cell r="W123">
            <v>898</v>
          </cell>
          <cell r="X123">
            <v>17691</v>
          </cell>
          <cell r="Y123">
            <v>15035</v>
          </cell>
          <cell r="Z123">
            <v>93</v>
          </cell>
          <cell r="AA123">
            <v>13023</v>
          </cell>
          <cell r="AB123">
            <v>1705</v>
          </cell>
          <cell r="AC123">
            <v>214</v>
          </cell>
          <cell r="AD123">
            <v>2656</v>
          </cell>
          <cell r="AE123">
            <v>2635</v>
          </cell>
          <cell r="AF123">
            <v>21</v>
          </cell>
          <cell r="AG123">
            <v>87620</v>
          </cell>
          <cell r="AH123">
            <v>20786</v>
          </cell>
          <cell r="AI123">
            <v>20711</v>
          </cell>
          <cell r="AJ123">
            <v>75</v>
          </cell>
          <cell r="AK123">
            <v>55298</v>
          </cell>
          <cell r="AL123">
            <v>52406</v>
          </cell>
          <cell r="AM123">
            <v>2892</v>
          </cell>
          <cell r="AN123">
            <v>791</v>
          </cell>
          <cell r="AO123">
            <v>344</v>
          </cell>
          <cell r="AP123">
            <v>447</v>
          </cell>
          <cell r="AQ123">
            <v>2575</v>
          </cell>
          <cell r="AR123">
            <v>1290</v>
          </cell>
          <cell r="AS123">
            <v>50</v>
          </cell>
          <cell r="AT123">
            <v>1235</v>
          </cell>
          <cell r="AU123">
            <v>0</v>
          </cell>
          <cell r="AV123">
            <v>8170</v>
          </cell>
          <cell r="AW123">
            <v>4677</v>
          </cell>
          <cell r="AX123">
            <v>3038</v>
          </cell>
          <cell r="AY123">
            <v>342</v>
          </cell>
          <cell r="AZ123">
            <v>113</v>
          </cell>
          <cell r="BA123">
            <v>0</v>
          </cell>
          <cell r="BB123">
            <v>16723</v>
          </cell>
          <cell r="BC123">
            <v>6002</v>
          </cell>
          <cell r="BD123">
            <v>4887</v>
          </cell>
          <cell r="BE123">
            <v>1108</v>
          </cell>
          <cell r="BF123">
            <v>7</v>
          </cell>
          <cell r="BG123">
            <v>1691</v>
          </cell>
          <cell r="BH123">
            <v>2721</v>
          </cell>
          <cell r="BI123">
            <v>1969</v>
          </cell>
          <cell r="BJ123">
            <v>642</v>
          </cell>
          <cell r="BK123">
            <v>110</v>
          </cell>
          <cell r="BL123">
            <v>1750</v>
          </cell>
          <cell r="BM123">
            <v>1687</v>
          </cell>
          <cell r="BN123">
            <v>243</v>
          </cell>
          <cell r="BO123">
            <v>1444</v>
          </cell>
          <cell r="BP123">
            <v>2872</v>
          </cell>
          <cell r="BQ123">
            <v>1655</v>
          </cell>
          <cell r="BR123">
            <v>1217</v>
          </cell>
          <cell r="BS123">
            <v>7181</v>
          </cell>
          <cell r="BT123">
            <v>3124</v>
          </cell>
          <cell r="BU123">
            <v>2154</v>
          </cell>
          <cell r="BV123">
            <v>110</v>
          </cell>
          <cell r="BW123">
            <v>860</v>
          </cell>
          <cell r="BX123">
            <v>2132</v>
          </cell>
          <cell r="BY123">
            <v>915</v>
          </cell>
          <cell r="BZ123">
            <v>961</v>
          </cell>
          <cell r="CA123">
            <v>256</v>
          </cell>
          <cell r="CB123">
            <v>1925</v>
          </cell>
          <cell r="CC123">
            <v>48209</v>
          </cell>
          <cell r="CD123">
            <v>15429</v>
          </cell>
          <cell r="CE123">
            <v>14797</v>
          </cell>
          <cell r="CF123">
            <v>252</v>
          </cell>
          <cell r="CG123">
            <v>380</v>
          </cell>
          <cell r="CH123">
            <v>17682</v>
          </cell>
          <cell r="CI123">
            <v>1336</v>
          </cell>
          <cell r="CJ123">
            <v>8502</v>
          </cell>
          <cell r="CK123">
            <v>4609</v>
          </cell>
          <cell r="CL123">
            <v>3235</v>
          </cell>
          <cell r="CM123">
            <v>15098</v>
          </cell>
          <cell r="CN123">
            <v>3413</v>
          </cell>
          <cell r="CO123">
            <v>2252</v>
          </cell>
          <cell r="CP123">
            <v>6421</v>
          </cell>
          <cell r="CQ123">
            <v>1907</v>
          </cell>
          <cell r="CR123">
            <v>1105</v>
          </cell>
          <cell r="CS123">
            <v>7013</v>
          </cell>
          <cell r="CT123">
            <v>265</v>
          </cell>
          <cell r="CU123">
            <v>1631</v>
          </cell>
          <cell r="CV123">
            <v>5117</v>
          </cell>
          <cell r="CW123">
            <v>33893</v>
          </cell>
          <cell r="CX123">
            <v>4741</v>
          </cell>
          <cell r="CY123">
            <v>1584</v>
          </cell>
          <cell r="CZ123">
            <v>359</v>
          </cell>
          <cell r="DA123">
            <v>1172</v>
          </cell>
          <cell r="DB123">
            <v>1577</v>
          </cell>
          <cell r="DC123">
            <v>49</v>
          </cell>
          <cell r="DD123">
            <v>2661</v>
          </cell>
          <cell r="DE123">
            <v>1867</v>
          </cell>
          <cell r="DF123">
            <v>90</v>
          </cell>
          <cell r="DG123">
            <v>704</v>
          </cell>
          <cell r="DH123">
            <v>9943</v>
          </cell>
          <cell r="DI123">
            <v>3038</v>
          </cell>
          <cell r="DJ123">
            <v>2497</v>
          </cell>
          <cell r="DK123">
            <v>1335</v>
          </cell>
          <cell r="DL123">
            <v>2101</v>
          </cell>
          <cell r="DM123">
            <v>972</v>
          </cell>
          <cell r="DN123">
            <v>12801</v>
          </cell>
          <cell r="DO123">
            <v>3229</v>
          </cell>
          <cell r="DP123">
            <v>6635</v>
          </cell>
          <cell r="DQ123">
            <v>2937</v>
          </cell>
          <cell r="DR123">
            <v>3747</v>
          </cell>
          <cell r="DS123">
            <v>1075</v>
          </cell>
          <cell r="DT123">
            <v>1143</v>
          </cell>
          <cell r="DU123">
            <v>606</v>
          </cell>
          <cell r="DV123">
            <v>923</v>
          </cell>
          <cell r="DW123">
            <v>0</v>
          </cell>
          <cell r="DX123">
            <v>7327</v>
          </cell>
          <cell r="DY123">
            <v>36579</v>
          </cell>
          <cell r="DZ123">
            <v>28696</v>
          </cell>
          <cell r="EA123">
            <v>27255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1441</v>
          </cell>
          <cell r="EG123">
            <v>7883</v>
          </cell>
          <cell r="EH123">
            <v>40280</v>
          </cell>
          <cell r="EI123">
            <v>8255</v>
          </cell>
          <cell r="EJ123">
            <v>2218</v>
          </cell>
          <cell r="EK123">
            <v>305</v>
          </cell>
          <cell r="EL123">
            <v>5732</v>
          </cell>
          <cell r="EM123">
            <v>1507</v>
          </cell>
          <cell r="EN123">
            <v>3424</v>
          </cell>
          <cell r="EO123">
            <v>2506</v>
          </cell>
          <cell r="EP123">
            <v>918</v>
          </cell>
          <cell r="EQ123">
            <v>3810</v>
          </cell>
          <cell r="ER123">
            <v>4936</v>
          </cell>
          <cell r="ES123">
            <v>2310</v>
          </cell>
          <cell r="ET123">
            <v>498</v>
          </cell>
          <cell r="EU123">
            <v>826</v>
          </cell>
          <cell r="EV123">
            <v>711</v>
          </cell>
          <cell r="EW123">
            <v>591</v>
          </cell>
          <cell r="EX123">
            <v>14036</v>
          </cell>
          <cell r="EY123">
            <v>5703</v>
          </cell>
          <cell r="EZ123">
            <v>8333</v>
          </cell>
          <cell r="FA123">
            <v>4312</v>
          </cell>
          <cell r="FB123">
            <v>345964</v>
          </cell>
          <cell r="FC123">
            <v>0</v>
          </cell>
          <cell r="FD123">
            <v>33705</v>
          </cell>
          <cell r="FE123">
            <v>8207</v>
          </cell>
          <cell r="FF123">
            <v>860</v>
          </cell>
          <cell r="FG123">
            <v>15429</v>
          </cell>
          <cell r="FH123">
            <v>1631</v>
          </cell>
          <cell r="FI123">
            <v>5072</v>
          </cell>
          <cell r="FJ123">
            <v>2506</v>
          </cell>
          <cell r="FK123">
            <v>139804</v>
          </cell>
          <cell r="FL123">
            <v>27519</v>
          </cell>
          <cell r="FM123">
            <v>10786</v>
          </cell>
          <cell r="FN123">
            <v>17456</v>
          </cell>
          <cell r="FO123">
            <v>9804</v>
          </cell>
          <cell r="FP123">
            <v>15389</v>
          </cell>
          <cell r="FQ123">
            <v>3124</v>
          </cell>
          <cell r="FR123">
            <v>25267</v>
          </cell>
          <cell r="FS123">
            <v>1631</v>
          </cell>
          <cell r="FT123">
            <v>19367</v>
          </cell>
          <cell r="FU123">
            <v>9461</v>
          </cell>
          <cell r="FV123">
            <v>72370</v>
          </cell>
          <cell r="FW123">
            <v>27519</v>
          </cell>
          <cell r="FX123">
            <v>10786</v>
          </cell>
          <cell r="FY123">
            <v>9804</v>
          </cell>
          <cell r="FZ123">
            <v>1655</v>
          </cell>
          <cell r="GA123">
            <v>2264</v>
          </cell>
          <cell r="GB123">
            <v>8502</v>
          </cell>
          <cell r="GC123">
            <v>6108</v>
          </cell>
          <cell r="GD123">
            <v>5732</v>
          </cell>
          <cell r="GE123">
            <v>5143</v>
          </cell>
          <cell r="GF123">
            <v>-12200</v>
          </cell>
          <cell r="GG123">
            <v>17343</v>
          </cell>
          <cell r="GH123">
            <v>201017</v>
          </cell>
          <cell r="GI123">
            <v>235</v>
          </cell>
          <cell r="GJ123">
            <v>77816</v>
          </cell>
          <cell r="GK123">
            <v>1334</v>
          </cell>
          <cell r="GL123">
            <v>4057</v>
          </cell>
          <cell r="GM123">
            <v>22942</v>
          </cell>
          <cell r="GN123">
            <v>5382</v>
          </cell>
          <cell r="GO123">
            <v>14526</v>
          </cell>
          <cell r="GP123">
            <v>7327</v>
          </cell>
          <cell r="GQ123">
            <v>36579</v>
          </cell>
          <cell r="GR123">
            <v>30819</v>
          </cell>
          <cell r="GS123">
            <v>33729</v>
          </cell>
          <cell r="GT123">
            <v>17456</v>
          </cell>
          <cell r="GU123">
            <v>5527</v>
          </cell>
          <cell r="GV123">
            <v>1336</v>
          </cell>
          <cell r="GW123">
            <v>8187</v>
          </cell>
          <cell r="GX123">
            <v>1223</v>
          </cell>
        </row>
        <row r="124">
          <cell r="A124" t="str">
            <v>2019 Q4</v>
          </cell>
          <cell r="B124">
            <v>340341</v>
          </cell>
          <cell r="C124">
            <v>27754</v>
          </cell>
          <cell r="D124">
            <v>24954</v>
          </cell>
          <cell r="E124">
            <v>4953</v>
          </cell>
          <cell r="F124">
            <v>4822</v>
          </cell>
          <cell r="G124">
            <v>1198</v>
          </cell>
          <cell r="H124">
            <v>3066</v>
          </cell>
          <cell r="I124">
            <v>693</v>
          </cell>
          <cell r="J124">
            <v>2494</v>
          </cell>
          <cell r="K124">
            <v>3746</v>
          </cell>
          <cell r="L124">
            <v>2906</v>
          </cell>
          <cell r="M124">
            <v>1076</v>
          </cell>
          <cell r="N124">
            <v>2800</v>
          </cell>
          <cell r="O124">
            <v>616</v>
          </cell>
          <cell r="P124">
            <v>2184</v>
          </cell>
          <cell r="Q124">
            <v>10729</v>
          </cell>
          <cell r="R124">
            <v>5359</v>
          </cell>
          <cell r="S124">
            <v>1559</v>
          </cell>
          <cell r="T124">
            <v>2348</v>
          </cell>
          <cell r="U124">
            <v>1452</v>
          </cell>
          <cell r="V124">
            <v>4488</v>
          </cell>
          <cell r="W124">
            <v>882</v>
          </cell>
          <cell r="X124">
            <v>17750</v>
          </cell>
          <cell r="Y124">
            <v>15183</v>
          </cell>
          <cell r="Z124">
            <v>90</v>
          </cell>
          <cell r="AA124">
            <v>13115</v>
          </cell>
          <cell r="AB124">
            <v>1743</v>
          </cell>
          <cell r="AC124">
            <v>235</v>
          </cell>
          <cell r="AD124">
            <v>2567</v>
          </cell>
          <cell r="AE124">
            <v>2548</v>
          </cell>
          <cell r="AF124">
            <v>19</v>
          </cell>
          <cell r="AG124">
            <v>87558</v>
          </cell>
          <cell r="AH124">
            <v>20809</v>
          </cell>
          <cell r="AI124">
            <v>20733</v>
          </cell>
          <cell r="AJ124">
            <v>76</v>
          </cell>
          <cell r="AK124">
            <v>55555</v>
          </cell>
          <cell r="AL124">
            <v>52643</v>
          </cell>
          <cell r="AM124">
            <v>2912</v>
          </cell>
          <cell r="AN124">
            <v>765</v>
          </cell>
          <cell r="AO124">
            <v>306</v>
          </cell>
          <cell r="AP124">
            <v>459</v>
          </cell>
          <cell r="AQ124">
            <v>2647</v>
          </cell>
          <cell r="AR124">
            <v>1319</v>
          </cell>
          <cell r="AS124">
            <v>64</v>
          </cell>
          <cell r="AT124">
            <v>1264</v>
          </cell>
          <cell r="AU124">
            <v>0</v>
          </cell>
          <cell r="AV124">
            <v>7782</v>
          </cell>
          <cell r="AW124">
            <v>4270</v>
          </cell>
          <cell r="AX124">
            <v>3057</v>
          </cell>
          <cell r="AY124">
            <v>335</v>
          </cell>
          <cell r="AZ124">
            <v>120</v>
          </cell>
          <cell r="BA124">
            <v>0</v>
          </cell>
          <cell r="BB124">
            <v>16339</v>
          </cell>
          <cell r="BC124">
            <v>5913</v>
          </cell>
          <cell r="BD124">
            <v>4853</v>
          </cell>
          <cell r="BE124">
            <v>1056</v>
          </cell>
          <cell r="BF124">
            <v>4</v>
          </cell>
          <cell r="BG124">
            <v>1758</v>
          </cell>
          <cell r="BH124">
            <v>2479</v>
          </cell>
          <cell r="BI124">
            <v>1840</v>
          </cell>
          <cell r="BJ124">
            <v>489</v>
          </cell>
          <cell r="BK124">
            <v>150</v>
          </cell>
          <cell r="BL124">
            <v>1700</v>
          </cell>
          <cell r="BM124">
            <v>1560</v>
          </cell>
          <cell r="BN124">
            <v>173</v>
          </cell>
          <cell r="BO124">
            <v>1387</v>
          </cell>
          <cell r="BP124">
            <v>2929</v>
          </cell>
          <cell r="BQ124">
            <v>1697</v>
          </cell>
          <cell r="BR124">
            <v>1232</v>
          </cell>
          <cell r="BS124">
            <v>6931</v>
          </cell>
          <cell r="BT124">
            <v>2938</v>
          </cell>
          <cell r="BU124">
            <v>1916</v>
          </cell>
          <cell r="BV124">
            <v>113</v>
          </cell>
          <cell r="BW124">
            <v>909</v>
          </cell>
          <cell r="BX124">
            <v>2090</v>
          </cell>
          <cell r="BY124">
            <v>912</v>
          </cell>
          <cell r="BZ124">
            <v>933</v>
          </cell>
          <cell r="CA124">
            <v>245</v>
          </cell>
          <cell r="CB124">
            <v>1903</v>
          </cell>
          <cell r="CC124">
            <v>46629</v>
          </cell>
          <cell r="CD124">
            <v>14778</v>
          </cell>
          <cell r="CE124">
            <v>14140</v>
          </cell>
          <cell r="CF124">
            <v>260</v>
          </cell>
          <cell r="CG124">
            <v>378</v>
          </cell>
          <cell r="CH124">
            <v>17236</v>
          </cell>
          <cell r="CI124">
            <v>1283</v>
          </cell>
          <cell r="CJ124">
            <v>8106</v>
          </cell>
          <cell r="CK124">
            <v>4509</v>
          </cell>
          <cell r="CL124">
            <v>3338</v>
          </cell>
          <cell r="CM124">
            <v>14615</v>
          </cell>
          <cell r="CN124">
            <v>3209</v>
          </cell>
          <cell r="CO124">
            <v>2147</v>
          </cell>
          <cell r="CP124">
            <v>6341</v>
          </cell>
          <cell r="CQ124">
            <v>1869</v>
          </cell>
          <cell r="CR124">
            <v>1049</v>
          </cell>
          <cell r="CS124">
            <v>7316</v>
          </cell>
          <cell r="CT124">
            <v>259</v>
          </cell>
          <cell r="CU124">
            <v>1613</v>
          </cell>
          <cell r="CV124">
            <v>5444</v>
          </cell>
          <cell r="CW124">
            <v>33759</v>
          </cell>
          <cell r="CX124">
            <v>4605</v>
          </cell>
          <cell r="CY124">
            <v>1558</v>
          </cell>
          <cell r="CZ124">
            <v>348</v>
          </cell>
          <cell r="DA124">
            <v>1085</v>
          </cell>
          <cell r="DB124">
            <v>1570</v>
          </cell>
          <cell r="DC124">
            <v>44</v>
          </cell>
          <cell r="DD124">
            <v>2535</v>
          </cell>
          <cell r="DE124">
            <v>1660</v>
          </cell>
          <cell r="DF124">
            <v>160</v>
          </cell>
          <cell r="DG124">
            <v>715</v>
          </cell>
          <cell r="DH124">
            <v>9602</v>
          </cell>
          <cell r="DI124">
            <v>2947</v>
          </cell>
          <cell r="DJ124">
            <v>2055</v>
          </cell>
          <cell r="DK124">
            <v>1420</v>
          </cell>
          <cell r="DL124">
            <v>2218</v>
          </cell>
          <cell r="DM124">
            <v>962</v>
          </cell>
          <cell r="DN124">
            <v>13101</v>
          </cell>
          <cell r="DO124">
            <v>3105</v>
          </cell>
          <cell r="DP124">
            <v>7021</v>
          </cell>
          <cell r="DQ124">
            <v>2975</v>
          </cell>
          <cell r="DR124">
            <v>3916</v>
          </cell>
          <cell r="DS124">
            <v>1064</v>
          </cell>
          <cell r="DT124">
            <v>1140</v>
          </cell>
          <cell r="DU124">
            <v>916</v>
          </cell>
          <cell r="DV124">
            <v>796</v>
          </cell>
          <cell r="DW124">
            <v>0</v>
          </cell>
          <cell r="DX124">
            <v>7347</v>
          </cell>
          <cell r="DY124">
            <v>37146</v>
          </cell>
          <cell r="DZ124">
            <v>28578</v>
          </cell>
          <cell r="EA124">
            <v>27165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1413</v>
          </cell>
          <cell r="EG124">
            <v>8568</v>
          </cell>
          <cell r="EH124">
            <v>41083</v>
          </cell>
          <cell r="EI124">
            <v>8152</v>
          </cell>
          <cell r="EJ124">
            <v>2027</v>
          </cell>
          <cell r="EK124">
            <v>557</v>
          </cell>
          <cell r="EL124">
            <v>5568</v>
          </cell>
          <cell r="EM124">
            <v>1539</v>
          </cell>
          <cell r="EN124">
            <v>3349</v>
          </cell>
          <cell r="EO124">
            <v>2451</v>
          </cell>
          <cell r="EP124">
            <v>898</v>
          </cell>
          <cell r="EQ124">
            <v>3934</v>
          </cell>
          <cell r="ER124">
            <v>4929</v>
          </cell>
          <cell r="ES124">
            <v>2318</v>
          </cell>
          <cell r="ET124">
            <v>514</v>
          </cell>
          <cell r="EU124">
            <v>783</v>
          </cell>
          <cell r="EV124">
            <v>781</v>
          </cell>
          <cell r="EW124">
            <v>533</v>
          </cell>
          <cell r="EX124">
            <v>14686</v>
          </cell>
          <cell r="EY124">
            <v>6209</v>
          </cell>
          <cell r="EZ124">
            <v>8477</v>
          </cell>
          <cell r="FA124">
            <v>4494</v>
          </cell>
          <cell r="FB124">
            <v>345552</v>
          </cell>
          <cell r="FC124">
            <v>0</v>
          </cell>
          <cell r="FD124">
            <v>32484</v>
          </cell>
          <cell r="FE124">
            <v>7922</v>
          </cell>
          <cell r="FF124">
            <v>909</v>
          </cell>
          <cell r="FG124">
            <v>14778</v>
          </cell>
          <cell r="FH124">
            <v>1613</v>
          </cell>
          <cell r="FI124">
            <v>4811</v>
          </cell>
          <cell r="FJ124">
            <v>2451</v>
          </cell>
          <cell r="FK124">
            <v>137468</v>
          </cell>
          <cell r="FL124">
            <v>27754</v>
          </cell>
          <cell r="FM124">
            <v>10729</v>
          </cell>
          <cell r="FN124">
            <v>17496</v>
          </cell>
          <cell r="FO124">
            <v>9407</v>
          </cell>
          <cell r="FP124">
            <v>14953</v>
          </cell>
          <cell r="FQ124">
            <v>2938</v>
          </cell>
          <cell r="FR124">
            <v>24167</v>
          </cell>
          <cell r="FS124">
            <v>1613</v>
          </cell>
          <cell r="FT124">
            <v>18937</v>
          </cell>
          <cell r="FU124">
            <v>9474</v>
          </cell>
          <cell r="FV124">
            <v>71780</v>
          </cell>
          <cell r="FW124">
            <v>27754</v>
          </cell>
          <cell r="FX124">
            <v>10729</v>
          </cell>
          <cell r="FY124">
            <v>9407</v>
          </cell>
          <cell r="FZ124">
            <v>1697</v>
          </cell>
          <cell r="GA124">
            <v>2029</v>
          </cell>
          <cell r="GB124">
            <v>8106</v>
          </cell>
          <cell r="GC124">
            <v>6490</v>
          </cell>
          <cell r="GD124">
            <v>5568</v>
          </cell>
          <cell r="GE124">
            <v>5211</v>
          </cell>
          <cell r="GF124">
            <v>-12269</v>
          </cell>
          <cell r="GG124">
            <v>17480</v>
          </cell>
          <cell r="GH124">
            <v>202873</v>
          </cell>
          <cell r="GI124">
            <v>254</v>
          </cell>
          <cell r="GJ124">
            <v>78151</v>
          </cell>
          <cell r="GK124">
            <v>1386</v>
          </cell>
          <cell r="GL124">
            <v>3993</v>
          </cell>
          <cell r="GM124">
            <v>22462</v>
          </cell>
          <cell r="GN124">
            <v>5703</v>
          </cell>
          <cell r="GO124">
            <v>14823</v>
          </cell>
          <cell r="GP124">
            <v>7347</v>
          </cell>
          <cell r="GQ124">
            <v>37146</v>
          </cell>
          <cell r="GR124">
            <v>31609</v>
          </cell>
          <cell r="GS124">
            <v>33204</v>
          </cell>
          <cell r="GT124">
            <v>17496</v>
          </cell>
          <cell r="GU124">
            <v>5334</v>
          </cell>
          <cell r="GV124">
            <v>1283</v>
          </cell>
          <cell r="GW124">
            <v>7636</v>
          </cell>
          <cell r="GX124">
            <v>1455</v>
          </cell>
        </row>
        <row r="125">
          <cell r="A125" t="str">
            <v>2020 Q1</v>
          </cell>
          <cell r="B125">
            <v>330015</v>
          </cell>
          <cell r="C125">
            <v>29308</v>
          </cell>
          <cell r="D125">
            <v>26487</v>
          </cell>
          <cell r="E125">
            <v>5559</v>
          </cell>
          <cell r="F125">
            <v>5181</v>
          </cell>
          <cell r="G125">
            <v>1174</v>
          </cell>
          <cell r="H125">
            <v>3205</v>
          </cell>
          <cell r="I125">
            <v>702</v>
          </cell>
          <cell r="J125">
            <v>2598</v>
          </cell>
          <cell r="K125">
            <v>3989</v>
          </cell>
          <cell r="L125">
            <v>2947</v>
          </cell>
          <cell r="M125">
            <v>1132</v>
          </cell>
          <cell r="N125">
            <v>2821</v>
          </cell>
          <cell r="O125">
            <v>609</v>
          </cell>
          <cell r="P125">
            <v>2212</v>
          </cell>
          <cell r="Q125">
            <v>11347</v>
          </cell>
          <cell r="R125">
            <v>5845</v>
          </cell>
          <cell r="S125">
            <v>1658</v>
          </cell>
          <cell r="T125">
            <v>2633</v>
          </cell>
          <cell r="U125">
            <v>1554</v>
          </cell>
          <cell r="V125">
            <v>4646</v>
          </cell>
          <cell r="W125">
            <v>856</v>
          </cell>
          <cell r="X125">
            <v>13980</v>
          </cell>
          <cell r="Y125">
            <v>11903</v>
          </cell>
          <cell r="Z125">
            <v>103</v>
          </cell>
          <cell r="AA125">
            <v>10291</v>
          </cell>
          <cell r="AB125">
            <v>1286</v>
          </cell>
          <cell r="AC125">
            <v>223</v>
          </cell>
          <cell r="AD125">
            <v>2077</v>
          </cell>
          <cell r="AE125">
            <v>2065</v>
          </cell>
          <cell r="AF125">
            <v>12</v>
          </cell>
          <cell r="AG125">
            <v>88149</v>
          </cell>
          <cell r="AH125">
            <v>20786</v>
          </cell>
          <cell r="AI125">
            <v>20709</v>
          </cell>
          <cell r="AJ125">
            <v>77</v>
          </cell>
          <cell r="AK125">
            <v>55893</v>
          </cell>
          <cell r="AL125">
            <v>52961</v>
          </cell>
          <cell r="AM125">
            <v>2932</v>
          </cell>
          <cell r="AN125">
            <v>836</v>
          </cell>
          <cell r="AO125">
            <v>383</v>
          </cell>
          <cell r="AP125">
            <v>453</v>
          </cell>
          <cell r="AQ125">
            <v>2774</v>
          </cell>
          <cell r="AR125">
            <v>1361</v>
          </cell>
          <cell r="AS125">
            <v>70</v>
          </cell>
          <cell r="AT125">
            <v>1343</v>
          </cell>
          <cell r="AU125">
            <v>0</v>
          </cell>
          <cell r="AV125">
            <v>7860</v>
          </cell>
          <cell r="AW125">
            <v>4698</v>
          </cell>
          <cell r="AX125">
            <v>2791</v>
          </cell>
          <cell r="AY125">
            <v>275</v>
          </cell>
          <cell r="AZ125">
            <v>96</v>
          </cell>
          <cell r="BA125">
            <v>0</v>
          </cell>
          <cell r="BB125">
            <v>16660</v>
          </cell>
          <cell r="BC125">
            <v>5839</v>
          </cell>
          <cell r="BD125">
            <v>4862</v>
          </cell>
          <cell r="BE125">
            <v>976</v>
          </cell>
          <cell r="BF125">
            <v>1</v>
          </cell>
          <cell r="BG125">
            <v>1798</v>
          </cell>
          <cell r="BH125">
            <v>2590</v>
          </cell>
          <cell r="BI125">
            <v>2057</v>
          </cell>
          <cell r="BJ125">
            <v>429</v>
          </cell>
          <cell r="BK125">
            <v>104</v>
          </cell>
          <cell r="BL125">
            <v>1613</v>
          </cell>
          <cell r="BM125">
            <v>1582</v>
          </cell>
          <cell r="BN125">
            <v>162</v>
          </cell>
          <cell r="BO125">
            <v>1420</v>
          </cell>
          <cell r="BP125">
            <v>3238</v>
          </cell>
          <cell r="BQ125">
            <v>2075</v>
          </cell>
          <cell r="BR125">
            <v>1163</v>
          </cell>
          <cell r="BS125">
            <v>6784</v>
          </cell>
          <cell r="BT125">
            <v>2813</v>
          </cell>
          <cell r="BU125">
            <v>2004</v>
          </cell>
          <cell r="BV125">
            <v>186</v>
          </cell>
          <cell r="BW125">
            <v>623</v>
          </cell>
          <cell r="BX125">
            <v>2115</v>
          </cell>
          <cell r="BY125">
            <v>921</v>
          </cell>
          <cell r="BZ125">
            <v>956</v>
          </cell>
          <cell r="CA125">
            <v>238</v>
          </cell>
          <cell r="CB125">
            <v>1856</v>
          </cell>
          <cell r="CC125">
            <v>42254</v>
          </cell>
          <cell r="CD125">
            <v>12421</v>
          </cell>
          <cell r="CE125">
            <v>11815</v>
          </cell>
          <cell r="CF125">
            <v>239</v>
          </cell>
          <cell r="CG125">
            <v>367</v>
          </cell>
          <cell r="CH125">
            <v>17300</v>
          </cell>
          <cell r="CI125">
            <v>1270</v>
          </cell>
          <cell r="CJ125">
            <v>8166</v>
          </cell>
          <cell r="CK125">
            <v>4598</v>
          </cell>
          <cell r="CL125">
            <v>3266</v>
          </cell>
          <cell r="CM125">
            <v>12533</v>
          </cell>
          <cell r="CN125">
            <v>2736</v>
          </cell>
          <cell r="CO125">
            <v>1942</v>
          </cell>
          <cell r="CP125">
            <v>5803</v>
          </cell>
          <cell r="CQ125">
            <v>1277</v>
          </cell>
          <cell r="CR125">
            <v>775</v>
          </cell>
          <cell r="CS125">
            <v>7229</v>
          </cell>
          <cell r="CT125">
            <v>283</v>
          </cell>
          <cell r="CU125">
            <v>1621</v>
          </cell>
          <cell r="CV125">
            <v>5325</v>
          </cell>
          <cell r="CW125">
            <v>33017</v>
          </cell>
          <cell r="CX125">
            <v>4789</v>
          </cell>
          <cell r="CY125">
            <v>1628</v>
          </cell>
          <cell r="CZ125">
            <v>459</v>
          </cell>
          <cell r="DA125">
            <v>1522</v>
          </cell>
          <cell r="DB125">
            <v>1129</v>
          </cell>
          <cell r="DC125">
            <v>51</v>
          </cell>
          <cell r="DD125">
            <v>2409</v>
          </cell>
          <cell r="DE125">
            <v>1692</v>
          </cell>
          <cell r="DF125">
            <v>116</v>
          </cell>
          <cell r="DG125">
            <v>601</v>
          </cell>
          <cell r="DH125">
            <v>9499</v>
          </cell>
          <cell r="DI125">
            <v>2831</v>
          </cell>
          <cell r="DJ125">
            <v>2209</v>
          </cell>
          <cell r="DK125">
            <v>1257</v>
          </cell>
          <cell r="DL125">
            <v>2236</v>
          </cell>
          <cell r="DM125">
            <v>966</v>
          </cell>
          <cell r="DN125">
            <v>12676</v>
          </cell>
          <cell r="DO125">
            <v>3206</v>
          </cell>
          <cell r="DP125">
            <v>6765</v>
          </cell>
          <cell r="DQ125">
            <v>2705</v>
          </cell>
          <cell r="DR125">
            <v>3644</v>
          </cell>
          <cell r="DS125">
            <v>1065</v>
          </cell>
          <cell r="DT125">
            <v>1097</v>
          </cell>
          <cell r="DU125">
            <v>731</v>
          </cell>
          <cell r="DV125">
            <v>751</v>
          </cell>
          <cell r="DW125">
            <v>0</v>
          </cell>
          <cell r="DX125">
            <v>7505</v>
          </cell>
          <cell r="DY125">
            <v>35196</v>
          </cell>
          <cell r="DZ125">
            <v>27830</v>
          </cell>
          <cell r="EA125">
            <v>26480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1350</v>
          </cell>
          <cell r="EG125">
            <v>7366</v>
          </cell>
          <cell r="EH125">
            <v>38586</v>
          </cell>
          <cell r="EI125">
            <v>7371</v>
          </cell>
          <cell r="EJ125">
            <v>1970</v>
          </cell>
          <cell r="EK125">
            <v>267</v>
          </cell>
          <cell r="EL125">
            <v>5134</v>
          </cell>
          <cell r="EM125">
            <v>1458</v>
          </cell>
          <cell r="EN125">
            <v>2781</v>
          </cell>
          <cell r="EO125">
            <v>2215</v>
          </cell>
          <cell r="EP125">
            <v>566</v>
          </cell>
          <cell r="EQ125">
            <v>3617</v>
          </cell>
          <cell r="ER125">
            <v>4762</v>
          </cell>
          <cell r="ES125">
            <v>2317</v>
          </cell>
          <cell r="ET125">
            <v>293</v>
          </cell>
          <cell r="EU125">
            <v>817</v>
          </cell>
          <cell r="EV125">
            <v>766</v>
          </cell>
          <cell r="EW125">
            <v>569</v>
          </cell>
          <cell r="EX125">
            <v>13973</v>
          </cell>
          <cell r="EY125">
            <v>5504</v>
          </cell>
          <cell r="EZ125">
            <v>8469</v>
          </cell>
          <cell r="FA125">
            <v>4624</v>
          </cell>
          <cell r="FB125">
            <v>333689</v>
          </cell>
          <cell r="FC125">
            <v>0</v>
          </cell>
          <cell r="FD125">
            <v>30354</v>
          </cell>
          <cell r="FE125">
            <v>8057</v>
          </cell>
          <cell r="FF125">
            <v>623</v>
          </cell>
          <cell r="FG125">
            <v>12421</v>
          </cell>
          <cell r="FH125">
            <v>1621</v>
          </cell>
          <cell r="FI125">
            <v>5417</v>
          </cell>
          <cell r="FJ125">
            <v>2215</v>
          </cell>
          <cell r="FK125">
            <v>132592</v>
          </cell>
          <cell r="FL125">
            <v>29308</v>
          </cell>
          <cell r="FM125">
            <v>11347</v>
          </cell>
          <cell r="FN125">
            <v>13745</v>
          </cell>
          <cell r="FO125">
            <v>9604</v>
          </cell>
          <cell r="FP125">
            <v>15392</v>
          </cell>
          <cell r="FQ125">
            <v>2813</v>
          </cell>
          <cell r="FR125">
            <v>21857</v>
          </cell>
          <cell r="FS125">
            <v>1621</v>
          </cell>
          <cell r="FT125">
            <v>18723</v>
          </cell>
          <cell r="FU125">
            <v>8182</v>
          </cell>
          <cell r="FV125">
            <v>73896</v>
          </cell>
          <cell r="FW125">
            <v>29308</v>
          </cell>
          <cell r="FX125">
            <v>11347</v>
          </cell>
          <cell r="FY125">
            <v>9604</v>
          </cell>
          <cell r="FZ125">
            <v>2075</v>
          </cell>
          <cell r="GA125">
            <v>2190</v>
          </cell>
          <cell r="GB125">
            <v>8166</v>
          </cell>
          <cell r="GC125">
            <v>6072</v>
          </cell>
          <cell r="GD125">
            <v>5134</v>
          </cell>
          <cell r="GE125">
            <v>3674</v>
          </cell>
          <cell r="GF125">
            <v>-10430</v>
          </cell>
          <cell r="GG125">
            <v>14104</v>
          </cell>
          <cell r="GH125">
            <v>197423</v>
          </cell>
          <cell r="GI125">
            <v>235</v>
          </cell>
          <cell r="GJ125">
            <v>78545</v>
          </cell>
          <cell r="GK125">
            <v>1268</v>
          </cell>
          <cell r="GL125">
            <v>3971</v>
          </cell>
          <cell r="GM125">
            <v>20397</v>
          </cell>
          <cell r="GN125">
            <v>5608</v>
          </cell>
          <cell r="GO125">
            <v>14294</v>
          </cell>
          <cell r="GP125">
            <v>7505</v>
          </cell>
          <cell r="GQ125">
            <v>35196</v>
          </cell>
          <cell r="GR125">
            <v>30404</v>
          </cell>
          <cell r="GS125">
            <v>28342</v>
          </cell>
          <cell r="GT125">
            <v>13745</v>
          </cell>
          <cell r="GU125">
            <v>5260</v>
          </cell>
          <cell r="GV125">
            <v>1270</v>
          </cell>
          <cell r="GW125">
            <v>7234</v>
          </cell>
          <cell r="GX125">
            <v>833</v>
          </cell>
        </row>
        <row r="126">
          <cell r="A126" t="str">
            <v>2020 Q2</v>
          </cell>
          <cell r="B126">
            <v>257411</v>
          </cell>
          <cell r="C126">
            <v>29516</v>
          </cell>
          <cell r="D126">
            <v>26506</v>
          </cell>
          <cell r="E126">
            <v>5406</v>
          </cell>
          <cell r="F126">
            <v>5352</v>
          </cell>
          <cell r="G126">
            <v>1250</v>
          </cell>
          <cell r="H126">
            <v>3184</v>
          </cell>
          <cell r="I126">
            <v>792</v>
          </cell>
          <cell r="J126">
            <v>2568</v>
          </cell>
          <cell r="K126">
            <v>3873</v>
          </cell>
          <cell r="L126">
            <v>2924</v>
          </cell>
          <cell r="M126">
            <v>1157</v>
          </cell>
          <cell r="N126">
            <v>3010</v>
          </cell>
          <cell r="O126">
            <v>722</v>
          </cell>
          <cell r="P126">
            <v>2288</v>
          </cell>
          <cell r="Q126">
            <v>12961</v>
          </cell>
          <cell r="R126">
            <v>7382</v>
          </cell>
          <cell r="S126">
            <v>2119</v>
          </cell>
          <cell r="T126">
            <v>3202</v>
          </cell>
          <cell r="U126">
            <v>2061</v>
          </cell>
          <cell r="V126">
            <v>5031</v>
          </cell>
          <cell r="W126">
            <v>548</v>
          </cell>
          <cell r="X126">
            <v>11443</v>
          </cell>
          <cell r="Y126">
            <v>9826</v>
          </cell>
          <cell r="Z126">
            <v>80</v>
          </cell>
          <cell r="AA126">
            <v>8613</v>
          </cell>
          <cell r="AB126">
            <v>1046</v>
          </cell>
          <cell r="AC126">
            <v>87</v>
          </cell>
          <cell r="AD126">
            <v>1617</v>
          </cell>
          <cell r="AE126">
            <v>1609</v>
          </cell>
          <cell r="AF126">
            <v>8</v>
          </cell>
          <cell r="AG126">
            <v>88493</v>
          </cell>
          <cell r="AH126">
            <v>20904</v>
          </cell>
          <cell r="AI126">
            <v>20826</v>
          </cell>
          <cell r="AJ126">
            <v>78</v>
          </cell>
          <cell r="AK126">
            <v>56185</v>
          </cell>
          <cell r="AL126">
            <v>53232</v>
          </cell>
          <cell r="AM126">
            <v>2953</v>
          </cell>
          <cell r="AN126">
            <v>830</v>
          </cell>
          <cell r="AO126">
            <v>340</v>
          </cell>
          <cell r="AP126">
            <v>490</v>
          </cell>
          <cell r="AQ126">
            <v>2741</v>
          </cell>
          <cell r="AR126">
            <v>1344</v>
          </cell>
          <cell r="AS126">
            <v>87</v>
          </cell>
          <cell r="AT126">
            <v>1310</v>
          </cell>
          <cell r="AU126">
            <v>0</v>
          </cell>
          <cell r="AV126">
            <v>7833</v>
          </cell>
          <cell r="AW126">
            <v>4867</v>
          </cell>
          <cell r="AX126">
            <v>2664</v>
          </cell>
          <cell r="AY126">
            <v>210</v>
          </cell>
          <cell r="AZ126">
            <v>92</v>
          </cell>
          <cell r="BA126">
            <v>0</v>
          </cell>
          <cell r="BB126">
            <v>15259</v>
          </cell>
          <cell r="BC126">
            <v>4822</v>
          </cell>
          <cell r="BD126">
            <v>4093</v>
          </cell>
          <cell r="BE126">
            <v>727</v>
          </cell>
          <cell r="BF126">
            <v>2</v>
          </cell>
          <cell r="BG126">
            <v>1466</v>
          </cell>
          <cell r="BH126">
            <v>2936</v>
          </cell>
          <cell r="BI126">
            <v>2614</v>
          </cell>
          <cell r="BJ126">
            <v>198</v>
          </cell>
          <cell r="BK126">
            <v>124</v>
          </cell>
          <cell r="BL126">
            <v>1503</v>
          </cell>
          <cell r="BM126">
            <v>1594</v>
          </cell>
          <cell r="BN126">
            <v>263</v>
          </cell>
          <cell r="BO126">
            <v>1331</v>
          </cell>
          <cell r="BP126">
            <v>2938</v>
          </cell>
          <cell r="BQ126">
            <v>2268</v>
          </cell>
          <cell r="BR126">
            <v>670</v>
          </cell>
          <cell r="BS126">
            <v>4380</v>
          </cell>
          <cell r="BT126">
            <v>2153</v>
          </cell>
          <cell r="BU126">
            <v>1852</v>
          </cell>
          <cell r="BV126">
            <v>108</v>
          </cell>
          <cell r="BW126">
            <v>193</v>
          </cell>
          <cell r="BX126">
            <v>1003</v>
          </cell>
          <cell r="BY126">
            <v>652</v>
          </cell>
          <cell r="BZ126">
            <v>170</v>
          </cell>
          <cell r="CA126">
            <v>181</v>
          </cell>
          <cell r="CB126">
            <v>1224</v>
          </cell>
          <cell r="CC126">
            <v>17551</v>
          </cell>
          <cell r="CD126">
            <v>7850</v>
          </cell>
          <cell r="CE126">
            <v>7302</v>
          </cell>
          <cell r="CF126">
            <v>105</v>
          </cell>
          <cell r="CG126">
            <v>443</v>
          </cell>
          <cell r="CH126">
            <v>8110</v>
          </cell>
          <cell r="CI126">
            <v>783</v>
          </cell>
          <cell r="CJ126">
            <v>3539</v>
          </cell>
          <cell r="CK126">
            <v>2816</v>
          </cell>
          <cell r="CL126">
            <v>972</v>
          </cell>
          <cell r="CM126">
            <v>1591</v>
          </cell>
          <cell r="CN126">
            <v>257</v>
          </cell>
          <cell r="CO126">
            <v>644</v>
          </cell>
          <cell r="CP126">
            <v>370</v>
          </cell>
          <cell r="CQ126">
            <v>10</v>
          </cell>
          <cell r="CR126">
            <v>310</v>
          </cell>
          <cell r="CS126">
            <v>7137</v>
          </cell>
          <cell r="CT126">
            <v>305</v>
          </cell>
          <cell r="CU126">
            <v>1424</v>
          </cell>
          <cell r="CV126">
            <v>5408</v>
          </cell>
          <cell r="CW126">
            <v>24866</v>
          </cell>
          <cell r="CX126">
            <v>4911</v>
          </cell>
          <cell r="CY126">
            <v>1551</v>
          </cell>
          <cell r="CZ126">
            <v>361</v>
          </cell>
          <cell r="DA126">
            <v>1617</v>
          </cell>
          <cell r="DB126">
            <v>1339</v>
          </cell>
          <cell r="DC126">
            <v>43</v>
          </cell>
          <cell r="DD126">
            <v>1925</v>
          </cell>
          <cell r="DE126">
            <v>1218</v>
          </cell>
          <cell r="DF126">
            <v>144</v>
          </cell>
          <cell r="DG126">
            <v>563</v>
          </cell>
          <cell r="DH126">
            <v>8477</v>
          </cell>
          <cell r="DI126">
            <v>2594</v>
          </cell>
          <cell r="DJ126">
            <v>1921</v>
          </cell>
          <cell r="DK126">
            <v>1548</v>
          </cell>
          <cell r="DL126">
            <v>1798</v>
          </cell>
          <cell r="DM126">
            <v>616</v>
          </cell>
          <cell r="DN126">
            <v>6528</v>
          </cell>
          <cell r="DO126">
            <v>1521</v>
          </cell>
          <cell r="DP126">
            <v>2726</v>
          </cell>
          <cell r="DQ126">
            <v>2281</v>
          </cell>
          <cell r="DR126">
            <v>3025</v>
          </cell>
          <cell r="DS126">
            <v>921</v>
          </cell>
          <cell r="DT126">
            <v>855</v>
          </cell>
          <cell r="DU126">
            <v>683</v>
          </cell>
          <cell r="DV126">
            <v>566</v>
          </cell>
          <cell r="DW126">
            <v>0</v>
          </cell>
          <cell r="DX126">
            <v>7362</v>
          </cell>
          <cell r="DY126">
            <v>7010</v>
          </cell>
          <cell r="DZ126">
            <v>6316</v>
          </cell>
          <cell r="EA126">
            <v>5961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355</v>
          </cell>
          <cell r="EG126">
            <v>694</v>
          </cell>
          <cell r="EH126">
            <v>31433</v>
          </cell>
          <cell r="EI126">
            <v>5228</v>
          </cell>
          <cell r="EJ126">
            <v>89</v>
          </cell>
          <cell r="EK126">
            <v>113</v>
          </cell>
          <cell r="EL126">
            <v>5026</v>
          </cell>
          <cell r="EM126">
            <v>555</v>
          </cell>
          <cell r="EN126">
            <v>2020</v>
          </cell>
          <cell r="EO126">
            <v>1561</v>
          </cell>
          <cell r="EP126">
            <v>459</v>
          </cell>
          <cell r="EQ126">
            <v>2671</v>
          </cell>
          <cell r="ER126">
            <v>4610</v>
          </cell>
          <cell r="ES126">
            <v>2243</v>
          </cell>
          <cell r="ET126">
            <v>292</v>
          </cell>
          <cell r="EU126">
            <v>797</v>
          </cell>
          <cell r="EV126">
            <v>1126</v>
          </cell>
          <cell r="EW126">
            <v>152</v>
          </cell>
          <cell r="EX126">
            <v>12209</v>
          </cell>
          <cell r="EY126">
            <v>4640</v>
          </cell>
          <cell r="EZ126">
            <v>7569</v>
          </cell>
          <cell r="FA126">
            <v>4140</v>
          </cell>
          <cell r="FB126">
            <v>256275</v>
          </cell>
          <cell r="FC126">
            <v>0</v>
          </cell>
          <cell r="FD126">
            <v>23616</v>
          </cell>
          <cell r="FE126">
            <v>7697</v>
          </cell>
          <cell r="FF126">
            <v>193</v>
          </cell>
          <cell r="FG126">
            <v>7850</v>
          </cell>
          <cell r="FH126">
            <v>1424</v>
          </cell>
          <cell r="FI126">
            <v>4891</v>
          </cell>
          <cell r="FJ126">
            <v>1561</v>
          </cell>
          <cell r="FK126">
            <v>117829</v>
          </cell>
          <cell r="FL126">
            <v>29516</v>
          </cell>
          <cell r="FM126">
            <v>12961</v>
          </cell>
          <cell r="FN126">
            <v>11348</v>
          </cell>
          <cell r="FO126">
            <v>9517</v>
          </cell>
          <cell r="FP126">
            <v>14463</v>
          </cell>
          <cell r="FQ126">
            <v>2153</v>
          </cell>
          <cell r="FR126">
            <v>12172</v>
          </cell>
          <cell r="FS126">
            <v>1424</v>
          </cell>
          <cell r="FT126">
            <v>17116</v>
          </cell>
          <cell r="FU126">
            <v>7159</v>
          </cell>
          <cell r="FV126">
            <v>70237</v>
          </cell>
          <cell r="FW126">
            <v>29516</v>
          </cell>
          <cell r="FX126">
            <v>12961</v>
          </cell>
          <cell r="FY126">
            <v>9517</v>
          </cell>
          <cell r="FZ126">
            <v>2268</v>
          </cell>
          <cell r="GA126">
            <v>1960</v>
          </cell>
          <cell r="GB126">
            <v>3539</v>
          </cell>
          <cell r="GC126">
            <v>5450</v>
          </cell>
          <cell r="GD126">
            <v>5026</v>
          </cell>
          <cell r="GE126">
            <v>-1136</v>
          </cell>
          <cell r="GF126">
            <v>-3343</v>
          </cell>
          <cell r="GG126">
            <v>2207</v>
          </cell>
          <cell r="GH126">
            <v>139582</v>
          </cell>
          <cell r="GI126">
            <v>95</v>
          </cell>
          <cell r="GJ126">
            <v>78976</v>
          </cell>
          <cell r="GK126">
            <v>796</v>
          </cell>
          <cell r="GL126">
            <v>2227</v>
          </cell>
          <cell r="GM126">
            <v>5379</v>
          </cell>
          <cell r="GN126">
            <v>5713</v>
          </cell>
          <cell r="GO126">
            <v>7750</v>
          </cell>
          <cell r="GP126">
            <v>7362</v>
          </cell>
          <cell r="GQ126">
            <v>7010</v>
          </cell>
          <cell r="GR126">
            <v>24274</v>
          </cell>
          <cell r="GS126">
            <v>23976</v>
          </cell>
          <cell r="GT126">
            <v>11348</v>
          </cell>
          <cell r="GU126">
            <v>4498</v>
          </cell>
          <cell r="GV126">
            <v>783</v>
          </cell>
          <cell r="GW126">
            <v>6775</v>
          </cell>
          <cell r="GX126">
            <v>572</v>
          </cell>
        </row>
        <row r="127">
          <cell r="A127" t="str">
            <v>2020 Q3</v>
          </cell>
          <cell r="B127">
            <v>308252</v>
          </cell>
          <cell r="C127">
            <v>28546</v>
          </cell>
          <cell r="D127">
            <v>25650</v>
          </cell>
          <cell r="E127">
            <v>5029</v>
          </cell>
          <cell r="F127">
            <v>4811</v>
          </cell>
          <cell r="G127">
            <v>1243</v>
          </cell>
          <cell r="H127">
            <v>3104</v>
          </cell>
          <cell r="I127">
            <v>770</v>
          </cell>
          <cell r="J127">
            <v>2556</v>
          </cell>
          <cell r="K127">
            <v>3868</v>
          </cell>
          <cell r="L127">
            <v>2982</v>
          </cell>
          <cell r="M127">
            <v>1287</v>
          </cell>
          <cell r="N127">
            <v>2896</v>
          </cell>
          <cell r="O127">
            <v>617</v>
          </cell>
          <cell r="P127">
            <v>2279</v>
          </cell>
          <cell r="Q127">
            <v>12727</v>
          </cell>
          <cell r="R127">
            <v>7007</v>
          </cell>
          <cell r="S127">
            <v>2091</v>
          </cell>
          <cell r="T127">
            <v>3070</v>
          </cell>
          <cell r="U127">
            <v>1846</v>
          </cell>
          <cell r="V127">
            <v>5001</v>
          </cell>
          <cell r="W127">
            <v>719</v>
          </cell>
          <cell r="X127">
            <v>14811</v>
          </cell>
          <cell r="Y127">
            <v>12624</v>
          </cell>
          <cell r="Z127">
            <v>116</v>
          </cell>
          <cell r="AA127">
            <v>10927</v>
          </cell>
          <cell r="AB127">
            <v>1425</v>
          </cell>
          <cell r="AC127">
            <v>156</v>
          </cell>
          <cell r="AD127">
            <v>2187</v>
          </cell>
          <cell r="AE127">
            <v>2174</v>
          </cell>
          <cell r="AF127">
            <v>13</v>
          </cell>
          <cell r="AG127">
            <v>89228</v>
          </cell>
          <cell r="AH127">
            <v>20917</v>
          </cell>
          <cell r="AI127">
            <v>20839</v>
          </cell>
          <cell r="AJ127">
            <v>78</v>
          </cell>
          <cell r="AK127">
            <v>56532</v>
          </cell>
          <cell r="AL127">
            <v>53563</v>
          </cell>
          <cell r="AM127">
            <v>2969</v>
          </cell>
          <cell r="AN127">
            <v>785</v>
          </cell>
          <cell r="AO127">
            <v>380</v>
          </cell>
          <cell r="AP127">
            <v>405</v>
          </cell>
          <cell r="AQ127">
            <v>2791</v>
          </cell>
          <cell r="AR127">
            <v>1363</v>
          </cell>
          <cell r="AS127">
            <v>84</v>
          </cell>
          <cell r="AT127">
            <v>1344</v>
          </cell>
          <cell r="AU127">
            <v>0</v>
          </cell>
          <cell r="AV127">
            <v>8203</v>
          </cell>
          <cell r="AW127">
            <v>4582</v>
          </cell>
          <cell r="AX127">
            <v>3363</v>
          </cell>
          <cell r="AY127">
            <v>166</v>
          </cell>
          <cell r="AZ127">
            <v>92</v>
          </cell>
          <cell r="BA127">
            <v>0</v>
          </cell>
          <cell r="BB127">
            <v>18367</v>
          </cell>
          <cell r="BC127">
            <v>6916</v>
          </cell>
          <cell r="BD127">
            <v>5632</v>
          </cell>
          <cell r="BE127">
            <v>1277</v>
          </cell>
          <cell r="BF127">
            <v>7</v>
          </cell>
          <cell r="BG127">
            <v>1998</v>
          </cell>
          <cell r="BH127">
            <v>2927</v>
          </cell>
          <cell r="BI127">
            <v>2312</v>
          </cell>
          <cell r="BJ127">
            <v>483</v>
          </cell>
          <cell r="BK127">
            <v>132</v>
          </cell>
          <cell r="BL127">
            <v>1714</v>
          </cell>
          <cell r="BM127">
            <v>1794</v>
          </cell>
          <cell r="BN127">
            <v>280</v>
          </cell>
          <cell r="BO127">
            <v>1514</v>
          </cell>
          <cell r="BP127">
            <v>3018</v>
          </cell>
          <cell r="BQ127">
            <v>1941</v>
          </cell>
          <cell r="BR127">
            <v>1077</v>
          </cell>
          <cell r="BS127">
            <v>5151</v>
          </cell>
          <cell r="BT127">
            <v>2649</v>
          </cell>
          <cell r="BU127">
            <v>1766</v>
          </cell>
          <cell r="BV127">
            <v>133</v>
          </cell>
          <cell r="BW127">
            <v>750</v>
          </cell>
          <cell r="BX127">
            <v>1007</v>
          </cell>
          <cell r="BY127">
            <v>563</v>
          </cell>
          <cell r="BZ127">
            <v>219</v>
          </cell>
          <cell r="CA127">
            <v>225</v>
          </cell>
          <cell r="CB127">
            <v>1495</v>
          </cell>
          <cell r="CC127">
            <v>33292</v>
          </cell>
          <cell r="CD127">
            <v>16986</v>
          </cell>
          <cell r="CE127">
            <v>16285</v>
          </cell>
          <cell r="CF127">
            <v>261</v>
          </cell>
          <cell r="CG127">
            <v>440</v>
          </cell>
          <cell r="CH127">
            <v>13099</v>
          </cell>
          <cell r="CI127">
            <v>1174</v>
          </cell>
          <cell r="CJ127">
            <v>5724</v>
          </cell>
          <cell r="CK127">
            <v>3772</v>
          </cell>
          <cell r="CL127">
            <v>2429</v>
          </cell>
          <cell r="CM127">
            <v>3207</v>
          </cell>
          <cell r="CN127">
            <v>397</v>
          </cell>
          <cell r="CO127">
            <v>1197</v>
          </cell>
          <cell r="CP127">
            <v>746</v>
          </cell>
          <cell r="CQ127">
            <v>351</v>
          </cell>
          <cell r="CR127">
            <v>516</v>
          </cell>
          <cell r="CS127">
            <v>7593</v>
          </cell>
          <cell r="CT127">
            <v>298</v>
          </cell>
          <cell r="CU127">
            <v>1629</v>
          </cell>
          <cell r="CV127">
            <v>5666</v>
          </cell>
          <cell r="CW127">
            <v>28789</v>
          </cell>
          <cell r="CX127">
            <v>4970</v>
          </cell>
          <cell r="CY127">
            <v>1702</v>
          </cell>
          <cell r="CZ127">
            <v>555</v>
          </cell>
          <cell r="DA127">
            <v>1584</v>
          </cell>
          <cell r="DB127">
            <v>1100</v>
          </cell>
          <cell r="DC127">
            <v>29</v>
          </cell>
          <cell r="DD127">
            <v>1779</v>
          </cell>
          <cell r="DE127">
            <v>1285</v>
          </cell>
          <cell r="DF127">
            <v>156</v>
          </cell>
          <cell r="DG127">
            <v>338</v>
          </cell>
          <cell r="DH127">
            <v>9799</v>
          </cell>
          <cell r="DI127">
            <v>2972</v>
          </cell>
          <cell r="DJ127">
            <v>2355</v>
          </cell>
          <cell r="DK127">
            <v>1645</v>
          </cell>
          <cell r="DL127">
            <v>1962</v>
          </cell>
          <cell r="DM127">
            <v>865</v>
          </cell>
          <cell r="DN127">
            <v>9006</v>
          </cell>
          <cell r="DO127">
            <v>2574</v>
          </cell>
          <cell r="DP127">
            <v>3789</v>
          </cell>
          <cell r="DQ127">
            <v>2643</v>
          </cell>
          <cell r="DR127">
            <v>3235</v>
          </cell>
          <cell r="DS127">
            <v>836</v>
          </cell>
          <cell r="DT127">
            <v>890</v>
          </cell>
          <cell r="DU127">
            <v>752</v>
          </cell>
          <cell r="DV127">
            <v>757</v>
          </cell>
          <cell r="DW127">
            <v>0</v>
          </cell>
          <cell r="DX127">
            <v>7450</v>
          </cell>
          <cell r="DY127">
            <v>24933</v>
          </cell>
          <cell r="DZ127">
            <v>20826</v>
          </cell>
          <cell r="EA127">
            <v>20181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645</v>
          </cell>
          <cell r="EG127">
            <v>4107</v>
          </cell>
          <cell r="EH127">
            <v>37365</v>
          </cell>
          <cell r="EI127">
            <v>7621</v>
          </cell>
          <cell r="EJ127">
            <v>1651</v>
          </cell>
          <cell r="EK127">
            <v>541</v>
          </cell>
          <cell r="EL127">
            <v>5429</v>
          </cell>
          <cell r="EM127">
            <v>1104</v>
          </cell>
          <cell r="EN127">
            <v>3246</v>
          </cell>
          <cell r="EO127">
            <v>2647</v>
          </cell>
          <cell r="EP127">
            <v>599</v>
          </cell>
          <cell r="EQ127">
            <v>2873</v>
          </cell>
          <cell r="ER127">
            <v>4828</v>
          </cell>
          <cell r="ES127">
            <v>2189</v>
          </cell>
          <cell r="ET127">
            <v>449</v>
          </cell>
          <cell r="EU127">
            <v>799</v>
          </cell>
          <cell r="EV127">
            <v>1066</v>
          </cell>
          <cell r="EW127">
            <v>325</v>
          </cell>
          <cell r="EX127">
            <v>13048</v>
          </cell>
          <cell r="EY127">
            <v>5263</v>
          </cell>
          <cell r="EZ127">
            <v>7785</v>
          </cell>
          <cell r="FA127">
            <v>4645</v>
          </cell>
          <cell r="FB127">
            <v>308053</v>
          </cell>
          <cell r="FC127">
            <v>0</v>
          </cell>
          <cell r="FD127">
            <v>36795</v>
          </cell>
          <cell r="FE127">
            <v>9501</v>
          </cell>
          <cell r="FF127">
            <v>750</v>
          </cell>
          <cell r="FG127">
            <v>16986</v>
          </cell>
          <cell r="FH127">
            <v>1629</v>
          </cell>
          <cell r="FI127">
            <v>5282</v>
          </cell>
          <cell r="FJ127">
            <v>2647</v>
          </cell>
          <cell r="FK127">
            <v>138941</v>
          </cell>
          <cell r="FL127">
            <v>28546</v>
          </cell>
          <cell r="FM127">
            <v>12727</v>
          </cell>
          <cell r="FN127">
            <v>14642</v>
          </cell>
          <cell r="FO127">
            <v>9946</v>
          </cell>
          <cell r="FP127">
            <v>17151</v>
          </cell>
          <cell r="FQ127">
            <v>2649</v>
          </cell>
          <cell r="FR127">
            <v>23884</v>
          </cell>
          <cell r="FS127">
            <v>1629</v>
          </cell>
          <cell r="FT127">
            <v>18551</v>
          </cell>
          <cell r="FU127">
            <v>9216</v>
          </cell>
          <cell r="FV127">
            <v>72218</v>
          </cell>
          <cell r="FW127">
            <v>28546</v>
          </cell>
          <cell r="FX127">
            <v>12727</v>
          </cell>
          <cell r="FY127">
            <v>9946</v>
          </cell>
          <cell r="FZ127">
            <v>1941</v>
          </cell>
          <cell r="GA127">
            <v>1899</v>
          </cell>
          <cell r="GB127">
            <v>5724</v>
          </cell>
          <cell r="GC127">
            <v>6006</v>
          </cell>
          <cell r="GD127">
            <v>5429</v>
          </cell>
          <cell r="GE127">
            <v>-199</v>
          </cell>
          <cell r="GF127">
            <v>-3465</v>
          </cell>
          <cell r="GG127">
            <v>3266</v>
          </cell>
          <cell r="GH127">
            <v>169311</v>
          </cell>
          <cell r="GI127">
            <v>169</v>
          </cell>
          <cell r="GJ127">
            <v>79282</v>
          </cell>
          <cell r="GK127">
            <v>1216</v>
          </cell>
          <cell r="GL127">
            <v>2502</v>
          </cell>
          <cell r="GM127">
            <v>9408</v>
          </cell>
          <cell r="GN127">
            <v>5964</v>
          </cell>
          <cell r="GO127">
            <v>10238</v>
          </cell>
          <cell r="GP127">
            <v>7450</v>
          </cell>
          <cell r="GQ127">
            <v>24933</v>
          </cell>
          <cell r="GR127">
            <v>28149</v>
          </cell>
          <cell r="GS127">
            <v>29928</v>
          </cell>
          <cell r="GT127">
            <v>14642</v>
          </cell>
          <cell r="GU127">
            <v>5709</v>
          </cell>
          <cell r="GV127">
            <v>1174</v>
          </cell>
          <cell r="GW127">
            <v>7263</v>
          </cell>
          <cell r="GX127">
            <v>1140</v>
          </cell>
        </row>
        <row r="128">
          <cell r="A128" t="str">
            <v>2020 Q4</v>
          </cell>
          <cell r="B128">
            <v>302281</v>
          </cell>
          <cell r="C128">
            <v>28288</v>
          </cell>
          <cell r="D128">
            <v>25410</v>
          </cell>
          <cell r="E128">
            <v>4825</v>
          </cell>
          <cell r="F128">
            <v>4965</v>
          </cell>
          <cell r="G128">
            <v>1205</v>
          </cell>
          <cell r="H128">
            <v>3167</v>
          </cell>
          <cell r="I128">
            <v>723</v>
          </cell>
          <cell r="J128">
            <v>2539</v>
          </cell>
          <cell r="K128">
            <v>3767</v>
          </cell>
          <cell r="L128">
            <v>3017</v>
          </cell>
          <cell r="M128">
            <v>1202</v>
          </cell>
          <cell r="N128">
            <v>2878</v>
          </cell>
          <cell r="O128">
            <v>613</v>
          </cell>
          <cell r="P128">
            <v>2265</v>
          </cell>
          <cell r="Q128">
            <v>12276</v>
          </cell>
          <cell r="R128">
            <v>6563</v>
          </cell>
          <cell r="S128">
            <v>1815</v>
          </cell>
          <cell r="T128">
            <v>2816</v>
          </cell>
          <cell r="U128">
            <v>1932</v>
          </cell>
          <cell r="V128">
            <v>5005</v>
          </cell>
          <cell r="W128">
            <v>708</v>
          </cell>
          <cell r="X128">
            <v>15191</v>
          </cell>
          <cell r="Y128">
            <v>12923</v>
          </cell>
          <cell r="Z128">
            <v>156</v>
          </cell>
          <cell r="AA128">
            <v>11082</v>
          </cell>
          <cell r="AB128">
            <v>1524</v>
          </cell>
          <cell r="AC128">
            <v>161</v>
          </cell>
          <cell r="AD128">
            <v>2268</v>
          </cell>
          <cell r="AE128">
            <v>2262</v>
          </cell>
          <cell r="AF128">
            <v>6</v>
          </cell>
          <cell r="AG128">
            <v>89341</v>
          </cell>
          <cell r="AH128">
            <v>21001</v>
          </cell>
          <cell r="AI128">
            <v>20924</v>
          </cell>
          <cell r="AJ128">
            <v>77</v>
          </cell>
          <cell r="AK128">
            <v>56835</v>
          </cell>
          <cell r="AL128">
            <v>53855</v>
          </cell>
          <cell r="AM128">
            <v>2980</v>
          </cell>
          <cell r="AN128">
            <v>871</v>
          </cell>
          <cell r="AO128">
            <v>405</v>
          </cell>
          <cell r="AP128">
            <v>466</v>
          </cell>
          <cell r="AQ128">
            <v>2775</v>
          </cell>
          <cell r="AR128">
            <v>1361</v>
          </cell>
          <cell r="AS128">
            <v>51</v>
          </cell>
          <cell r="AT128">
            <v>1363</v>
          </cell>
          <cell r="AU128">
            <v>0</v>
          </cell>
          <cell r="AV128">
            <v>7859</v>
          </cell>
          <cell r="AW128">
            <v>4646</v>
          </cell>
          <cell r="AX128">
            <v>2951</v>
          </cell>
          <cell r="AY128">
            <v>175</v>
          </cell>
          <cell r="AZ128">
            <v>87</v>
          </cell>
          <cell r="BA128">
            <v>0</v>
          </cell>
          <cell r="BB128">
            <v>17901</v>
          </cell>
          <cell r="BC128">
            <v>6886</v>
          </cell>
          <cell r="BD128">
            <v>5753</v>
          </cell>
          <cell r="BE128">
            <v>1129</v>
          </cell>
          <cell r="BF128">
            <v>4</v>
          </cell>
          <cell r="BG128">
            <v>1881</v>
          </cell>
          <cell r="BH128">
            <v>2844</v>
          </cell>
          <cell r="BI128">
            <v>1965</v>
          </cell>
          <cell r="BJ128">
            <v>751</v>
          </cell>
          <cell r="BK128">
            <v>128</v>
          </cell>
          <cell r="BL128">
            <v>1775</v>
          </cell>
          <cell r="BM128">
            <v>1709</v>
          </cell>
          <cell r="BN128">
            <v>127</v>
          </cell>
          <cell r="BO128">
            <v>1582</v>
          </cell>
          <cell r="BP128">
            <v>2806</v>
          </cell>
          <cell r="BQ128">
            <v>1783</v>
          </cell>
          <cell r="BR128">
            <v>1023</v>
          </cell>
          <cell r="BS128">
            <v>5954</v>
          </cell>
          <cell r="BT128">
            <v>2825</v>
          </cell>
          <cell r="BU128">
            <v>1693</v>
          </cell>
          <cell r="BV128">
            <v>174</v>
          </cell>
          <cell r="BW128">
            <v>958</v>
          </cell>
          <cell r="BX128">
            <v>1372</v>
          </cell>
          <cell r="BY128">
            <v>631</v>
          </cell>
          <cell r="BZ128">
            <v>470</v>
          </cell>
          <cell r="CA128">
            <v>271</v>
          </cell>
          <cell r="CB128">
            <v>1757</v>
          </cell>
          <cell r="CC128">
            <v>29983</v>
          </cell>
          <cell r="CD128">
            <v>13761</v>
          </cell>
          <cell r="CE128">
            <v>13093</v>
          </cell>
          <cell r="CF128">
            <v>230</v>
          </cell>
          <cell r="CG128">
            <v>438</v>
          </cell>
          <cell r="CH128">
            <v>12740</v>
          </cell>
          <cell r="CI128">
            <v>878</v>
          </cell>
          <cell r="CJ128">
            <v>5425</v>
          </cell>
          <cell r="CK128">
            <v>3824</v>
          </cell>
          <cell r="CL128">
            <v>2613</v>
          </cell>
          <cell r="CM128">
            <v>3482</v>
          </cell>
          <cell r="CN128">
            <v>888</v>
          </cell>
          <cell r="CO128">
            <v>1245</v>
          </cell>
          <cell r="CP128">
            <v>412</v>
          </cell>
          <cell r="CQ128">
            <v>320</v>
          </cell>
          <cell r="CR128">
            <v>617</v>
          </cell>
          <cell r="CS128">
            <v>7606</v>
          </cell>
          <cell r="CT128">
            <v>321</v>
          </cell>
          <cell r="CU128">
            <v>1686</v>
          </cell>
          <cell r="CV128">
            <v>5599</v>
          </cell>
          <cell r="CW128">
            <v>30700</v>
          </cell>
          <cell r="CX128">
            <v>5250</v>
          </cell>
          <cell r="CY128">
            <v>1741</v>
          </cell>
          <cell r="CZ128">
            <v>477</v>
          </cell>
          <cell r="DA128">
            <v>1529</v>
          </cell>
          <cell r="DB128">
            <v>1461</v>
          </cell>
          <cell r="DC128">
            <v>42</v>
          </cell>
          <cell r="DD128">
            <v>1806</v>
          </cell>
          <cell r="DE128">
            <v>1375</v>
          </cell>
          <cell r="DF128">
            <v>148</v>
          </cell>
          <cell r="DG128">
            <v>283</v>
          </cell>
          <cell r="DH128">
            <v>10608</v>
          </cell>
          <cell r="DI128">
            <v>3032</v>
          </cell>
          <cell r="DJ128">
            <v>2533</v>
          </cell>
          <cell r="DK128">
            <v>1541</v>
          </cell>
          <cell r="DL128">
            <v>2339</v>
          </cell>
          <cell r="DM128">
            <v>1163</v>
          </cell>
          <cell r="DN128">
            <v>9651</v>
          </cell>
          <cell r="DO128">
            <v>2501</v>
          </cell>
          <cell r="DP128">
            <v>4370</v>
          </cell>
          <cell r="DQ128">
            <v>2780</v>
          </cell>
          <cell r="DR128">
            <v>3385</v>
          </cell>
          <cell r="DS128">
            <v>971</v>
          </cell>
          <cell r="DT128">
            <v>889</v>
          </cell>
          <cell r="DU128">
            <v>707</v>
          </cell>
          <cell r="DV128">
            <v>818</v>
          </cell>
          <cell r="DW128">
            <v>0</v>
          </cell>
          <cell r="DX128">
            <v>7687</v>
          </cell>
          <cell r="DY128">
            <v>20855</v>
          </cell>
          <cell r="DZ128">
            <v>17823</v>
          </cell>
          <cell r="EA128">
            <v>17164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659</v>
          </cell>
          <cell r="EG128">
            <v>3032</v>
          </cell>
          <cell r="EH128">
            <v>36499</v>
          </cell>
          <cell r="EI128">
            <v>6925</v>
          </cell>
          <cell r="EJ128">
            <v>1295</v>
          </cell>
          <cell r="EK128">
            <v>276</v>
          </cell>
          <cell r="EL128">
            <v>5354</v>
          </cell>
          <cell r="EM128">
            <v>1014</v>
          </cell>
          <cell r="EN128">
            <v>3062</v>
          </cell>
          <cell r="EO128">
            <v>2468</v>
          </cell>
          <cell r="EP128">
            <v>594</v>
          </cell>
          <cell r="EQ128">
            <v>2861</v>
          </cell>
          <cell r="ER128">
            <v>4764</v>
          </cell>
          <cell r="ES128">
            <v>2171</v>
          </cell>
          <cell r="ET128">
            <v>431</v>
          </cell>
          <cell r="EU128">
            <v>895</v>
          </cell>
          <cell r="EV128">
            <v>1043</v>
          </cell>
          <cell r="EW128">
            <v>224</v>
          </cell>
          <cell r="EX128">
            <v>13480</v>
          </cell>
          <cell r="EY128">
            <v>5421</v>
          </cell>
          <cell r="EZ128">
            <v>8059</v>
          </cell>
          <cell r="FA128">
            <v>4393</v>
          </cell>
          <cell r="FB128">
            <v>302329</v>
          </cell>
          <cell r="FC128">
            <v>0</v>
          </cell>
          <cell r="FD128">
            <v>33117</v>
          </cell>
          <cell r="FE128">
            <v>8974</v>
          </cell>
          <cell r="FF128">
            <v>958</v>
          </cell>
          <cell r="FG128">
            <v>13761</v>
          </cell>
          <cell r="FH128">
            <v>1686</v>
          </cell>
          <cell r="FI128">
            <v>5270</v>
          </cell>
          <cell r="FJ128">
            <v>2468</v>
          </cell>
          <cell r="FK128">
            <v>134787</v>
          </cell>
          <cell r="FL128">
            <v>28288</v>
          </cell>
          <cell r="FM128">
            <v>12276</v>
          </cell>
          <cell r="FN128">
            <v>15024</v>
          </cell>
          <cell r="FO128">
            <v>9625</v>
          </cell>
          <cell r="FP128">
            <v>16746</v>
          </cell>
          <cell r="FQ128">
            <v>2825</v>
          </cell>
          <cell r="FR128">
            <v>20064</v>
          </cell>
          <cell r="FS128">
            <v>1686</v>
          </cell>
          <cell r="FT128">
            <v>19561</v>
          </cell>
          <cell r="FU128">
            <v>8692</v>
          </cell>
          <cell r="FV128">
            <v>70912</v>
          </cell>
          <cell r="FW128">
            <v>28288</v>
          </cell>
          <cell r="FX128">
            <v>12276</v>
          </cell>
          <cell r="FY128">
            <v>9625</v>
          </cell>
          <cell r="FZ128">
            <v>1783</v>
          </cell>
          <cell r="GA128">
            <v>1867</v>
          </cell>
          <cell r="GB128">
            <v>5425</v>
          </cell>
          <cell r="GC128">
            <v>6294</v>
          </cell>
          <cell r="GD128">
            <v>5354</v>
          </cell>
          <cell r="GE128">
            <v>48</v>
          </cell>
          <cell r="GF128">
            <v>-4530</v>
          </cell>
          <cell r="GG128">
            <v>4578</v>
          </cell>
          <cell r="GH128">
            <v>167494</v>
          </cell>
          <cell r="GI128">
            <v>167</v>
          </cell>
          <cell r="GJ128">
            <v>79716</v>
          </cell>
          <cell r="GK128">
            <v>1155</v>
          </cell>
          <cell r="GL128">
            <v>3129</v>
          </cell>
          <cell r="GM128">
            <v>9919</v>
          </cell>
          <cell r="GN128">
            <v>5920</v>
          </cell>
          <cell r="GO128">
            <v>11139</v>
          </cell>
          <cell r="GP128">
            <v>7687</v>
          </cell>
          <cell r="GQ128">
            <v>20855</v>
          </cell>
          <cell r="GR128">
            <v>27807</v>
          </cell>
          <cell r="GS128">
            <v>30758</v>
          </cell>
          <cell r="GT128">
            <v>15024</v>
          </cell>
          <cell r="GU128">
            <v>5989</v>
          </cell>
          <cell r="GV128">
            <v>878</v>
          </cell>
          <cell r="GW128">
            <v>7997</v>
          </cell>
          <cell r="GX128">
            <v>870</v>
          </cell>
        </row>
        <row r="129">
          <cell r="A129" t="str">
            <v>2021 Q1</v>
          </cell>
          <cell r="B129">
            <v>295358</v>
          </cell>
          <cell r="C129">
            <v>29424</v>
          </cell>
          <cell r="D129">
            <v>26305</v>
          </cell>
          <cell r="E129">
            <v>5007</v>
          </cell>
          <cell r="F129">
            <v>5156</v>
          </cell>
          <cell r="G129">
            <v>1333</v>
          </cell>
          <cell r="H129">
            <v>3020</v>
          </cell>
          <cell r="I129">
            <v>709</v>
          </cell>
          <cell r="J129">
            <v>2634</v>
          </cell>
          <cell r="K129">
            <v>3904</v>
          </cell>
          <cell r="L129">
            <v>3319</v>
          </cell>
          <cell r="M129">
            <v>1223</v>
          </cell>
          <cell r="N129">
            <v>3119</v>
          </cell>
          <cell r="O129">
            <v>720</v>
          </cell>
          <cell r="P129">
            <v>2399</v>
          </cell>
          <cell r="Q129">
            <v>12832</v>
          </cell>
          <cell r="R129">
            <v>7108</v>
          </cell>
          <cell r="S129">
            <v>2099</v>
          </cell>
          <cell r="T129">
            <v>3080</v>
          </cell>
          <cell r="U129">
            <v>1929</v>
          </cell>
          <cell r="V129">
            <v>5067</v>
          </cell>
          <cell r="W129">
            <v>657</v>
          </cell>
          <cell r="X129">
            <v>13132</v>
          </cell>
          <cell r="Y129">
            <v>11321</v>
          </cell>
          <cell r="Z129">
            <v>137</v>
          </cell>
          <cell r="AA129">
            <v>10020</v>
          </cell>
          <cell r="AB129">
            <v>1034</v>
          </cell>
          <cell r="AC129">
            <v>130</v>
          </cell>
          <cell r="AD129">
            <v>1811</v>
          </cell>
          <cell r="AE129">
            <v>1804</v>
          </cell>
          <cell r="AF129">
            <v>7</v>
          </cell>
          <cell r="AG129">
            <v>90956</v>
          </cell>
          <cell r="AH129">
            <v>21186</v>
          </cell>
          <cell r="AI129">
            <v>21109</v>
          </cell>
          <cell r="AJ129">
            <v>77</v>
          </cell>
          <cell r="AK129">
            <v>57183</v>
          </cell>
          <cell r="AL129">
            <v>54197</v>
          </cell>
          <cell r="AM129">
            <v>2986</v>
          </cell>
          <cell r="AN129">
            <v>853</v>
          </cell>
          <cell r="AO129">
            <v>384</v>
          </cell>
          <cell r="AP129">
            <v>469</v>
          </cell>
          <cell r="AQ129">
            <v>2760</v>
          </cell>
          <cell r="AR129">
            <v>1339</v>
          </cell>
          <cell r="AS129">
            <v>55</v>
          </cell>
          <cell r="AT129">
            <v>1366</v>
          </cell>
          <cell r="AU129">
            <v>0</v>
          </cell>
          <cell r="AV129">
            <v>8974</v>
          </cell>
          <cell r="AW129">
            <v>5216</v>
          </cell>
          <cell r="AX129">
            <v>3380</v>
          </cell>
          <cell r="AY129">
            <v>220</v>
          </cell>
          <cell r="AZ129">
            <v>158</v>
          </cell>
          <cell r="BA129">
            <v>0</v>
          </cell>
          <cell r="BB129">
            <v>17195</v>
          </cell>
          <cell r="BC129">
            <v>6135</v>
          </cell>
          <cell r="BD129">
            <v>5265</v>
          </cell>
          <cell r="BE129">
            <v>862</v>
          </cell>
          <cell r="BF129">
            <v>8</v>
          </cell>
          <cell r="BG129">
            <v>1955</v>
          </cell>
          <cell r="BH129">
            <v>2729</v>
          </cell>
          <cell r="BI129">
            <v>2213</v>
          </cell>
          <cell r="BJ129">
            <v>425</v>
          </cell>
          <cell r="BK129">
            <v>91</v>
          </cell>
          <cell r="BL129">
            <v>1608</v>
          </cell>
          <cell r="BM129">
            <v>2069</v>
          </cell>
          <cell r="BN129">
            <v>352</v>
          </cell>
          <cell r="BO129">
            <v>1717</v>
          </cell>
          <cell r="BP129">
            <v>2699</v>
          </cell>
          <cell r="BQ129">
            <v>1751</v>
          </cell>
          <cell r="BR129">
            <v>948</v>
          </cell>
          <cell r="BS129">
            <v>6069</v>
          </cell>
          <cell r="BT129">
            <v>2514</v>
          </cell>
          <cell r="BU129">
            <v>1779</v>
          </cell>
          <cell r="BV129">
            <v>121</v>
          </cell>
          <cell r="BW129">
            <v>614</v>
          </cell>
          <cell r="BX129">
            <v>1629</v>
          </cell>
          <cell r="BY129">
            <v>899</v>
          </cell>
          <cell r="BZ129">
            <v>450</v>
          </cell>
          <cell r="CA129">
            <v>280</v>
          </cell>
          <cell r="CB129">
            <v>1926</v>
          </cell>
          <cell r="CC129">
            <v>28488</v>
          </cell>
          <cell r="CD129">
            <v>10314</v>
          </cell>
          <cell r="CE129">
            <v>9759</v>
          </cell>
          <cell r="CF129">
            <v>113</v>
          </cell>
          <cell r="CG129">
            <v>442</v>
          </cell>
          <cell r="CH129">
            <v>14124</v>
          </cell>
          <cell r="CI129">
            <v>1092</v>
          </cell>
          <cell r="CJ129">
            <v>6033</v>
          </cell>
          <cell r="CK129">
            <v>4190</v>
          </cell>
          <cell r="CL129">
            <v>2809</v>
          </cell>
          <cell r="CM129">
            <v>4050</v>
          </cell>
          <cell r="CN129">
            <v>1012</v>
          </cell>
          <cell r="CO129">
            <v>1353</v>
          </cell>
          <cell r="CP129">
            <v>525</v>
          </cell>
          <cell r="CQ129">
            <v>376</v>
          </cell>
          <cell r="CR129">
            <v>784</v>
          </cell>
          <cell r="CS129">
            <v>6954</v>
          </cell>
          <cell r="CT129">
            <v>350</v>
          </cell>
          <cell r="CU129">
            <v>1003</v>
          </cell>
          <cell r="CV129">
            <v>5601</v>
          </cell>
          <cell r="CW129">
            <v>29921</v>
          </cell>
          <cell r="CX129">
            <v>4454</v>
          </cell>
          <cell r="CY129">
            <v>1146</v>
          </cell>
          <cell r="CZ129">
            <v>270</v>
          </cell>
          <cell r="DA129">
            <v>1690</v>
          </cell>
          <cell r="DB129">
            <v>1317</v>
          </cell>
          <cell r="DC129">
            <v>31</v>
          </cell>
          <cell r="DD129">
            <v>2064</v>
          </cell>
          <cell r="DE129">
            <v>1377</v>
          </cell>
          <cell r="DF129">
            <v>155</v>
          </cell>
          <cell r="DG129">
            <v>532</v>
          </cell>
          <cell r="DH129">
            <v>10166</v>
          </cell>
          <cell r="DI129">
            <v>2757</v>
          </cell>
          <cell r="DJ129">
            <v>2317</v>
          </cell>
          <cell r="DK129">
            <v>1754</v>
          </cell>
          <cell r="DL129">
            <v>2272</v>
          </cell>
          <cell r="DM129">
            <v>1066</v>
          </cell>
          <cell r="DN129">
            <v>9904</v>
          </cell>
          <cell r="DO129">
            <v>2423</v>
          </cell>
          <cell r="DP129">
            <v>4650</v>
          </cell>
          <cell r="DQ129">
            <v>2831</v>
          </cell>
          <cell r="DR129">
            <v>3333</v>
          </cell>
          <cell r="DS129">
            <v>914</v>
          </cell>
          <cell r="DT129">
            <v>832</v>
          </cell>
          <cell r="DU129">
            <v>715</v>
          </cell>
          <cell r="DV129">
            <v>872</v>
          </cell>
          <cell r="DW129">
            <v>0</v>
          </cell>
          <cell r="DX129">
            <v>7851</v>
          </cell>
          <cell r="DY129">
            <v>15973</v>
          </cell>
          <cell r="DZ129">
            <v>13629</v>
          </cell>
          <cell r="EA129">
            <v>13117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512</v>
          </cell>
          <cell r="EG129">
            <v>2344</v>
          </cell>
          <cell r="EH129">
            <v>36563</v>
          </cell>
          <cell r="EI129">
            <v>6044</v>
          </cell>
          <cell r="EJ129">
            <v>124</v>
          </cell>
          <cell r="EK129">
            <v>286</v>
          </cell>
          <cell r="EL129">
            <v>5634</v>
          </cell>
          <cell r="EM129">
            <v>974</v>
          </cell>
          <cell r="EN129">
            <v>2415</v>
          </cell>
          <cell r="EO129">
            <v>1899</v>
          </cell>
          <cell r="EP129">
            <v>516</v>
          </cell>
          <cell r="EQ129">
            <v>3191</v>
          </cell>
          <cell r="ER129">
            <v>5302</v>
          </cell>
          <cell r="ES129">
            <v>2203</v>
          </cell>
          <cell r="ET129">
            <v>482</v>
          </cell>
          <cell r="EU129">
            <v>960</v>
          </cell>
          <cell r="EV129">
            <v>999</v>
          </cell>
          <cell r="EW129">
            <v>658</v>
          </cell>
          <cell r="EX129">
            <v>14172</v>
          </cell>
          <cell r="EY129">
            <v>6027</v>
          </cell>
          <cell r="EZ129">
            <v>8145</v>
          </cell>
          <cell r="FA129">
            <v>4465</v>
          </cell>
          <cell r="FB129">
            <v>293479</v>
          </cell>
          <cell r="FC129">
            <v>0</v>
          </cell>
          <cell r="FD129">
            <v>27160</v>
          </cell>
          <cell r="FE129">
            <v>8692</v>
          </cell>
          <cell r="FF129">
            <v>614</v>
          </cell>
          <cell r="FG129">
            <v>10314</v>
          </cell>
          <cell r="FH129">
            <v>1003</v>
          </cell>
          <cell r="FI129">
            <v>4638</v>
          </cell>
          <cell r="FJ129">
            <v>1899</v>
          </cell>
          <cell r="FK129">
            <v>129775</v>
          </cell>
          <cell r="FL129">
            <v>29424</v>
          </cell>
          <cell r="FM129">
            <v>12832</v>
          </cell>
          <cell r="FN129">
            <v>12995</v>
          </cell>
          <cell r="FO129">
            <v>10697</v>
          </cell>
          <cell r="FP129">
            <v>16148</v>
          </cell>
          <cell r="FQ129">
            <v>2514</v>
          </cell>
          <cell r="FR129">
            <v>17439</v>
          </cell>
          <cell r="FS129">
            <v>1003</v>
          </cell>
          <cell r="FT129">
            <v>18388</v>
          </cell>
          <cell r="FU129">
            <v>8335</v>
          </cell>
          <cell r="FV129">
            <v>74716</v>
          </cell>
          <cell r="FW129">
            <v>29424</v>
          </cell>
          <cell r="FX129">
            <v>12832</v>
          </cell>
          <cell r="FY129">
            <v>10697</v>
          </cell>
          <cell r="FZ129">
            <v>1751</v>
          </cell>
          <cell r="GA129">
            <v>1900</v>
          </cell>
          <cell r="GB129">
            <v>6033</v>
          </cell>
          <cell r="GC129">
            <v>6445</v>
          </cell>
          <cell r="GD129">
            <v>5634</v>
          </cell>
          <cell r="GE129">
            <v>-1879</v>
          </cell>
          <cell r="GF129">
            <v>-6009</v>
          </cell>
          <cell r="GG129">
            <v>4130</v>
          </cell>
          <cell r="GH129">
            <v>165583</v>
          </cell>
          <cell r="GI129">
            <v>137</v>
          </cell>
          <cell r="GJ129">
            <v>80259</v>
          </cell>
          <cell r="GK129">
            <v>1047</v>
          </cell>
          <cell r="GL129">
            <v>3555</v>
          </cell>
          <cell r="GM129">
            <v>11049</v>
          </cell>
          <cell r="GN129">
            <v>5951</v>
          </cell>
          <cell r="GO129">
            <v>11533</v>
          </cell>
          <cell r="GP129">
            <v>7851</v>
          </cell>
          <cell r="GQ129">
            <v>15973</v>
          </cell>
          <cell r="GR129">
            <v>28228</v>
          </cell>
          <cell r="GS129">
            <v>27899</v>
          </cell>
          <cell r="GT129">
            <v>12995</v>
          </cell>
          <cell r="GU129">
            <v>5705</v>
          </cell>
          <cell r="GV129">
            <v>1092</v>
          </cell>
          <cell r="GW129">
            <v>7305</v>
          </cell>
          <cell r="GX129">
            <v>802</v>
          </cell>
        </row>
        <row r="130">
          <cell r="A130" t="str">
            <v>2021 Q2</v>
          </cell>
          <cell r="B130">
            <v>330578</v>
          </cell>
          <cell r="C130">
            <v>29217</v>
          </cell>
          <cell r="D130">
            <v>26011</v>
          </cell>
          <cell r="E130">
            <v>4990</v>
          </cell>
          <cell r="F130">
            <v>5231</v>
          </cell>
          <cell r="G130">
            <v>1211</v>
          </cell>
          <cell r="H130">
            <v>3025</v>
          </cell>
          <cell r="I130">
            <v>716</v>
          </cell>
          <cell r="J130">
            <v>2645</v>
          </cell>
          <cell r="K130">
            <v>3907</v>
          </cell>
          <cell r="L130">
            <v>3065</v>
          </cell>
          <cell r="M130">
            <v>1221</v>
          </cell>
          <cell r="N130">
            <v>3206</v>
          </cell>
          <cell r="O130">
            <v>720</v>
          </cell>
          <cell r="P130">
            <v>2486</v>
          </cell>
          <cell r="Q130">
            <v>12647</v>
          </cell>
          <cell r="R130">
            <v>6911</v>
          </cell>
          <cell r="S130">
            <v>1931</v>
          </cell>
          <cell r="T130">
            <v>2993</v>
          </cell>
          <cell r="U130">
            <v>1987</v>
          </cell>
          <cell r="V130">
            <v>5023</v>
          </cell>
          <cell r="W130">
            <v>713</v>
          </cell>
          <cell r="X130">
            <v>16178</v>
          </cell>
          <cell r="Y130">
            <v>13894</v>
          </cell>
          <cell r="Z130">
            <v>92</v>
          </cell>
          <cell r="AA130">
            <v>12143</v>
          </cell>
          <cell r="AB130">
            <v>1507</v>
          </cell>
          <cell r="AC130">
            <v>152</v>
          </cell>
          <cell r="AD130">
            <v>2284</v>
          </cell>
          <cell r="AE130">
            <v>2278</v>
          </cell>
          <cell r="AF130">
            <v>6</v>
          </cell>
          <cell r="AG130">
            <v>92057</v>
          </cell>
          <cell r="AH130">
            <v>21376</v>
          </cell>
          <cell r="AI130">
            <v>21298</v>
          </cell>
          <cell r="AJ130">
            <v>78</v>
          </cell>
          <cell r="AK130">
            <v>57435</v>
          </cell>
          <cell r="AL130">
            <v>54449</v>
          </cell>
          <cell r="AM130">
            <v>2986</v>
          </cell>
          <cell r="AN130">
            <v>876</v>
          </cell>
          <cell r="AO130">
            <v>401</v>
          </cell>
          <cell r="AP130">
            <v>475</v>
          </cell>
          <cell r="AQ130">
            <v>2710</v>
          </cell>
          <cell r="AR130">
            <v>1309</v>
          </cell>
          <cell r="AS130">
            <v>50</v>
          </cell>
          <cell r="AT130">
            <v>1351</v>
          </cell>
          <cell r="AU130">
            <v>0</v>
          </cell>
          <cell r="AV130">
            <v>9660</v>
          </cell>
          <cell r="AW130">
            <v>5347</v>
          </cell>
          <cell r="AX130">
            <v>3892</v>
          </cell>
          <cell r="AY130">
            <v>323</v>
          </cell>
          <cell r="AZ130">
            <v>98</v>
          </cell>
          <cell r="BA130">
            <v>0</v>
          </cell>
          <cell r="BB130">
            <v>19607</v>
          </cell>
          <cell r="BC130">
            <v>7823</v>
          </cell>
          <cell r="BD130">
            <v>6361</v>
          </cell>
          <cell r="BE130">
            <v>1454</v>
          </cell>
          <cell r="BF130">
            <v>8</v>
          </cell>
          <cell r="BG130">
            <v>1971</v>
          </cell>
          <cell r="BH130">
            <v>3028</v>
          </cell>
          <cell r="BI130">
            <v>2271</v>
          </cell>
          <cell r="BJ130">
            <v>628</v>
          </cell>
          <cell r="BK130">
            <v>129</v>
          </cell>
          <cell r="BL130">
            <v>1793</v>
          </cell>
          <cell r="BM130">
            <v>2300</v>
          </cell>
          <cell r="BN130">
            <v>314</v>
          </cell>
          <cell r="BO130">
            <v>1986</v>
          </cell>
          <cell r="BP130">
            <v>2692</v>
          </cell>
          <cell r="BQ130">
            <v>1841</v>
          </cell>
          <cell r="BR130">
            <v>851</v>
          </cell>
          <cell r="BS130">
            <v>6784</v>
          </cell>
          <cell r="BT130">
            <v>2915</v>
          </cell>
          <cell r="BU130">
            <v>1879</v>
          </cell>
          <cell r="BV130">
            <v>180</v>
          </cell>
          <cell r="BW130">
            <v>856</v>
          </cell>
          <cell r="BX130">
            <v>1881</v>
          </cell>
          <cell r="BY130">
            <v>934</v>
          </cell>
          <cell r="BZ130">
            <v>665</v>
          </cell>
          <cell r="CA130">
            <v>282</v>
          </cell>
          <cell r="CB130">
            <v>1988</v>
          </cell>
          <cell r="CC130">
            <v>34556</v>
          </cell>
          <cell r="CD130">
            <v>13510</v>
          </cell>
          <cell r="CE130">
            <v>12907</v>
          </cell>
          <cell r="CF130">
            <v>150</v>
          </cell>
          <cell r="CG130">
            <v>453</v>
          </cell>
          <cell r="CH130">
            <v>16854</v>
          </cell>
          <cell r="CI130">
            <v>1148</v>
          </cell>
          <cell r="CJ130">
            <v>7813</v>
          </cell>
          <cell r="CK130">
            <v>4867</v>
          </cell>
          <cell r="CL130">
            <v>3026</v>
          </cell>
          <cell r="CM130">
            <v>4192</v>
          </cell>
          <cell r="CN130">
            <v>1093</v>
          </cell>
          <cell r="CO130">
            <v>1405</v>
          </cell>
          <cell r="CP130">
            <v>622</v>
          </cell>
          <cell r="CQ130">
            <v>602</v>
          </cell>
          <cell r="CR130">
            <v>470</v>
          </cell>
          <cell r="CS130">
            <v>7206</v>
          </cell>
          <cell r="CT130">
            <v>325</v>
          </cell>
          <cell r="CU130">
            <v>1200</v>
          </cell>
          <cell r="CV130">
            <v>5681</v>
          </cell>
          <cell r="CW130">
            <v>33202</v>
          </cell>
          <cell r="CX130">
            <v>4800</v>
          </cell>
          <cell r="CY130">
            <v>1212</v>
          </cell>
          <cell r="CZ130">
            <v>246</v>
          </cell>
          <cell r="DA130">
            <v>1940</v>
          </cell>
          <cell r="DB130">
            <v>1352</v>
          </cell>
          <cell r="DC130">
            <v>50</v>
          </cell>
          <cell r="DD130">
            <v>2163</v>
          </cell>
          <cell r="DE130">
            <v>1431</v>
          </cell>
          <cell r="DF130">
            <v>154</v>
          </cell>
          <cell r="DG130">
            <v>578</v>
          </cell>
          <cell r="DH130">
            <v>11329</v>
          </cell>
          <cell r="DI130">
            <v>3093</v>
          </cell>
          <cell r="DJ130">
            <v>2857</v>
          </cell>
          <cell r="DK130">
            <v>1862</v>
          </cell>
          <cell r="DL130">
            <v>2391</v>
          </cell>
          <cell r="DM130">
            <v>1126</v>
          </cell>
          <cell r="DN130">
            <v>11318</v>
          </cell>
          <cell r="DO130">
            <v>2922</v>
          </cell>
          <cell r="DP130">
            <v>5704</v>
          </cell>
          <cell r="DQ130">
            <v>2692</v>
          </cell>
          <cell r="DR130">
            <v>3592</v>
          </cell>
          <cell r="DS130">
            <v>964</v>
          </cell>
          <cell r="DT130">
            <v>837</v>
          </cell>
          <cell r="DU130">
            <v>823</v>
          </cell>
          <cell r="DV130">
            <v>968</v>
          </cell>
          <cell r="DW130">
            <v>0</v>
          </cell>
          <cell r="DX130">
            <v>8021</v>
          </cell>
          <cell r="DY130">
            <v>31199</v>
          </cell>
          <cell r="DZ130">
            <v>25846</v>
          </cell>
          <cell r="EA130">
            <v>25182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664</v>
          </cell>
          <cell r="EG130">
            <v>5353</v>
          </cell>
          <cell r="EH130">
            <v>39904</v>
          </cell>
          <cell r="EI130">
            <v>8215</v>
          </cell>
          <cell r="EJ130">
            <v>2023</v>
          </cell>
          <cell r="EK130">
            <v>218</v>
          </cell>
          <cell r="EL130">
            <v>5974</v>
          </cell>
          <cell r="EM130">
            <v>1194</v>
          </cell>
          <cell r="EN130">
            <v>3398</v>
          </cell>
          <cell r="EO130">
            <v>2777</v>
          </cell>
          <cell r="EP130">
            <v>621</v>
          </cell>
          <cell r="EQ130">
            <v>3338</v>
          </cell>
          <cell r="ER130">
            <v>5035</v>
          </cell>
          <cell r="ES130">
            <v>2244</v>
          </cell>
          <cell r="ET130">
            <v>503</v>
          </cell>
          <cell r="EU130">
            <v>843</v>
          </cell>
          <cell r="EV130">
            <v>797</v>
          </cell>
          <cell r="EW130">
            <v>648</v>
          </cell>
          <cell r="EX130">
            <v>14432</v>
          </cell>
          <cell r="EY130">
            <v>6272</v>
          </cell>
          <cell r="EZ130">
            <v>8160</v>
          </cell>
          <cell r="FA130">
            <v>4292</v>
          </cell>
          <cell r="FB130">
            <v>329090</v>
          </cell>
          <cell r="FC130">
            <v>0</v>
          </cell>
          <cell r="FD130">
            <v>33726</v>
          </cell>
          <cell r="FE130">
            <v>10400</v>
          </cell>
          <cell r="FF130">
            <v>856</v>
          </cell>
          <cell r="FG130">
            <v>13510</v>
          </cell>
          <cell r="FH130">
            <v>1200</v>
          </cell>
          <cell r="FI130">
            <v>4983</v>
          </cell>
          <cell r="FJ130">
            <v>2777</v>
          </cell>
          <cell r="FK130">
            <v>144179</v>
          </cell>
          <cell r="FL130">
            <v>29217</v>
          </cell>
          <cell r="FM130">
            <v>12647</v>
          </cell>
          <cell r="FN130">
            <v>16020</v>
          </cell>
          <cell r="FO130">
            <v>11370</v>
          </cell>
          <cell r="FP130">
            <v>18619</v>
          </cell>
          <cell r="FQ130">
            <v>2915</v>
          </cell>
          <cell r="FR130">
            <v>22471</v>
          </cell>
          <cell r="FS130">
            <v>1200</v>
          </cell>
          <cell r="FT130">
            <v>20130</v>
          </cell>
          <cell r="FU130">
            <v>9590</v>
          </cell>
          <cell r="FV130">
            <v>77802</v>
          </cell>
          <cell r="FW130">
            <v>29217</v>
          </cell>
          <cell r="FX130">
            <v>12647</v>
          </cell>
          <cell r="FY130">
            <v>11370</v>
          </cell>
          <cell r="FZ130">
            <v>1841</v>
          </cell>
          <cell r="GA130">
            <v>2059</v>
          </cell>
          <cell r="GB130">
            <v>7813</v>
          </cell>
          <cell r="GC130">
            <v>6881</v>
          </cell>
          <cell r="GD130">
            <v>5974</v>
          </cell>
          <cell r="GE130">
            <v>-1488</v>
          </cell>
          <cell r="GF130">
            <v>-5363</v>
          </cell>
          <cell r="GG130">
            <v>3875</v>
          </cell>
          <cell r="GH130">
            <v>186399</v>
          </cell>
          <cell r="GI130">
            <v>158</v>
          </cell>
          <cell r="GJ130">
            <v>80687</v>
          </cell>
          <cell r="GK130">
            <v>988</v>
          </cell>
          <cell r="GL130">
            <v>3869</v>
          </cell>
          <cell r="GM130">
            <v>12085</v>
          </cell>
          <cell r="GN130">
            <v>6006</v>
          </cell>
          <cell r="GO130">
            <v>13072</v>
          </cell>
          <cell r="GP130">
            <v>8021</v>
          </cell>
          <cell r="GQ130">
            <v>31199</v>
          </cell>
          <cell r="GR130">
            <v>30314</v>
          </cell>
          <cell r="GS130">
            <v>32651</v>
          </cell>
          <cell r="GT130">
            <v>16020</v>
          </cell>
          <cell r="GU130">
            <v>6378</v>
          </cell>
          <cell r="GV130">
            <v>1148</v>
          </cell>
          <cell r="GW130">
            <v>8266</v>
          </cell>
          <cell r="GX130">
            <v>839</v>
          </cell>
        </row>
        <row r="131">
          <cell r="A131" t="str">
            <v>2021 Q3</v>
          </cell>
          <cell r="B131">
            <v>343512</v>
          </cell>
          <cell r="C131">
            <v>29058</v>
          </cell>
          <cell r="D131">
            <v>25882</v>
          </cell>
          <cell r="E131">
            <v>4971</v>
          </cell>
          <cell r="F131">
            <v>5214</v>
          </cell>
          <cell r="G131">
            <v>1168</v>
          </cell>
          <cell r="H131">
            <v>2979</v>
          </cell>
          <cell r="I131">
            <v>718</v>
          </cell>
          <cell r="J131">
            <v>2666</v>
          </cell>
          <cell r="K131">
            <v>3882</v>
          </cell>
          <cell r="L131">
            <v>3080</v>
          </cell>
          <cell r="M131">
            <v>1204</v>
          </cell>
          <cell r="N131">
            <v>3176</v>
          </cell>
          <cell r="O131">
            <v>683</v>
          </cell>
          <cell r="P131">
            <v>2493</v>
          </cell>
          <cell r="Q131">
            <v>12134</v>
          </cell>
          <cell r="R131">
            <v>6401</v>
          </cell>
          <cell r="S131">
            <v>1828</v>
          </cell>
          <cell r="T131">
            <v>2768</v>
          </cell>
          <cell r="U131">
            <v>1805</v>
          </cell>
          <cell r="V131">
            <v>5027</v>
          </cell>
          <cell r="W131">
            <v>706</v>
          </cell>
          <cell r="X131">
            <v>16167</v>
          </cell>
          <cell r="Y131">
            <v>13914</v>
          </cell>
          <cell r="Z131">
            <v>87</v>
          </cell>
          <cell r="AA131">
            <v>12104</v>
          </cell>
          <cell r="AB131">
            <v>1511</v>
          </cell>
          <cell r="AC131">
            <v>212</v>
          </cell>
          <cell r="AD131">
            <v>2253</v>
          </cell>
          <cell r="AE131">
            <v>2243</v>
          </cell>
          <cell r="AF131">
            <v>10</v>
          </cell>
          <cell r="AG131">
            <v>91098</v>
          </cell>
          <cell r="AH131">
            <v>21657</v>
          </cell>
          <cell r="AI131">
            <v>21578</v>
          </cell>
          <cell r="AJ131">
            <v>79</v>
          </cell>
          <cell r="AK131">
            <v>57840</v>
          </cell>
          <cell r="AL131">
            <v>54845</v>
          </cell>
          <cell r="AM131">
            <v>2995</v>
          </cell>
          <cell r="AN131">
            <v>921</v>
          </cell>
          <cell r="AO131">
            <v>393</v>
          </cell>
          <cell r="AP131">
            <v>528</v>
          </cell>
          <cell r="AQ131">
            <v>2682</v>
          </cell>
          <cell r="AR131">
            <v>1290</v>
          </cell>
          <cell r="AS131">
            <v>54</v>
          </cell>
          <cell r="AT131">
            <v>1338</v>
          </cell>
          <cell r="AU131">
            <v>0</v>
          </cell>
          <cell r="AV131">
            <v>7998</v>
          </cell>
          <cell r="AW131">
            <v>4923</v>
          </cell>
          <cell r="AX131">
            <v>2678</v>
          </cell>
          <cell r="AY131">
            <v>294</v>
          </cell>
          <cell r="AZ131">
            <v>103</v>
          </cell>
          <cell r="BA131">
            <v>0</v>
          </cell>
          <cell r="BB131">
            <v>18778</v>
          </cell>
          <cell r="BC131">
            <v>7329</v>
          </cell>
          <cell r="BD131">
            <v>6032</v>
          </cell>
          <cell r="BE131">
            <v>1287</v>
          </cell>
          <cell r="BF131">
            <v>10</v>
          </cell>
          <cell r="BG131">
            <v>1778</v>
          </cell>
          <cell r="BH131">
            <v>3031</v>
          </cell>
          <cell r="BI131">
            <v>2376</v>
          </cell>
          <cell r="BJ131">
            <v>522</v>
          </cell>
          <cell r="BK131">
            <v>133</v>
          </cell>
          <cell r="BL131">
            <v>1795</v>
          </cell>
          <cell r="BM131">
            <v>2228</v>
          </cell>
          <cell r="BN131">
            <v>337</v>
          </cell>
          <cell r="BO131">
            <v>1891</v>
          </cell>
          <cell r="BP131">
            <v>2617</v>
          </cell>
          <cell r="BQ131">
            <v>1756</v>
          </cell>
          <cell r="BR131">
            <v>861</v>
          </cell>
          <cell r="BS131">
            <v>7079</v>
          </cell>
          <cell r="BT131">
            <v>3011</v>
          </cell>
          <cell r="BU131">
            <v>1959</v>
          </cell>
          <cell r="BV131">
            <v>189</v>
          </cell>
          <cell r="BW131">
            <v>863</v>
          </cell>
          <cell r="BX131">
            <v>1959</v>
          </cell>
          <cell r="BY131">
            <v>996</v>
          </cell>
          <cell r="BZ131">
            <v>636</v>
          </cell>
          <cell r="CA131">
            <v>327</v>
          </cell>
          <cell r="CB131">
            <v>2109</v>
          </cell>
          <cell r="CC131">
            <v>39074</v>
          </cell>
          <cell r="CD131">
            <v>13455</v>
          </cell>
          <cell r="CE131">
            <v>12820</v>
          </cell>
          <cell r="CF131">
            <v>171</v>
          </cell>
          <cell r="CG131">
            <v>464</v>
          </cell>
          <cell r="CH131">
            <v>18809</v>
          </cell>
          <cell r="CI131">
            <v>1215</v>
          </cell>
          <cell r="CJ131">
            <v>9121</v>
          </cell>
          <cell r="CK131">
            <v>5172</v>
          </cell>
          <cell r="CL131">
            <v>3301</v>
          </cell>
          <cell r="CM131">
            <v>6810</v>
          </cell>
          <cell r="CN131">
            <v>1601</v>
          </cell>
          <cell r="CO131">
            <v>1507</v>
          </cell>
          <cell r="CP131">
            <v>2004</v>
          </cell>
          <cell r="CQ131">
            <v>1100</v>
          </cell>
          <cell r="CR131">
            <v>598</v>
          </cell>
          <cell r="CS131">
            <v>7249</v>
          </cell>
          <cell r="CT131">
            <v>311</v>
          </cell>
          <cell r="CU131">
            <v>1222</v>
          </cell>
          <cell r="CV131">
            <v>5716</v>
          </cell>
          <cell r="CW131">
            <v>33791</v>
          </cell>
          <cell r="CX131">
            <v>4704</v>
          </cell>
          <cell r="CY131">
            <v>1154</v>
          </cell>
          <cell r="CZ131">
            <v>265</v>
          </cell>
          <cell r="DA131">
            <v>1920</v>
          </cell>
          <cell r="DB131">
            <v>1320</v>
          </cell>
          <cell r="DC131">
            <v>45</v>
          </cell>
          <cell r="DD131">
            <v>2282</v>
          </cell>
          <cell r="DE131">
            <v>1496</v>
          </cell>
          <cell r="DF131">
            <v>137</v>
          </cell>
          <cell r="DG131">
            <v>649</v>
          </cell>
          <cell r="DH131">
            <v>10549</v>
          </cell>
          <cell r="DI131">
            <v>3010</v>
          </cell>
          <cell r="DJ131">
            <v>2602</v>
          </cell>
          <cell r="DK131">
            <v>1774</v>
          </cell>
          <cell r="DL131">
            <v>1947</v>
          </cell>
          <cell r="DM131">
            <v>1216</v>
          </cell>
          <cell r="DN131">
            <v>12616</v>
          </cell>
          <cell r="DO131">
            <v>2953</v>
          </cell>
          <cell r="DP131">
            <v>6713</v>
          </cell>
          <cell r="DQ131">
            <v>2950</v>
          </cell>
          <cell r="DR131">
            <v>3640</v>
          </cell>
          <cell r="DS131">
            <v>1051</v>
          </cell>
          <cell r="DT131">
            <v>837</v>
          </cell>
          <cell r="DU131">
            <v>762</v>
          </cell>
          <cell r="DV131">
            <v>990</v>
          </cell>
          <cell r="DW131">
            <v>0</v>
          </cell>
          <cell r="DX131">
            <v>8193</v>
          </cell>
          <cell r="DY131">
            <v>40002</v>
          </cell>
          <cell r="DZ131">
            <v>31984</v>
          </cell>
          <cell r="EA131">
            <v>31167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817</v>
          </cell>
          <cell r="EG131">
            <v>8018</v>
          </cell>
          <cell r="EH131">
            <v>40889</v>
          </cell>
          <cell r="EI131">
            <v>8094</v>
          </cell>
          <cell r="EJ131">
            <v>1908</v>
          </cell>
          <cell r="EK131">
            <v>301</v>
          </cell>
          <cell r="EL131">
            <v>5885</v>
          </cell>
          <cell r="EM131">
            <v>1364</v>
          </cell>
          <cell r="EN131">
            <v>3192</v>
          </cell>
          <cell r="EO131">
            <v>2560</v>
          </cell>
          <cell r="EP131">
            <v>632</v>
          </cell>
          <cell r="EQ131">
            <v>3645</v>
          </cell>
          <cell r="ER131">
            <v>5006</v>
          </cell>
          <cell r="ES131">
            <v>2303</v>
          </cell>
          <cell r="ET131">
            <v>466</v>
          </cell>
          <cell r="EU131">
            <v>795</v>
          </cell>
          <cell r="EV131">
            <v>792</v>
          </cell>
          <cell r="EW131">
            <v>650</v>
          </cell>
          <cell r="EX131">
            <v>14793</v>
          </cell>
          <cell r="EY131">
            <v>6490</v>
          </cell>
          <cell r="EZ131">
            <v>8303</v>
          </cell>
          <cell r="FA131">
            <v>4795</v>
          </cell>
          <cell r="FB131">
            <v>344090</v>
          </cell>
          <cell r="FC131">
            <v>0</v>
          </cell>
          <cell r="FD131">
            <v>33104</v>
          </cell>
          <cell r="FE131">
            <v>10032</v>
          </cell>
          <cell r="FF131">
            <v>863</v>
          </cell>
          <cell r="FG131">
            <v>13455</v>
          </cell>
          <cell r="FH131">
            <v>1222</v>
          </cell>
          <cell r="FI131">
            <v>4972</v>
          </cell>
          <cell r="FJ131">
            <v>2560</v>
          </cell>
          <cell r="FK131">
            <v>141259</v>
          </cell>
          <cell r="FL131">
            <v>29058</v>
          </cell>
          <cell r="FM131">
            <v>12134</v>
          </cell>
          <cell r="FN131">
            <v>15945</v>
          </cell>
          <cell r="FO131">
            <v>9681</v>
          </cell>
          <cell r="FP131">
            <v>17774</v>
          </cell>
          <cell r="FQ131">
            <v>3011</v>
          </cell>
          <cell r="FR131">
            <v>23791</v>
          </cell>
          <cell r="FS131">
            <v>1222</v>
          </cell>
          <cell r="FT131">
            <v>19265</v>
          </cell>
          <cell r="FU131">
            <v>9378</v>
          </cell>
          <cell r="FV131">
            <v>76093</v>
          </cell>
          <cell r="FW131">
            <v>29058</v>
          </cell>
          <cell r="FX131">
            <v>12134</v>
          </cell>
          <cell r="FY131">
            <v>9681</v>
          </cell>
          <cell r="FZ131">
            <v>1756</v>
          </cell>
          <cell r="GA131">
            <v>2148</v>
          </cell>
          <cell r="GB131">
            <v>9121</v>
          </cell>
          <cell r="GC131">
            <v>6310</v>
          </cell>
          <cell r="GD131">
            <v>5885</v>
          </cell>
          <cell r="GE131">
            <v>578</v>
          </cell>
          <cell r="GF131">
            <v>-6262</v>
          </cell>
          <cell r="GG131">
            <v>6840</v>
          </cell>
          <cell r="GH131">
            <v>202253</v>
          </cell>
          <cell r="GI131">
            <v>222</v>
          </cell>
          <cell r="GJ131">
            <v>81417</v>
          </cell>
          <cell r="GK131">
            <v>1004</v>
          </cell>
          <cell r="GL131">
            <v>4068</v>
          </cell>
          <cell r="GM131">
            <v>15283</v>
          </cell>
          <cell r="GN131">
            <v>6027</v>
          </cell>
          <cell r="GO131">
            <v>14526</v>
          </cell>
          <cell r="GP131">
            <v>8193</v>
          </cell>
          <cell r="GQ131">
            <v>40002</v>
          </cell>
          <cell r="GR131">
            <v>31511</v>
          </cell>
          <cell r="GS131">
            <v>32062</v>
          </cell>
          <cell r="GT131">
            <v>15945</v>
          </cell>
          <cell r="GU131">
            <v>5986</v>
          </cell>
          <cell r="GV131">
            <v>1215</v>
          </cell>
          <cell r="GW131">
            <v>7983</v>
          </cell>
          <cell r="GX131">
            <v>933</v>
          </cell>
        </row>
        <row r="132">
          <cell r="A132" t="str">
            <v>2021 Q4</v>
          </cell>
          <cell r="B132">
            <v>349985</v>
          </cell>
          <cell r="C132">
            <v>29508</v>
          </cell>
          <cell r="D132">
            <v>26233</v>
          </cell>
          <cell r="E132">
            <v>5174</v>
          </cell>
          <cell r="F132">
            <v>5206</v>
          </cell>
          <cell r="G132">
            <v>1146</v>
          </cell>
          <cell r="H132">
            <v>3030</v>
          </cell>
          <cell r="I132">
            <v>746</v>
          </cell>
          <cell r="J132">
            <v>2703</v>
          </cell>
          <cell r="K132">
            <v>3869</v>
          </cell>
          <cell r="L132">
            <v>3143</v>
          </cell>
          <cell r="M132">
            <v>1216</v>
          </cell>
          <cell r="N132">
            <v>3275</v>
          </cell>
          <cell r="O132">
            <v>725</v>
          </cell>
          <cell r="P132">
            <v>2550</v>
          </cell>
          <cell r="Q132">
            <v>12041</v>
          </cell>
          <cell r="R132">
            <v>6285</v>
          </cell>
          <cell r="S132">
            <v>1788</v>
          </cell>
          <cell r="T132">
            <v>2752</v>
          </cell>
          <cell r="U132">
            <v>1745</v>
          </cell>
          <cell r="V132">
            <v>5056</v>
          </cell>
          <cell r="W132">
            <v>700</v>
          </cell>
          <cell r="X132">
            <v>16777</v>
          </cell>
          <cell r="Y132">
            <v>14380</v>
          </cell>
          <cell r="Z132">
            <v>130</v>
          </cell>
          <cell r="AA132">
            <v>12600</v>
          </cell>
          <cell r="AB132">
            <v>1545</v>
          </cell>
          <cell r="AC132">
            <v>105</v>
          </cell>
          <cell r="AD132">
            <v>2397</v>
          </cell>
          <cell r="AE132">
            <v>2388</v>
          </cell>
          <cell r="AF132">
            <v>9</v>
          </cell>
          <cell r="AG132">
            <v>92614</v>
          </cell>
          <cell r="AH132">
            <v>21869</v>
          </cell>
          <cell r="AI132">
            <v>21790</v>
          </cell>
          <cell r="AJ132">
            <v>79</v>
          </cell>
          <cell r="AK132">
            <v>58420</v>
          </cell>
          <cell r="AL132">
            <v>55406</v>
          </cell>
          <cell r="AM132">
            <v>3014</v>
          </cell>
          <cell r="AN132">
            <v>867</v>
          </cell>
          <cell r="AO132">
            <v>412</v>
          </cell>
          <cell r="AP132">
            <v>455</v>
          </cell>
          <cell r="AQ132">
            <v>2661</v>
          </cell>
          <cell r="AR132">
            <v>1283</v>
          </cell>
          <cell r="AS132">
            <v>50</v>
          </cell>
          <cell r="AT132">
            <v>1328</v>
          </cell>
          <cell r="AU132">
            <v>0</v>
          </cell>
          <cell r="AV132">
            <v>8797</v>
          </cell>
          <cell r="AW132">
            <v>5118</v>
          </cell>
          <cell r="AX132">
            <v>3233</v>
          </cell>
          <cell r="AY132">
            <v>338</v>
          </cell>
          <cell r="AZ132">
            <v>108</v>
          </cell>
          <cell r="BA132">
            <v>0</v>
          </cell>
          <cell r="BB132">
            <v>19411</v>
          </cell>
          <cell r="BC132">
            <v>7296</v>
          </cell>
          <cell r="BD132">
            <v>6025</v>
          </cell>
          <cell r="BE132">
            <v>1261</v>
          </cell>
          <cell r="BF132">
            <v>10</v>
          </cell>
          <cell r="BG132">
            <v>1877</v>
          </cell>
          <cell r="BH132">
            <v>3354</v>
          </cell>
          <cell r="BI132">
            <v>2720</v>
          </cell>
          <cell r="BJ132">
            <v>441</v>
          </cell>
          <cell r="BK132">
            <v>193</v>
          </cell>
          <cell r="BL132">
            <v>1887</v>
          </cell>
          <cell r="BM132">
            <v>2258</v>
          </cell>
          <cell r="BN132">
            <v>348</v>
          </cell>
          <cell r="BO132">
            <v>1910</v>
          </cell>
          <cell r="BP132">
            <v>2739</v>
          </cell>
          <cell r="BQ132">
            <v>1834</v>
          </cell>
          <cell r="BR132">
            <v>905</v>
          </cell>
          <cell r="BS132">
            <v>7406</v>
          </cell>
          <cell r="BT132">
            <v>2987</v>
          </cell>
          <cell r="BU132">
            <v>1970</v>
          </cell>
          <cell r="BV132">
            <v>158</v>
          </cell>
          <cell r="BW132">
            <v>859</v>
          </cell>
          <cell r="BX132">
            <v>2114</v>
          </cell>
          <cell r="BY132">
            <v>928</v>
          </cell>
          <cell r="BZ132">
            <v>859</v>
          </cell>
          <cell r="CA132">
            <v>327</v>
          </cell>
          <cell r="CB132">
            <v>2305</v>
          </cell>
          <cell r="CC132">
            <v>43790</v>
          </cell>
          <cell r="CD132">
            <v>14515</v>
          </cell>
          <cell r="CE132">
            <v>13529</v>
          </cell>
          <cell r="CF132">
            <v>508</v>
          </cell>
          <cell r="CG132">
            <v>478</v>
          </cell>
          <cell r="CH132">
            <v>19541</v>
          </cell>
          <cell r="CI132">
            <v>1180</v>
          </cell>
          <cell r="CJ132">
            <v>10046</v>
          </cell>
          <cell r="CK132">
            <v>5054</v>
          </cell>
          <cell r="CL132">
            <v>3261</v>
          </cell>
          <cell r="CM132">
            <v>9734</v>
          </cell>
          <cell r="CN132">
            <v>2009</v>
          </cell>
          <cell r="CO132">
            <v>1600</v>
          </cell>
          <cell r="CP132">
            <v>4353</v>
          </cell>
          <cell r="CQ132">
            <v>848</v>
          </cell>
          <cell r="CR132">
            <v>924</v>
          </cell>
          <cell r="CS132">
            <v>7468</v>
          </cell>
          <cell r="CT132">
            <v>341</v>
          </cell>
          <cell r="CU132">
            <v>1297</v>
          </cell>
          <cell r="CV132">
            <v>5830</v>
          </cell>
          <cell r="CW132">
            <v>35000</v>
          </cell>
          <cell r="CX132">
            <v>5094</v>
          </cell>
          <cell r="CY132">
            <v>1282</v>
          </cell>
          <cell r="CZ132">
            <v>317</v>
          </cell>
          <cell r="DA132">
            <v>2006</v>
          </cell>
          <cell r="DB132">
            <v>1449</v>
          </cell>
          <cell r="DC132">
            <v>40</v>
          </cell>
          <cell r="DD132">
            <v>2361</v>
          </cell>
          <cell r="DE132">
            <v>1548</v>
          </cell>
          <cell r="DF132">
            <v>149</v>
          </cell>
          <cell r="DG132">
            <v>664</v>
          </cell>
          <cell r="DH132">
            <v>10768</v>
          </cell>
          <cell r="DI132">
            <v>3073</v>
          </cell>
          <cell r="DJ132">
            <v>2673</v>
          </cell>
          <cell r="DK132">
            <v>1716</v>
          </cell>
          <cell r="DL132">
            <v>2043</v>
          </cell>
          <cell r="DM132">
            <v>1263</v>
          </cell>
          <cell r="DN132">
            <v>13009</v>
          </cell>
          <cell r="DO132">
            <v>3277</v>
          </cell>
          <cell r="DP132">
            <v>6820</v>
          </cell>
          <cell r="DQ132">
            <v>2912</v>
          </cell>
          <cell r="DR132">
            <v>3768</v>
          </cell>
          <cell r="DS132">
            <v>1070</v>
          </cell>
          <cell r="DT132">
            <v>837</v>
          </cell>
          <cell r="DU132">
            <v>891</v>
          </cell>
          <cell r="DV132">
            <v>970</v>
          </cell>
          <cell r="DW132">
            <v>0</v>
          </cell>
          <cell r="DX132">
            <v>8370</v>
          </cell>
          <cell r="DY132">
            <v>34994</v>
          </cell>
          <cell r="DZ132">
            <v>27131</v>
          </cell>
          <cell r="EA132">
            <v>26305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826</v>
          </cell>
          <cell r="EG132">
            <v>7863</v>
          </cell>
          <cell r="EH132">
            <v>42606</v>
          </cell>
          <cell r="EI132">
            <v>8492</v>
          </cell>
          <cell r="EJ132">
            <v>1782</v>
          </cell>
          <cell r="EK132">
            <v>412</v>
          </cell>
          <cell r="EL132">
            <v>6298</v>
          </cell>
          <cell r="EM132">
            <v>1373</v>
          </cell>
          <cell r="EN132">
            <v>3331</v>
          </cell>
          <cell r="EO132">
            <v>2668</v>
          </cell>
          <cell r="EP132">
            <v>663</v>
          </cell>
          <cell r="EQ132">
            <v>3901</v>
          </cell>
          <cell r="ER132">
            <v>5203</v>
          </cell>
          <cell r="ES132">
            <v>2369</v>
          </cell>
          <cell r="ET132">
            <v>596</v>
          </cell>
          <cell r="EU132">
            <v>992</v>
          </cell>
          <cell r="EV132">
            <v>609</v>
          </cell>
          <cell r="EW132">
            <v>637</v>
          </cell>
          <cell r="EX132">
            <v>15408</v>
          </cell>
          <cell r="EY132">
            <v>6908</v>
          </cell>
          <cell r="EZ132">
            <v>8500</v>
          </cell>
          <cell r="FA132">
            <v>4898</v>
          </cell>
          <cell r="FB132">
            <v>352664</v>
          </cell>
          <cell r="FC132">
            <v>0</v>
          </cell>
          <cell r="FD132">
            <v>34995</v>
          </cell>
          <cell r="FE132">
            <v>10354</v>
          </cell>
          <cell r="FF132">
            <v>859</v>
          </cell>
          <cell r="FG132">
            <v>14515</v>
          </cell>
          <cell r="FH132">
            <v>1297</v>
          </cell>
          <cell r="FI132">
            <v>5302</v>
          </cell>
          <cell r="FJ132">
            <v>2668</v>
          </cell>
          <cell r="FK132">
            <v>147097</v>
          </cell>
          <cell r="FL132">
            <v>29508</v>
          </cell>
          <cell r="FM132">
            <v>12041</v>
          </cell>
          <cell r="FN132">
            <v>16663</v>
          </cell>
          <cell r="FO132">
            <v>10492</v>
          </cell>
          <cell r="FP132">
            <v>18303</v>
          </cell>
          <cell r="FQ132">
            <v>2987</v>
          </cell>
          <cell r="FR132">
            <v>25741</v>
          </cell>
          <cell r="FS132">
            <v>1297</v>
          </cell>
          <cell r="FT132">
            <v>20024</v>
          </cell>
          <cell r="FU132">
            <v>10041</v>
          </cell>
          <cell r="FV132">
            <v>78804</v>
          </cell>
          <cell r="FW132">
            <v>29508</v>
          </cell>
          <cell r="FX132">
            <v>12041</v>
          </cell>
          <cell r="FY132">
            <v>10492</v>
          </cell>
          <cell r="FZ132">
            <v>1834</v>
          </cell>
          <cell r="GA132">
            <v>2128</v>
          </cell>
          <cell r="GB132">
            <v>10046</v>
          </cell>
          <cell r="GC132">
            <v>6457</v>
          </cell>
          <cell r="GD132">
            <v>6298</v>
          </cell>
          <cell r="GE132">
            <v>2679</v>
          </cell>
          <cell r="GF132">
            <v>-8761</v>
          </cell>
          <cell r="GG132">
            <v>11440</v>
          </cell>
          <cell r="GH132">
            <v>202888</v>
          </cell>
          <cell r="GI132">
            <v>114</v>
          </cell>
          <cell r="GJ132">
            <v>82122</v>
          </cell>
          <cell r="GK132">
            <v>1108</v>
          </cell>
          <cell r="GL132">
            <v>4419</v>
          </cell>
          <cell r="GM132">
            <v>18049</v>
          </cell>
          <cell r="GN132">
            <v>6171</v>
          </cell>
          <cell r="GO132">
            <v>14976</v>
          </cell>
          <cell r="GP132">
            <v>8370</v>
          </cell>
          <cell r="GQ132">
            <v>34994</v>
          </cell>
          <cell r="GR132">
            <v>32565</v>
          </cell>
          <cell r="GS132">
            <v>33298</v>
          </cell>
          <cell r="GT132">
            <v>16663</v>
          </cell>
          <cell r="GU132">
            <v>6115</v>
          </cell>
          <cell r="GV132">
            <v>1180</v>
          </cell>
          <cell r="GW132">
            <v>8265</v>
          </cell>
          <cell r="GX132">
            <v>1075</v>
          </cell>
        </row>
        <row r="133">
          <cell r="A133" t="str">
            <v>2022 Q1</v>
          </cell>
          <cell r="B133">
            <v>361388</v>
          </cell>
          <cell r="C133">
            <v>29620</v>
          </cell>
          <cell r="D133">
            <v>26353</v>
          </cell>
          <cell r="E133">
            <v>5222</v>
          </cell>
          <cell r="F133">
            <v>5296</v>
          </cell>
          <cell r="G133">
            <v>1145</v>
          </cell>
          <cell r="H133">
            <v>3190</v>
          </cell>
          <cell r="I133">
            <v>763</v>
          </cell>
          <cell r="J133">
            <v>2738</v>
          </cell>
          <cell r="K133">
            <v>3718</v>
          </cell>
          <cell r="L133">
            <v>3090</v>
          </cell>
          <cell r="M133">
            <v>1191</v>
          </cell>
          <cell r="N133">
            <v>3267</v>
          </cell>
          <cell r="O133">
            <v>706</v>
          </cell>
          <cell r="P133">
            <v>2561</v>
          </cell>
          <cell r="Q133">
            <v>11742</v>
          </cell>
          <cell r="R133">
            <v>5995</v>
          </cell>
          <cell r="S133">
            <v>1759</v>
          </cell>
          <cell r="T133">
            <v>2715</v>
          </cell>
          <cell r="U133">
            <v>1521</v>
          </cell>
          <cell r="V133">
            <v>5021</v>
          </cell>
          <cell r="W133">
            <v>726</v>
          </cell>
          <cell r="X133">
            <v>17615</v>
          </cell>
          <cell r="Y133">
            <v>15064</v>
          </cell>
          <cell r="Z133">
            <v>215</v>
          </cell>
          <cell r="AA133">
            <v>13082</v>
          </cell>
          <cell r="AB133">
            <v>1610</v>
          </cell>
          <cell r="AC133">
            <v>157</v>
          </cell>
          <cell r="AD133">
            <v>2551</v>
          </cell>
          <cell r="AE133">
            <v>2539</v>
          </cell>
          <cell r="AF133">
            <v>12</v>
          </cell>
          <cell r="AG133">
            <v>93529</v>
          </cell>
          <cell r="AH133">
            <v>21955</v>
          </cell>
          <cell r="AI133">
            <v>21875</v>
          </cell>
          <cell r="AJ133">
            <v>80</v>
          </cell>
          <cell r="AK133">
            <v>59075</v>
          </cell>
          <cell r="AL133">
            <v>56033</v>
          </cell>
          <cell r="AM133">
            <v>3042</v>
          </cell>
          <cell r="AN133">
            <v>924</v>
          </cell>
          <cell r="AO133">
            <v>431</v>
          </cell>
          <cell r="AP133">
            <v>493</v>
          </cell>
          <cell r="AQ133">
            <v>2676</v>
          </cell>
          <cell r="AR133">
            <v>1286</v>
          </cell>
          <cell r="AS133">
            <v>69</v>
          </cell>
          <cell r="AT133">
            <v>1321</v>
          </cell>
          <cell r="AU133">
            <v>0</v>
          </cell>
          <cell r="AV133">
            <v>8899</v>
          </cell>
          <cell r="AW133">
            <v>5169</v>
          </cell>
          <cell r="AX133">
            <v>3203</v>
          </cell>
          <cell r="AY133">
            <v>401</v>
          </cell>
          <cell r="AZ133">
            <v>126</v>
          </cell>
          <cell r="BA133">
            <v>0</v>
          </cell>
          <cell r="BB133">
            <v>20184</v>
          </cell>
          <cell r="BC133">
            <v>8036</v>
          </cell>
          <cell r="BD133">
            <v>6431</v>
          </cell>
          <cell r="BE133">
            <v>1594</v>
          </cell>
          <cell r="BF133">
            <v>11</v>
          </cell>
          <cell r="BG133">
            <v>1824</v>
          </cell>
          <cell r="BH133">
            <v>3463</v>
          </cell>
          <cell r="BI133">
            <v>2882</v>
          </cell>
          <cell r="BJ133">
            <v>431</v>
          </cell>
          <cell r="BK133">
            <v>150</v>
          </cell>
          <cell r="BL133">
            <v>2016</v>
          </cell>
          <cell r="BM133">
            <v>2137</v>
          </cell>
          <cell r="BN133">
            <v>236</v>
          </cell>
          <cell r="BO133">
            <v>1901</v>
          </cell>
          <cell r="BP133">
            <v>2708</v>
          </cell>
          <cell r="BQ133">
            <v>1818</v>
          </cell>
          <cell r="BR133">
            <v>890</v>
          </cell>
          <cell r="BS133">
            <v>7431</v>
          </cell>
          <cell r="BT133">
            <v>2971</v>
          </cell>
          <cell r="BU133">
            <v>1940</v>
          </cell>
          <cell r="BV133">
            <v>191</v>
          </cell>
          <cell r="BW133">
            <v>840</v>
          </cell>
          <cell r="BX133">
            <v>2152</v>
          </cell>
          <cell r="BY133">
            <v>897</v>
          </cell>
          <cell r="BZ133">
            <v>915</v>
          </cell>
          <cell r="CA133">
            <v>340</v>
          </cell>
          <cell r="CB133">
            <v>2308</v>
          </cell>
          <cell r="CC133">
            <v>46512</v>
          </cell>
          <cell r="CD133">
            <v>14740</v>
          </cell>
          <cell r="CE133">
            <v>13966</v>
          </cell>
          <cell r="CF133">
            <v>277</v>
          </cell>
          <cell r="CG133">
            <v>497</v>
          </cell>
          <cell r="CH133">
            <v>20249</v>
          </cell>
          <cell r="CI133">
            <v>1232</v>
          </cell>
          <cell r="CJ133">
            <v>10477</v>
          </cell>
          <cell r="CK133">
            <v>4929</v>
          </cell>
          <cell r="CL133">
            <v>3611</v>
          </cell>
          <cell r="CM133">
            <v>11523</v>
          </cell>
          <cell r="CN133">
            <v>2424</v>
          </cell>
          <cell r="CO133">
            <v>1709</v>
          </cell>
          <cell r="CP133">
            <v>4893</v>
          </cell>
          <cell r="CQ133">
            <v>1241</v>
          </cell>
          <cell r="CR133">
            <v>1256</v>
          </cell>
          <cell r="CS133">
            <v>7790</v>
          </cell>
          <cell r="CT133">
            <v>286</v>
          </cell>
          <cell r="CU133">
            <v>1647</v>
          </cell>
          <cell r="CV133">
            <v>5857</v>
          </cell>
          <cell r="CW133">
            <v>36696</v>
          </cell>
          <cell r="CX133">
            <v>5347</v>
          </cell>
          <cell r="CY133">
            <v>1132</v>
          </cell>
          <cell r="CZ133">
            <v>333</v>
          </cell>
          <cell r="DA133">
            <v>2140</v>
          </cell>
          <cell r="DB133">
            <v>1707</v>
          </cell>
          <cell r="DC133">
            <v>35</v>
          </cell>
          <cell r="DD133">
            <v>2492</v>
          </cell>
          <cell r="DE133">
            <v>1587</v>
          </cell>
          <cell r="DF133">
            <v>174</v>
          </cell>
          <cell r="DG133">
            <v>731</v>
          </cell>
          <cell r="DH133">
            <v>11498</v>
          </cell>
          <cell r="DI133">
            <v>3321</v>
          </cell>
          <cell r="DJ133">
            <v>2781</v>
          </cell>
          <cell r="DK133">
            <v>1792</v>
          </cell>
          <cell r="DL133">
            <v>2283</v>
          </cell>
          <cell r="DM133">
            <v>1321</v>
          </cell>
          <cell r="DN133">
            <v>13596</v>
          </cell>
          <cell r="DO133">
            <v>3571</v>
          </cell>
          <cell r="DP133">
            <v>6969</v>
          </cell>
          <cell r="DQ133">
            <v>3056</v>
          </cell>
          <cell r="DR133">
            <v>3763</v>
          </cell>
          <cell r="DS133">
            <v>1069</v>
          </cell>
          <cell r="DT133">
            <v>866</v>
          </cell>
          <cell r="DU133">
            <v>864</v>
          </cell>
          <cell r="DV133">
            <v>964</v>
          </cell>
          <cell r="DW133">
            <v>0</v>
          </cell>
          <cell r="DX133">
            <v>8526</v>
          </cell>
          <cell r="DY133">
            <v>37495</v>
          </cell>
          <cell r="DZ133">
            <v>29765</v>
          </cell>
          <cell r="EA133">
            <v>28797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968</v>
          </cell>
          <cell r="EG133">
            <v>7730</v>
          </cell>
          <cell r="EH133">
            <v>44248</v>
          </cell>
          <cell r="EI133">
            <v>8342</v>
          </cell>
          <cell r="EJ133">
            <v>1799</v>
          </cell>
          <cell r="EK133">
            <v>381</v>
          </cell>
          <cell r="EL133">
            <v>6162</v>
          </cell>
          <cell r="EM133">
            <v>1488</v>
          </cell>
          <cell r="EN133">
            <v>3602</v>
          </cell>
          <cell r="EO133">
            <v>2724</v>
          </cell>
          <cell r="EP133">
            <v>878</v>
          </cell>
          <cell r="EQ133">
            <v>3918</v>
          </cell>
          <cell r="ER133">
            <v>4666</v>
          </cell>
          <cell r="ES133">
            <v>2346</v>
          </cell>
          <cell r="ET133">
            <v>321</v>
          </cell>
          <cell r="EU133">
            <v>709</v>
          </cell>
          <cell r="EV133">
            <v>807</v>
          </cell>
          <cell r="EW133">
            <v>483</v>
          </cell>
          <cell r="EX133">
            <v>17227</v>
          </cell>
          <cell r="EY133">
            <v>8428</v>
          </cell>
          <cell r="EZ133">
            <v>8799</v>
          </cell>
          <cell r="FA133">
            <v>5005</v>
          </cell>
          <cell r="FB133">
            <v>363267</v>
          </cell>
          <cell r="FC133">
            <v>0</v>
          </cell>
          <cell r="FD133">
            <v>36460</v>
          </cell>
          <cell r="FE133">
            <v>11143</v>
          </cell>
          <cell r="FF133">
            <v>840</v>
          </cell>
          <cell r="FG133">
            <v>14740</v>
          </cell>
          <cell r="FH133">
            <v>1647</v>
          </cell>
          <cell r="FI133">
            <v>5366</v>
          </cell>
          <cell r="FJ133">
            <v>2724</v>
          </cell>
          <cell r="FK133">
            <v>150782</v>
          </cell>
          <cell r="FL133">
            <v>29620</v>
          </cell>
          <cell r="FM133">
            <v>11742</v>
          </cell>
          <cell r="FN133">
            <v>17446</v>
          </cell>
          <cell r="FO133">
            <v>10616</v>
          </cell>
          <cell r="FP133">
            <v>19133</v>
          </cell>
          <cell r="FQ133">
            <v>2971</v>
          </cell>
          <cell r="FR133">
            <v>26449</v>
          </cell>
          <cell r="FS133">
            <v>1647</v>
          </cell>
          <cell r="FT133">
            <v>21013</v>
          </cell>
          <cell r="FU133">
            <v>10145</v>
          </cell>
          <cell r="FV133">
            <v>79335</v>
          </cell>
          <cell r="FW133">
            <v>29620</v>
          </cell>
          <cell r="FX133">
            <v>11742</v>
          </cell>
          <cell r="FY133">
            <v>10616</v>
          </cell>
          <cell r="FZ133">
            <v>1818</v>
          </cell>
          <cell r="GA133">
            <v>2131</v>
          </cell>
          <cell r="GB133">
            <v>10477</v>
          </cell>
          <cell r="GC133">
            <v>6769</v>
          </cell>
          <cell r="GD133">
            <v>6162</v>
          </cell>
          <cell r="GE133">
            <v>1879</v>
          </cell>
          <cell r="GF133">
            <v>-10838</v>
          </cell>
          <cell r="GG133">
            <v>12717</v>
          </cell>
          <cell r="GH133">
            <v>210606</v>
          </cell>
          <cell r="GI133">
            <v>169</v>
          </cell>
          <cell r="GJ133">
            <v>82913</v>
          </cell>
          <cell r="GK133">
            <v>1051</v>
          </cell>
          <cell r="GL133">
            <v>4460</v>
          </cell>
          <cell r="GM133">
            <v>20063</v>
          </cell>
          <cell r="GN133">
            <v>6143</v>
          </cell>
          <cell r="GO133">
            <v>15683</v>
          </cell>
          <cell r="GP133">
            <v>8526</v>
          </cell>
          <cell r="GQ133">
            <v>37495</v>
          </cell>
          <cell r="GR133">
            <v>34103</v>
          </cell>
          <cell r="GS133">
            <v>34987</v>
          </cell>
          <cell r="GT133">
            <v>17446</v>
          </cell>
          <cell r="GU133">
            <v>6172</v>
          </cell>
          <cell r="GV133">
            <v>1232</v>
          </cell>
          <cell r="GW133">
            <v>8878</v>
          </cell>
          <cell r="GX133">
            <v>1259</v>
          </cell>
        </row>
        <row r="134">
          <cell r="A134" t="str">
            <v>2022 Q2</v>
          </cell>
          <cell r="B134">
            <v>377555</v>
          </cell>
          <cell r="C134">
            <v>30817</v>
          </cell>
          <cell r="D134">
            <v>27499</v>
          </cell>
          <cell r="E134">
            <v>5456</v>
          </cell>
          <cell r="F134">
            <v>5466</v>
          </cell>
          <cell r="G134">
            <v>1169</v>
          </cell>
          <cell r="H134">
            <v>3476</v>
          </cell>
          <cell r="I134">
            <v>807</v>
          </cell>
          <cell r="J134">
            <v>2799</v>
          </cell>
          <cell r="K134">
            <v>3982</v>
          </cell>
          <cell r="L134">
            <v>3160</v>
          </cell>
          <cell r="M134">
            <v>1184</v>
          </cell>
          <cell r="N134">
            <v>3318</v>
          </cell>
          <cell r="O134">
            <v>716</v>
          </cell>
          <cell r="P134">
            <v>2602</v>
          </cell>
          <cell r="Q134">
            <v>11810</v>
          </cell>
          <cell r="R134">
            <v>6087</v>
          </cell>
          <cell r="S134">
            <v>1774</v>
          </cell>
          <cell r="T134">
            <v>2794</v>
          </cell>
          <cell r="U134">
            <v>1519</v>
          </cell>
          <cell r="V134">
            <v>5004</v>
          </cell>
          <cell r="W134">
            <v>719</v>
          </cell>
          <cell r="X134">
            <v>17800</v>
          </cell>
          <cell r="Y134">
            <v>15113</v>
          </cell>
          <cell r="Z134">
            <v>151</v>
          </cell>
          <cell r="AA134">
            <v>12979</v>
          </cell>
          <cell r="AB134">
            <v>1796</v>
          </cell>
          <cell r="AC134">
            <v>187</v>
          </cell>
          <cell r="AD134">
            <v>2687</v>
          </cell>
          <cell r="AE134">
            <v>2678</v>
          </cell>
          <cell r="AF134">
            <v>9</v>
          </cell>
          <cell r="AG134">
            <v>98272</v>
          </cell>
          <cell r="AH134">
            <v>22125</v>
          </cell>
          <cell r="AI134">
            <v>22045</v>
          </cell>
          <cell r="AJ134">
            <v>80</v>
          </cell>
          <cell r="AK134">
            <v>59740</v>
          </cell>
          <cell r="AL134">
            <v>56667</v>
          </cell>
          <cell r="AM134">
            <v>3073</v>
          </cell>
          <cell r="AN134">
            <v>926</v>
          </cell>
          <cell r="AO134">
            <v>432</v>
          </cell>
          <cell r="AP134">
            <v>494</v>
          </cell>
          <cell r="AQ134">
            <v>2703</v>
          </cell>
          <cell r="AR134">
            <v>1296</v>
          </cell>
          <cell r="AS134">
            <v>73</v>
          </cell>
          <cell r="AT134">
            <v>1334</v>
          </cell>
          <cell r="AU134">
            <v>0</v>
          </cell>
          <cell r="AV134">
            <v>12778</v>
          </cell>
          <cell r="AW134">
            <v>7215</v>
          </cell>
          <cell r="AX134">
            <v>4932</v>
          </cell>
          <cell r="AY134">
            <v>488</v>
          </cell>
          <cell r="AZ134">
            <v>143</v>
          </cell>
          <cell r="BA134">
            <v>0</v>
          </cell>
          <cell r="BB134">
            <v>19716</v>
          </cell>
          <cell r="BC134">
            <v>7471</v>
          </cell>
          <cell r="BD134">
            <v>6123</v>
          </cell>
          <cell r="BE134">
            <v>1338</v>
          </cell>
          <cell r="BF134">
            <v>10</v>
          </cell>
          <cell r="BG134">
            <v>1804</v>
          </cell>
          <cell r="BH134">
            <v>3403</v>
          </cell>
          <cell r="BI134">
            <v>2846</v>
          </cell>
          <cell r="BJ134">
            <v>403</v>
          </cell>
          <cell r="BK134">
            <v>154</v>
          </cell>
          <cell r="BL134">
            <v>2097</v>
          </cell>
          <cell r="BM134">
            <v>2279</v>
          </cell>
          <cell r="BN134">
            <v>443</v>
          </cell>
          <cell r="BO134">
            <v>1836</v>
          </cell>
          <cell r="BP134">
            <v>2662</v>
          </cell>
          <cell r="BQ134">
            <v>1771</v>
          </cell>
          <cell r="BR134">
            <v>891</v>
          </cell>
          <cell r="BS134">
            <v>7390</v>
          </cell>
          <cell r="BT134">
            <v>3100</v>
          </cell>
          <cell r="BU134">
            <v>1999</v>
          </cell>
          <cell r="BV134">
            <v>137</v>
          </cell>
          <cell r="BW134">
            <v>964</v>
          </cell>
          <cell r="BX134">
            <v>1978</v>
          </cell>
          <cell r="BY134">
            <v>902</v>
          </cell>
          <cell r="BZ134">
            <v>750</v>
          </cell>
          <cell r="CA134">
            <v>326</v>
          </cell>
          <cell r="CB134">
            <v>2312</v>
          </cell>
          <cell r="CC134">
            <v>49316</v>
          </cell>
          <cell r="CD134">
            <v>14663</v>
          </cell>
          <cell r="CE134">
            <v>13881</v>
          </cell>
          <cell r="CF134">
            <v>266</v>
          </cell>
          <cell r="CG134">
            <v>516</v>
          </cell>
          <cell r="CH134">
            <v>21395</v>
          </cell>
          <cell r="CI134">
            <v>1301</v>
          </cell>
          <cell r="CJ134">
            <v>11710</v>
          </cell>
          <cell r="CK134">
            <v>4807</v>
          </cell>
          <cell r="CL134">
            <v>3577</v>
          </cell>
          <cell r="CM134">
            <v>13258</v>
          </cell>
          <cell r="CN134">
            <v>2827</v>
          </cell>
          <cell r="CO134">
            <v>1837</v>
          </cell>
          <cell r="CP134">
            <v>5607</v>
          </cell>
          <cell r="CQ134">
            <v>1739</v>
          </cell>
          <cell r="CR134">
            <v>1248</v>
          </cell>
          <cell r="CS134">
            <v>7657</v>
          </cell>
          <cell r="CT134">
            <v>297</v>
          </cell>
          <cell r="CU134">
            <v>1565</v>
          </cell>
          <cell r="CV134">
            <v>5795</v>
          </cell>
          <cell r="CW134">
            <v>37132</v>
          </cell>
          <cell r="CX134">
            <v>5424</v>
          </cell>
          <cell r="CY134">
            <v>1187</v>
          </cell>
          <cell r="CZ134">
            <v>352</v>
          </cell>
          <cell r="DA134">
            <v>2134</v>
          </cell>
          <cell r="DB134">
            <v>1715</v>
          </cell>
          <cell r="DC134">
            <v>36</v>
          </cell>
          <cell r="DD134">
            <v>2574</v>
          </cell>
          <cell r="DE134">
            <v>1616</v>
          </cell>
          <cell r="DF134">
            <v>165</v>
          </cell>
          <cell r="DG134">
            <v>793</v>
          </cell>
          <cell r="DH134">
            <v>11474</v>
          </cell>
          <cell r="DI134">
            <v>3270</v>
          </cell>
          <cell r="DJ134">
            <v>2767</v>
          </cell>
          <cell r="DK134">
            <v>1713</v>
          </cell>
          <cell r="DL134">
            <v>2381</v>
          </cell>
          <cell r="DM134">
            <v>1343</v>
          </cell>
          <cell r="DN134">
            <v>14057</v>
          </cell>
          <cell r="DO134">
            <v>3674</v>
          </cell>
          <cell r="DP134">
            <v>7254</v>
          </cell>
          <cell r="DQ134">
            <v>3129</v>
          </cell>
          <cell r="DR134">
            <v>3603</v>
          </cell>
          <cell r="DS134">
            <v>1022</v>
          </cell>
          <cell r="DT134">
            <v>827</v>
          </cell>
          <cell r="DU134">
            <v>868</v>
          </cell>
          <cell r="DV134">
            <v>886</v>
          </cell>
          <cell r="DW134">
            <v>0</v>
          </cell>
          <cell r="DX134">
            <v>8751</v>
          </cell>
          <cell r="DY134">
            <v>41843</v>
          </cell>
          <cell r="DZ134">
            <v>32362</v>
          </cell>
          <cell r="EA134">
            <v>31538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824</v>
          </cell>
          <cell r="EG134">
            <v>9481</v>
          </cell>
          <cell r="EH134">
            <v>47051</v>
          </cell>
          <cell r="EI134">
            <v>8534</v>
          </cell>
          <cell r="EJ134">
            <v>1888</v>
          </cell>
          <cell r="EK134">
            <v>412</v>
          </cell>
          <cell r="EL134">
            <v>6234</v>
          </cell>
          <cell r="EM134">
            <v>1527</v>
          </cell>
          <cell r="EN134">
            <v>3857</v>
          </cell>
          <cell r="EO134">
            <v>2775</v>
          </cell>
          <cell r="EP134">
            <v>1082</v>
          </cell>
          <cell r="EQ134">
            <v>4347</v>
          </cell>
          <cell r="ER134">
            <v>5391</v>
          </cell>
          <cell r="ES134">
            <v>2468</v>
          </cell>
          <cell r="ET134">
            <v>575</v>
          </cell>
          <cell r="EU134">
            <v>735</v>
          </cell>
          <cell r="EV134">
            <v>596</v>
          </cell>
          <cell r="EW134">
            <v>1017</v>
          </cell>
          <cell r="EX134">
            <v>18419</v>
          </cell>
          <cell r="EY134">
            <v>9155</v>
          </cell>
          <cell r="EZ134">
            <v>9264</v>
          </cell>
          <cell r="FA134">
            <v>4976</v>
          </cell>
          <cell r="FB134">
            <v>382138</v>
          </cell>
          <cell r="FC134">
            <v>0</v>
          </cell>
          <cell r="FD134">
            <v>36171</v>
          </cell>
          <cell r="FE134">
            <v>10750</v>
          </cell>
          <cell r="FF134">
            <v>964</v>
          </cell>
          <cell r="FG134">
            <v>14663</v>
          </cell>
          <cell r="FH134">
            <v>1565</v>
          </cell>
          <cell r="FI134">
            <v>5454</v>
          </cell>
          <cell r="FJ134">
            <v>2775</v>
          </cell>
          <cell r="FK134">
            <v>157143</v>
          </cell>
          <cell r="FL134">
            <v>30817</v>
          </cell>
          <cell r="FM134">
            <v>11810</v>
          </cell>
          <cell r="FN134">
            <v>17604</v>
          </cell>
          <cell r="FO134">
            <v>14506</v>
          </cell>
          <cell r="FP134">
            <v>18661</v>
          </cell>
          <cell r="FQ134">
            <v>3100</v>
          </cell>
          <cell r="FR134">
            <v>27674</v>
          </cell>
          <cell r="FS134">
            <v>1565</v>
          </cell>
          <cell r="FT134">
            <v>20903</v>
          </cell>
          <cell r="FU134">
            <v>10503</v>
          </cell>
          <cell r="FV134">
            <v>85659</v>
          </cell>
          <cell r="FW134">
            <v>30817</v>
          </cell>
          <cell r="FX134">
            <v>11810</v>
          </cell>
          <cell r="FY134">
            <v>14506</v>
          </cell>
          <cell r="FZ134">
            <v>1771</v>
          </cell>
          <cell r="GA134">
            <v>2136</v>
          </cell>
          <cell r="GB134">
            <v>11710</v>
          </cell>
          <cell r="GC134">
            <v>6675</v>
          </cell>
          <cell r="GD134">
            <v>6234</v>
          </cell>
          <cell r="GE134">
            <v>4583</v>
          </cell>
          <cell r="GF134">
            <v>-13071</v>
          </cell>
          <cell r="GG134">
            <v>17654</v>
          </cell>
          <cell r="GH134">
            <v>220412</v>
          </cell>
          <cell r="GI134">
            <v>196</v>
          </cell>
          <cell r="GJ134">
            <v>83766</v>
          </cell>
          <cell r="GK134">
            <v>1055</v>
          </cell>
          <cell r="GL134">
            <v>4290</v>
          </cell>
          <cell r="GM134">
            <v>21642</v>
          </cell>
          <cell r="GN134">
            <v>6092</v>
          </cell>
          <cell r="GO134">
            <v>16229</v>
          </cell>
          <cell r="GP134">
            <v>8751</v>
          </cell>
          <cell r="GQ134">
            <v>41843</v>
          </cell>
          <cell r="GR134">
            <v>36548</v>
          </cell>
          <cell r="GS134">
            <v>35313</v>
          </cell>
          <cell r="GT134">
            <v>17604</v>
          </cell>
          <cell r="GU134">
            <v>6140</v>
          </cell>
          <cell r="GV134">
            <v>1301</v>
          </cell>
          <cell r="GW134">
            <v>8774</v>
          </cell>
          <cell r="GX134">
            <v>1494</v>
          </cell>
        </row>
        <row r="135">
          <cell r="A135" t="str">
            <v>2022 Q3</v>
          </cell>
          <cell r="B135">
            <v>384299</v>
          </cell>
          <cell r="C135">
            <v>32643</v>
          </cell>
          <cell r="D135">
            <v>29161</v>
          </cell>
          <cell r="E135">
            <v>5663</v>
          </cell>
          <cell r="F135">
            <v>5755</v>
          </cell>
          <cell r="G135">
            <v>1225</v>
          </cell>
          <cell r="H135">
            <v>3891</v>
          </cell>
          <cell r="I135">
            <v>875</v>
          </cell>
          <cell r="J135">
            <v>2891</v>
          </cell>
          <cell r="K135">
            <v>4245</v>
          </cell>
          <cell r="L135">
            <v>3272</v>
          </cell>
          <cell r="M135">
            <v>1344</v>
          </cell>
          <cell r="N135">
            <v>3482</v>
          </cell>
          <cell r="O135">
            <v>747</v>
          </cell>
          <cell r="P135">
            <v>2735</v>
          </cell>
          <cell r="Q135">
            <v>11937</v>
          </cell>
          <cell r="R135">
            <v>6182</v>
          </cell>
          <cell r="S135">
            <v>1781</v>
          </cell>
          <cell r="T135">
            <v>2817</v>
          </cell>
          <cell r="U135">
            <v>1584</v>
          </cell>
          <cell r="V135">
            <v>5051</v>
          </cell>
          <cell r="W135">
            <v>704</v>
          </cell>
          <cell r="X135">
            <v>18275</v>
          </cell>
          <cell r="Y135">
            <v>15452</v>
          </cell>
          <cell r="Z135">
            <v>140</v>
          </cell>
          <cell r="AA135">
            <v>13251</v>
          </cell>
          <cell r="AB135">
            <v>1853</v>
          </cell>
          <cell r="AC135">
            <v>208</v>
          </cell>
          <cell r="AD135">
            <v>2823</v>
          </cell>
          <cell r="AE135">
            <v>2816</v>
          </cell>
          <cell r="AF135">
            <v>7</v>
          </cell>
          <cell r="AG135">
            <v>99311</v>
          </cell>
          <cell r="AH135">
            <v>22219</v>
          </cell>
          <cell r="AI135">
            <v>22139</v>
          </cell>
          <cell r="AJ135">
            <v>80</v>
          </cell>
          <cell r="AK135">
            <v>60510</v>
          </cell>
          <cell r="AL135">
            <v>57399</v>
          </cell>
          <cell r="AM135">
            <v>3111</v>
          </cell>
          <cell r="AN135">
            <v>926</v>
          </cell>
          <cell r="AO135">
            <v>417</v>
          </cell>
          <cell r="AP135">
            <v>509</v>
          </cell>
          <cell r="AQ135">
            <v>2701</v>
          </cell>
          <cell r="AR135">
            <v>1304</v>
          </cell>
          <cell r="AS135">
            <v>66</v>
          </cell>
          <cell r="AT135">
            <v>1331</v>
          </cell>
          <cell r="AU135">
            <v>0</v>
          </cell>
          <cell r="AV135">
            <v>12955</v>
          </cell>
          <cell r="AW135">
            <v>7033</v>
          </cell>
          <cell r="AX135">
            <v>5462</v>
          </cell>
          <cell r="AY135">
            <v>314</v>
          </cell>
          <cell r="AZ135">
            <v>146</v>
          </cell>
          <cell r="BA135">
            <v>0</v>
          </cell>
          <cell r="BB135">
            <v>19882</v>
          </cell>
          <cell r="BC135">
            <v>7426</v>
          </cell>
          <cell r="BD135">
            <v>6179</v>
          </cell>
          <cell r="BE135">
            <v>1237</v>
          </cell>
          <cell r="BF135">
            <v>10</v>
          </cell>
          <cell r="BG135">
            <v>1812</v>
          </cell>
          <cell r="BH135">
            <v>3495</v>
          </cell>
          <cell r="BI135">
            <v>2866</v>
          </cell>
          <cell r="BJ135">
            <v>450</v>
          </cell>
          <cell r="BK135">
            <v>179</v>
          </cell>
          <cell r="BL135">
            <v>2182</v>
          </cell>
          <cell r="BM135">
            <v>2247</v>
          </cell>
          <cell r="BN135">
            <v>451</v>
          </cell>
          <cell r="BO135">
            <v>1796</v>
          </cell>
          <cell r="BP135">
            <v>2720</v>
          </cell>
          <cell r="BQ135">
            <v>1739</v>
          </cell>
          <cell r="BR135">
            <v>981</v>
          </cell>
          <cell r="BS135">
            <v>7427</v>
          </cell>
          <cell r="BT135">
            <v>3114</v>
          </cell>
          <cell r="BU135">
            <v>2060</v>
          </cell>
          <cell r="BV135">
            <v>197</v>
          </cell>
          <cell r="BW135">
            <v>857</v>
          </cell>
          <cell r="BX135">
            <v>2147</v>
          </cell>
          <cell r="BY135">
            <v>979</v>
          </cell>
          <cell r="BZ135">
            <v>926</v>
          </cell>
          <cell r="CA135">
            <v>242</v>
          </cell>
          <cell r="CB135">
            <v>2166</v>
          </cell>
          <cell r="CC135">
            <v>50286</v>
          </cell>
          <cell r="CD135">
            <v>14954</v>
          </cell>
          <cell r="CE135">
            <v>14152</v>
          </cell>
          <cell r="CF135">
            <v>278</v>
          </cell>
          <cell r="CG135">
            <v>524</v>
          </cell>
          <cell r="CH135">
            <v>21357</v>
          </cell>
          <cell r="CI135">
            <v>1285</v>
          </cell>
          <cell r="CJ135">
            <v>11868</v>
          </cell>
          <cell r="CK135">
            <v>4662</v>
          </cell>
          <cell r="CL135">
            <v>3542</v>
          </cell>
          <cell r="CM135">
            <v>13975</v>
          </cell>
          <cell r="CN135">
            <v>3005</v>
          </cell>
          <cell r="CO135">
            <v>1786</v>
          </cell>
          <cell r="CP135">
            <v>6345</v>
          </cell>
          <cell r="CQ135">
            <v>1828</v>
          </cell>
          <cell r="CR135">
            <v>1011</v>
          </cell>
          <cell r="CS135">
            <v>7574</v>
          </cell>
          <cell r="CT135">
            <v>284</v>
          </cell>
          <cell r="CU135">
            <v>1434</v>
          </cell>
          <cell r="CV135">
            <v>5856</v>
          </cell>
          <cell r="CW135">
            <v>37888</v>
          </cell>
          <cell r="CX135">
            <v>5375</v>
          </cell>
          <cell r="CY135">
            <v>1170</v>
          </cell>
          <cell r="CZ135">
            <v>330</v>
          </cell>
          <cell r="DA135">
            <v>2121</v>
          </cell>
          <cell r="DB135">
            <v>1715</v>
          </cell>
          <cell r="DC135">
            <v>39</v>
          </cell>
          <cell r="DD135">
            <v>2604</v>
          </cell>
          <cell r="DE135">
            <v>1645</v>
          </cell>
          <cell r="DF135">
            <v>159</v>
          </cell>
          <cell r="DG135">
            <v>800</v>
          </cell>
          <cell r="DH135">
            <v>12106</v>
          </cell>
          <cell r="DI135">
            <v>3219</v>
          </cell>
          <cell r="DJ135">
            <v>2953</v>
          </cell>
          <cell r="DK135">
            <v>1788</v>
          </cell>
          <cell r="DL135">
            <v>2642</v>
          </cell>
          <cell r="DM135">
            <v>1504</v>
          </cell>
          <cell r="DN135">
            <v>14292</v>
          </cell>
          <cell r="DO135">
            <v>3957</v>
          </cell>
          <cell r="DP135">
            <v>7150</v>
          </cell>
          <cell r="DQ135">
            <v>3185</v>
          </cell>
          <cell r="DR135">
            <v>3511</v>
          </cell>
          <cell r="DS135">
            <v>980</v>
          </cell>
          <cell r="DT135">
            <v>828</v>
          </cell>
          <cell r="DU135">
            <v>798</v>
          </cell>
          <cell r="DV135">
            <v>905</v>
          </cell>
          <cell r="DW135">
            <v>0</v>
          </cell>
          <cell r="DX135">
            <v>8970</v>
          </cell>
          <cell r="DY135">
            <v>41269</v>
          </cell>
          <cell r="DZ135">
            <v>32115</v>
          </cell>
          <cell r="EA135">
            <v>31192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923</v>
          </cell>
          <cell r="EG135">
            <v>9154</v>
          </cell>
          <cell r="EH135">
            <v>48837</v>
          </cell>
          <cell r="EI135">
            <v>8639</v>
          </cell>
          <cell r="EJ135">
            <v>1842</v>
          </cell>
          <cell r="EK135">
            <v>317</v>
          </cell>
          <cell r="EL135">
            <v>6480</v>
          </cell>
          <cell r="EM135">
            <v>1562</v>
          </cell>
          <cell r="EN135">
            <v>3973</v>
          </cell>
          <cell r="EO135">
            <v>2718</v>
          </cell>
          <cell r="EP135">
            <v>1255</v>
          </cell>
          <cell r="EQ135">
            <v>4707</v>
          </cell>
          <cell r="ER135">
            <v>5408</v>
          </cell>
          <cell r="ES135">
            <v>2516</v>
          </cell>
          <cell r="ET135">
            <v>487</v>
          </cell>
          <cell r="EU135">
            <v>1018</v>
          </cell>
          <cell r="EV135">
            <v>774</v>
          </cell>
          <cell r="EW135">
            <v>613</v>
          </cell>
          <cell r="EX135">
            <v>19542</v>
          </cell>
          <cell r="EY135">
            <v>10674</v>
          </cell>
          <cell r="EZ135">
            <v>8868</v>
          </cell>
          <cell r="FA135">
            <v>5006</v>
          </cell>
          <cell r="FB135">
            <v>388416</v>
          </cell>
          <cell r="FC135">
            <v>0</v>
          </cell>
          <cell r="FD135">
            <v>36121</v>
          </cell>
          <cell r="FE135">
            <v>10733</v>
          </cell>
          <cell r="FF135">
            <v>857</v>
          </cell>
          <cell r="FG135">
            <v>14954</v>
          </cell>
          <cell r="FH135">
            <v>1434</v>
          </cell>
          <cell r="FI135">
            <v>5425</v>
          </cell>
          <cell r="FJ135">
            <v>2718</v>
          </cell>
          <cell r="FK135">
            <v>160706</v>
          </cell>
          <cell r="FL135">
            <v>32643</v>
          </cell>
          <cell r="FM135">
            <v>11937</v>
          </cell>
          <cell r="FN135">
            <v>18060</v>
          </cell>
          <cell r="FO135">
            <v>14676</v>
          </cell>
          <cell r="FP135">
            <v>18712</v>
          </cell>
          <cell r="FQ135">
            <v>3114</v>
          </cell>
          <cell r="FR135">
            <v>28107</v>
          </cell>
          <cell r="FS135">
            <v>1434</v>
          </cell>
          <cell r="FT135">
            <v>21253</v>
          </cell>
          <cell r="FU135">
            <v>10770</v>
          </cell>
          <cell r="FV135">
            <v>88561</v>
          </cell>
          <cell r="FW135">
            <v>32643</v>
          </cell>
          <cell r="FX135">
            <v>11937</v>
          </cell>
          <cell r="FY135">
            <v>14676</v>
          </cell>
          <cell r="FZ135">
            <v>1739</v>
          </cell>
          <cell r="GA135">
            <v>2257</v>
          </cell>
          <cell r="GB135">
            <v>11868</v>
          </cell>
          <cell r="GC135">
            <v>6961</v>
          </cell>
          <cell r="GD135">
            <v>6480</v>
          </cell>
          <cell r="GE135">
            <v>4117</v>
          </cell>
          <cell r="GF135">
            <v>-13824</v>
          </cell>
          <cell r="GG135">
            <v>17941</v>
          </cell>
          <cell r="GH135">
            <v>223593</v>
          </cell>
          <cell r="GI135">
            <v>215</v>
          </cell>
          <cell r="GJ135">
            <v>84635</v>
          </cell>
          <cell r="GK135">
            <v>1170</v>
          </cell>
          <cell r="GL135">
            <v>4313</v>
          </cell>
          <cell r="GM135">
            <v>22179</v>
          </cell>
          <cell r="GN135">
            <v>6140</v>
          </cell>
          <cell r="GO135">
            <v>16635</v>
          </cell>
          <cell r="GP135">
            <v>8970</v>
          </cell>
          <cell r="GQ135">
            <v>41269</v>
          </cell>
          <cell r="GR135">
            <v>38067</v>
          </cell>
          <cell r="GS135">
            <v>36024</v>
          </cell>
          <cell r="GT135">
            <v>18060</v>
          </cell>
          <cell r="GU135">
            <v>6240</v>
          </cell>
          <cell r="GV135">
            <v>1285</v>
          </cell>
          <cell r="GW135">
            <v>8867</v>
          </cell>
          <cell r="GX135">
            <v>1572</v>
          </cell>
        </row>
        <row r="136">
          <cell r="A136" t="str">
            <v>2022 Q4</v>
          </cell>
          <cell r="B136">
            <v>396695</v>
          </cell>
          <cell r="C136">
            <v>34136</v>
          </cell>
          <cell r="D136">
            <v>30551</v>
          </cell>
          <cell r="E136">
            <v>5975</v>
          </cell>
          <cell r="F136">
            <v>5852</v>
          </cell>
          <cell r="G136">
            <v>1286</v>
          </cell>
          <cell r="H136">
            <v>4264</v>
          </cell>
          <cell r="I136">
            <v>955</v>
          </cell>
          <cell r="J136">
            <v>2966</v>
          </cell>
          <cell r="K136">
            <v>4509</v>
          </cell>
          <cell r="L136">
            <v>3333</v>
          </cell>
          <cell r="M136">
            <v>1411</v>
          </cell>
          <cell r="N136">
            <v>3585</v>
          </cell>
          <cell r="O136">
            <v>775</v>
          </cell>
          <cell r="P136">
            <v>2810</v>
          </cell>
          <cell r="Q136">
            <v>11946</v>
          </cell>
          <cell r="R136">
            <v>6116</v>
          </cell>
          <cell r="S136">
            <v>1756</v>
          </cell>
          <cell r="T136">
            <v>2803</v>
          </cell>
          <cell r="U136">
            <v>1557</v>
          </cell>
          <cell r="V136">
            <v>5131</v>
          </cell>
          <cell r="W136">
            <v>699</v>
          </cell>
          <cell r="X136">
            <v>18846</v>
          </cell>
          <cell r="Y136">
            <v>15899</v>
          </cell>
          <cell r="Z136">
            <v>150</v>
          </cell>
          <cell r="AA136">
            <v>13677</v>
          </cell>
          <cell r="AB136">
            <v>1919</v>
          </cell>
          <cell r="AC136">
            <v>153</v>
          </cell>
          <cell r="AD136">
            <v>2947</v>
          </cell>
          <cell r="AE136">
            <v>2938</v>
          </cell>
          <cell r="AF136">
            <v>9</v>
          </cell>
          <cell r="AG136">
            <v>102011</v>
          </cell>
          <cell r="AH136">
            <v>22397</v>
          </cell>
          <cell r="AI136">
            <v>22316</v>
          </cell>
          <cell r="AJ136">
            <v>81</v>
          </cell>
          <cell r="AK136">
            <v>61303</v>
          </cell>
          <cell r="AL136">
            <v>58150</v>
          </cell>
          <cell r="AM136">
            <v>3153</v>
          </cell>
          <cell r="AN136">
            <v>925</v>
          </cell>
          <cell r="AO136">
            <v>405</v>
          </cell>
          <cell r="AP136">
            <v>520</v>
          </cell>
          <cell r="AQ136">
            <v>2731</v>
          </cell>
          <cell r="AR136">
            <v>1322</v>
          </cell>
          <cell r="AS136">
            <v>72</v>
          </cell>
          <cell r="AT136">
            <v>1337</v>
          </cell>
          <cell r="AU136">
            <v>0</v>
          </cell>
          <cell r="AV136">
            <v>14655</v>
          </cell>
          <cell r="AW136">
            <v>7613</v>
          </cell>
          <cell r="AX136">
            <v>6460</v>
          </cell>
          <cell r="AY136">
            <v>437</v>
          </cell>
          <cell r="AZ136">
            <v>145</v>
          </cell>
          <cell r="BA136">
            <v>0</v>
          </cell>
          <cell r="BB136">
            <v>19751</v>
          </cell>
          <cell r="BC136">
            <v>7274</v>
          </cell>
          <cell r="BD136">
            <v>6017</v>
          </cell>
          <cell r="BE136">
            <v>1247</v>
          </cell>
          <cell r="BF136">
            <v>10</v>
          </cell>
          <cell r="BG136">
            <v>1863</v>
          </cell>
          <cell r="BH136">
            <v>3552</v>
          </cell>
          <cell r="BI136">
            <v>2858</v>
          </cell>
          <cell r="BJ136">
            <v>531</v>
          </cell>
          <cell r="BK136">
            <v>163</v>
          </cell>
          <cell r="BL136">
            <v>2074</v>
          </cell>
          <cell r="BM136">
            <v>2203</v>
          </cell>
          <cell r="BN136">
            <v>264</v>
          </cell>
          <cell r="BO136">
            <v>1939</v>
          </cell>
          <cell r="BP136">
            <v>2785</v>
          </cell>
          <cell r="BQ136">
            <v>1919</v>
          </cell>
          <cell r="BR136">
            <v>866</v>
          </cell>
          <cell r="BS136">
            <v>7946</v>
          </cell>
          <cell r="BT136">
            <v>3343</v>
          </cell>
          <cell r="BU136">
            <v>2165</v>
          </cell>
          <cell r="BV136">
            <v>189</v>
          </cell>
          <cell r="BW136">
            <v>989</v>
          </cell>
          <cell r="BX136">
            <v>2200</v>
          </cell>
          <cell r="BY136">
            <v>995</v>
          </cell>
          <cell r="BZ136">
            <v>864</v>
          </cell>
          <cell r="CA136">
            <v>341</v>
          </cell>
          <cell r="CB136">
            <v>2403</v>
          </cell>
          <cell r="CC136">
            <v>52810</v>
          </cell>
          <cell r="CD136">
            <v>15467</v>
          </cell>
          <cell r="CE136">
            <v>14619</v>
          </cell>
          <cell r="CF136">
            <v>320</v>
          </cell>
          <cell r="CG136">
            <v>528</v>
          </cell>
          <cell r="CH136">
            <v>20880</v>
          </cell>
          <cell r="CI136">
            <v>1314</v>
          </cell>
          <cell r="CJ136">
            <v>11386</v>
          </cell>
          <cell r="CK136">
            <v>4574</v>
          </cell>
          <cell r="CL136">
            <v>3606</v>
          </cell>
          <cell r="CM136">
            <v>16463</v>
          </cell>
          <cell r="CN136">
            <v>2989</v>
          </cell>
          <cell r="CO136">
            <v>1784</v>
          </cell>
          <cell r="CP136">
            <v>7800</v>
          </cell>
          <cell r="CQ136">
            <v>2596</v>
          </cell>
          <cell r="CR136">
            <v>1294</v>
          </cell>
          <cell r="CS136">
            <v>7160</v>
          </cell>
          <cell r="CT136">
            <v>246</v>
          </cell>
          <cell r="CU136">
            <v>1225</v>
          </cell>
          <cell r="CV136">
            <v>5689</v>
          </cell>
          <cell r="CW136">
            <v>38073</v>
          </cell>
          <cell r="CX136">
            <v>5133</v>
          </cell>
          <cell r="CY136">
            <v>1124</v>
          </cell>
          <cell r="CZ136">
            <v>301</v>
          </cell>
          <cell r="DA136">
            <v>2047</v>
          </cell>
          <cell r="DB136">
            <v>1628</v>
          </cell>
          <cell r="DC136">
            <v>33</v>
          </cell>
          <cell r="DD136">
            <v>2614</v>
          </cell>
          <cell r="DE136">
            <v>1654</v>
          </cell>
          <cell r="DF136">
            <v>153</v>
          </cell>
          <cell r="DG136">
            <v>807</v>
          </cell>
          <cell r="DH136">
            <v>12293</v>
          </cell>
          <cell r="DI136">
            <v>3180</v>
          </cell>
          <cell r="DJ136">
            <v>2950</v>
          </cell>
          <cell r="DK136">
            <v>1822</v>
          </cell>
          <cell r="DL136">
            <v>2750</v>
          </cell>
          <cell r="DM136">
            <v>1591</v>
          </cell>
          <cell r="DN136">
            <v>14569</v>
          </cell>
          <cell r="DO136">
            <v>3957</v>
          </cell>
          <cell r="DP136">
            <v>7726</v>
          </cell>
          <cell r="DQ136">
            <v>2886</v>
          </cell>
          <cell r="DR136">
            <v>3464</v>
          </cell>
          <cell r="DS136">
            <v>939</v>
          </cell>
          <cell r="DT136">
            <v>865</v>
          </cell>
          <cell r="DU136">
            <v>766</v>
          </cell>
          <cell r="DV136">
            <v>894</v>
          </cell>
          <cell r="DW136">
            <v>0</v>
          </cell>
          <cell r="DX136">
            <v>9226</v>
          </cell>
          <cell r="DY136">
            <v>42409</v>
          </cell>
          <cell r="DZ136">
            <v>32934</v>
          </cell>
          <cell r="EA136">
            <v>31983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951</v>
          </cell>
          <cell r="EG136">
            <v>9475</v>
          </cell>
          <cell r="EH136">
            <v>52381</v>
          </cell>
          <cell r="EI136">
            <v>8941</v>
          </cell>
          <cell r="EJ136">
            <v>2016</v>
          </cell>
          <cell r="EK136">
            <v>297</v>
          </cell>
          <cell r="EL136">
            <v>6628</v>
          </cell>
          <cell r="EM136">
            <v>1562</v>
          </cell>
          <cell r="EN136">
            <v>4226</v>
          </cell>
          <cell r="EO136">
            <v>2844</v>
          </cell>
          <cell r="EP136">
            <v>1382</v>
          </cell>
          <cell r="EQ136">
            <v>4771</v>
          </cell>
          <cell r="ER136">
            <v>5207</v>
          </cell>
          <cell r="ES136">
            <v>2570</v>
          </cell>
          <cell r="ET136">
            <v>521</v>
          </cell>
          <cell r="EU136">
            <v>692</v>
          </cell>
          <cell r="EV136">
            <v>780</v>
          </cell>
          <cell r="EW136">
            <v>644</v>
          </cell>
          <cell r="EX136">
            <v>22378</v>
          </cell>
          <cell r="EY136">
            <v>13673</v>
          </cell>
          <cell r="EZ136">
            <v>8705</v>
          </cell>
          <cell r="FA136">
            <v>5296</v>
          </cell>
          <cell r="FB136">
            <v>400923</v>
          </cell>
          <cell r="FC136">
            <v>0</v>
          </cell>
          <cell r="FD136">
            <v>36190</v>
          </cell>
          <cell r="FE136">
            <v>10386</v>
          </cell>
          <cell r="FF136">
            <v>989</v>
          </cell>
          <cell r="FG136">
            <v>15467</v>
          </cell>
          <cell r="FH136">
            <v>1225</v>
          </cell>
          <cell r="FI136">
            <v>5279</v>
          </cell>
          <cell r="FJ136">
            <v>2844</v>
          </cell>
          <cell r="FK136">
            <v>164819</v>
          </cell>
          <cell r="FL136">
            <v>34136</v>
          </cell>
          <cell r="FM136">
            <v>11946</v>
          </cell>
          <cell r="FN136">
            <v>18684</v>
          </cell>
          <cell r="FO136">
            <v>16382</v>
          </cell>
          <cell r="FP136">
            <v>18712</v>
          </cell>
          <cell r="FQ136">
            <v>3343</v>
          </cell>
          <cell r="FR136">
            <v>28167</v>
          </cell>
          <cell r="FS136">
            <v>1225</v>
          </cell>
          <cell r="FT136">
            <v>21073</v>
          </cell>
          <cell r="FU136">
            <v>11151</v>
          </cell>
          <cell r="FV136">
            <v>91848</v>
          </cell>
          <cell r="FW136">
            <v>34136</v>
          </cell>
          <cell r="FX136">
            <v>11946</v>
          </cell>
          <cell r="FY136">
            <v>16382</v>
          </cell>
          <cell r="FZ136">
            <v>1919</v>
          </cell>
          <cell r="GA136">
            <v>2354</v>
          </cell>
          <cell r="GB136">
            <v>11386</v>
          </cell>
          <cell r="GC136">
            <v>7097</v>
          </cell>
          <cell r="GD136">
            <v>6628</v>
          </cell>
          <cell r="GE136">
            <v>4228</v>
          </cell>
          <cell r="GF136">
            <v>-14783</v>
          </cell>
          <cell r="GG136">
            <v>19011</v>
          </cell>
          <cell r="GH136">
            <v>231876</v>
          </cell>
          <cell r="GI136">
            <v>162</v>
          </cell>
          <cell r="GJ136">
            <v>85629</v>
          </cell>
          <cell r="GK136">
            <v>1039</v>
          </cell>
          <cell r="GL136">
            <v>4603</v>
          </cell>
          <cell r="GM136">
            <v>24643</v>
          </cell>
          <cell r="GN136">
            <v>5935</v>
          </cell>
          <cell r="GO136">
            <v>17000</v>
          </cell>
          <cell r="GP136">
            <v>9226</v>
          </cell>
          <cell r="GQ136">
            <v>42409</v>
          </cell>
          <cell r="GR136">
            <v>41230</v>
          </cell>
          <cell r="GS136">
            <v>36781</v>
          </cell>
          <cell r="GT136">
            <v>18684</v>
          </cell>
          <cell r="GU136">
            <v>6407</v>
          </cell>
          <cell r="GV136">
            <v>1314</v>
          </cell>
          <cell r="GW136">
            <v>8697</v>
          </cell>
          <cell r="GX136">
            <v>1679</v>
          </cell>
        </row>
        <row r="137">
          <cell r="A137" t="str">
            <v>2023 Q1</v>
          </cell>
          <cell r="B137">
            <v>402669</v>
          </cell>
          <cell r="C137">
            <v>35122</v>
          </cell>
          <cell r="D137">
            <v>31493</v>
          </cell>
          <cell r="E137">
            <v>6172</v>
          </cell>
          <cell r="F137">
            <v>6068</v>
          </cell>
          <cell r="G137">
            <v>1268</v>
          </cell>
          <cell r="H137">
            <v>4435</v>
          </cell>
          <cell r="I137">
            <v>987</v>
          </cell>
          <cell r="J137">
            <v>3000</v>
          </cell>
          <cell r="K137">
            <v>4673</v>
          </cell>
          <cell r="L137">
            <v>3453</v>
          </cell>
          <cell r="M137">
            <v>1437</v>
          </cell>
          <cell r="N137">
            <v>3629</v>
          </cell>
          <cell r="O137">
            <v>786</v>
          </cell>
          <cell r="P137">
            <v>2843</v>
          </cell>
          <cell r="Q137">
            <v>11961</v>
          </cell>
          <cell r="R137">
            <v>6176</v>
          </cell>
          <cell r="S137">
            <v>1737</v>
          </cell>
          <cell r="T137">
            <v>2875</v>
          </cell>
          <cell r="U137">
            <v>1564</v>
          </cell>
          <cell r="V137">
            <v>5093</v>
          </cell>
          <cell r="W137">
            <v>692</v>
          </cell>
          <cell r="X137">
            <v>19412</v>
          </cell>
          <cell r="Y137">
            <v>16280</v>
          </cell>
          <cell r="Z137">
            <v>137</v>
          </cell>
          <cell r="AA137">
            <v>14014</v>
          </cell>
          <cell r="AB137">
            <v>1893</v>
          </cell>
          <cell r="AC137">
            <v>236</v>
          </cell>
          <cell r="AD137">
            <v>3132</v>
          </cell>
          <cell r="AE137">
            <v>3122</v>
          </cell>
          <cell r="AF137">
            <v>10</v>
          </cell>
          <cell r="AG137">
            <v>103578</v>
          </cell>
          <cell r="AH137">
            <v>22768</v>
          </cell>
          <cell r="AI137">
            <v>22684</v>
          </cell>
          <cell r="AJ137">
            <v>84</v>
          </cell>
          <cell r="AK137">
            <v>62102</v>
          </cell>
          <cell r="AL137">
            <v>58898</v>
          </cell>
          <cell r="AM137">
            <v>3204</v>
          </cell>
          <cell r="AN137">
            <v>955</v>
          </cell>
          <cell r="AO137">
            <v>414</v>
          </cell>
          <cell r="AP137">
            <v>541</v>
          </cell>
          <cell r="AQ137">
            <v>2791</v>
          </cell>
          <cell r="AR137">
            <v>1347</v>
          </cell>
          <cell r="AS137">
            <v>72</v>
          </cell>
          <cell r="AT137">
            <v>1372</v>
          </cell>
          <cell r="AU137">
            <v>0</v>
          </cell>
          <cell r="AV137">
            <v>14962</v>
          </cell>
          <cell r="AW137">
            <v>7858</v>
          </cell>
          <cell r="AX137">
            <v>6547</v>
          </cell>
          <cell r="AY137">
            <v>409</v>
          </cell>
          <cell r="AZ137">
            <v>148</v>
          </cell>
          <cell r="BA137">
            <v>0</v>
          </cell>
          <cell r="BB137">
            <v>19727</v>
          </cell>
          <cell r="BC137">
            <v>7251</v>
          </cell>
          <cell r="BD137">
            <v>6007</v>
          </cell>
          <cell r="BE137">
            <v>1239</v>
          </cell>
          <cell r="BF137">
            <v>5</v>
          </cell>
          <cell r="BG137">
            <v>1879</v>
          </cell>
          <cell r="BH137">
            <v>3476</v>
          </cell>
          <cell r="BI137">
            <v>2989</v>
          </cell>
          <cell r="BJ137">
            <v>264</v>
          </cell>
          <cell r="BK137">
            <v>223</v>
          </cell>
          <cell r="BL137">
            <v>2131</v>
          </cell>
          <cell r="BM137">
            <v>2081</v>
          </cell>
          <cell r="BN137">
            <v>355</v>
          </cell>
          <cell r="BO137">
            <v>1726</v>
          </cell>
          <cell r="BP137">
            <v>2909</v>
          </cell>
          <cell r="BQ137">
            <v>1899</v>
          </cell>
          <cell r="BR137">
            <v>1010</v>
          </cell>
          <cell r="BS137">
            <v>8227</v>
          </cell>
          <cell r="BT137">
            <v>3235</v>
          </cell>
          <cell r="BU137">
            <v>2246</v>
          </cell>
          <cell r="BV137">
            <v>124</v>
          </cell>
          <cell r="BW137">
            <v>865</v>
          </cell>
          <cell r="BX137">
            <v>2441</v>
          </cell>
          <cell r="BY137">
            <v>1117</v>
          </cell>
          <cell r="BZ137">
            <v>994</v>
          </cell>
          <cell r="CA137">
            <v>330</v>
          </cell>
          <cell r="CB137">
            <v>2551</v>
          </cell>
          <cell r="CC137">
            <v>52053</v>
          </cell>
          <cell r="CD137">
            <v>15440</v>
          </cell>
          <cell r="CE137">
            <v>14601</v>
          </cell>
          <cell r="CF137">
            <v>322</v>
          </cell>
          <cell r="CG137">
            <v>517</v>
          </cell>
          <cell r="CH137">
            <v>20246</v>
          </cell>
          <cell r="CI137">
            <v>1401</v>
          </cell>
          <cell r="CJ137">
            <v>10875</v>
          </cell>
          <cell r="CK137">
            <v>4602</v>
          </cell>
          <cell r="CL137">
            <v>3368</v>
          </cell>
          <cell r="CM137">
            <v>16367</v>
          </cell>
          <cell r="CN137">
            <v>2788</v>
          </cell>
          <cell r="CO137">
            <v>1757</v>
          </cell>
          <cell r="CP137">
            <v>8198</v>
          </cell>
          <cell r="CQ137">
            <v>2522</v>
          </cell>
          <cell r="CR137">
            <v>1102</v>
          </cell>
          <cell r="CS137">
            <v>7348</v>
          </cell>
          <cell r="CT137">
            <v>272</v>
          </cell>
          <cell r="CU137">
            <v>1229</v>
          </cell>
          <cell r="CV137">
            <v>5847</v>
          </cell>
          <cell r="CW137">
            <v>37952</v>
          </cell>
          <cell r="CX137">
            <v>5153</v>
          </cell>
          <cell r="CY137">
            <v>1166</v>
          </cell>
          <cell r="CZ137">
            <v>313</v>
          </cell>
          <cell r="DA137">
            <v>2027</v>
          </cell>
          <cell r="DB137">
            <v>1618</v>
          </cell>
          <cell r="DC137">
            <v>29</v>
          </cell>
          <cell r="DD137">
            <v>2623</v>
          </cell>
          <cell r="DE137">
            <v>1657</v>
          </cell>
          <cell r="DF137">
            <v>152</v>
          </cell>
          <cell r="DG137">
            <v>814</v>
          </cell>
          <cell r="DH137">
            <v>12335</v>
          </cell>
          <cell r="DI137">
            <v>3198</v>
          </cell>
          <cell r="DJ137">
            <v>2996</v>
          </cell>
          <cell r="DK137">
            <v>1818</v>
          </cell>
          <cell r="DL137">
            <v>2781</v>
          </cell>
          <cell r="DM137">
            <v>1542</v>
          </cell>
          <cell r="DN137">
            <v>14355</v>
          </cell>
          <cell r="DO137">
            <v>3976</v>
          </cell>
          <cell r="DP137">
            <v>7765</v>
          </cell>
          <cell r="DQ137">
            <v>2614</v>
          </cell>
          <cell r="DR137">
            <v>3486</v>
          </cell>
          <cell r="DS137">
            <v>979</v>
          </cell>
          <cell r="DT137">
            <v>823</v>
          </cell>
          <cell r="DU137">
            <v>811</v>
          </cell>
          <cell r="DV137">
            <v>873</v>
          </cell>
          <cell r="DW137">
            <v>0</v>
          </cell>
          <cell r="DX137">
            <v>9299</v>
          </cell>
          <cell r="DY137">
            <v>43328</v>
          </cell>
          <cell r="DZ137">
            <v>33960</v>
          </cell>
          <cell r="EA137">
            <v>32917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1043</v>
          </cell>
          <cell r="EG137">
            <v>9368</v>
          </cell>
          <cell r="EH137">
            <v>54662</v>
          </cell>
          <cell r="EI137">
            <v>9462</v>
          </cell>
          <cell r="EJ137">
            <v>2048</v>
          </cell>
          <cell r="EK137">
            <v>298</v>
          </cell>
          <cell r="EL137">
            <v>7116</v>
          </cell>
          <cell r="EM137">
            <v>1559</v>
          </cell>
          <cell r="EN137">
            <v>4026</v>
          </cell>
          <cell r="EO137">
            <v>2859</v>
          </cell>
          <cell r="EP137">
            <v>1167</v>
          </cell>
          <cell r="EQ137">
            <v>4929</v>
          </cell>
          <cell r="ER137">
            <v>4624</v>
          </cell>
          <cell r="ES137">
            <v>2395</v>
          </cell>
          <cell r="ET137">
            <v>560</v>
          </cell>
          <cell r="EU137">
            <v>655</v>
          </cell>
          <cell r="EV137">
            <v>697</v>
          </cell>
          <cell r="EW137">
            <v>317</v>
          </cell>
          <cell r="EX137">
            <v>24487</v>
          </cell>
          <cell r="EY137">
            <v>15618</v>
          </cell>
          <cell r="EZ137">
            <v>8869</v>
          </cell>
          <cell r="FA137">
            <v>5575</v>
          </cell>
          <cell r="FB137">
            <v>407875</v>
          </cell>
          <cell r="FC137">
            <v>0</v>
          </cell>
          <cell r="FD137">
            <v>36298</v>
          </cell>
          <cell r="FE137">
            <v>10590</v>
          </cell>
          <cell r="FF137">
            <v>865</v>
          </cell>
          <cell r="FG137">
            <v>15440</v>
          </cell>
          <cell r="FH137">
            <v>1229</v>
          </cell>
          <cell r="FI137">
            <v>5315</v>
          </cell>
          <cell r="FJ137">
            <v>2859</v>
          </cell>
          <cell r="FK137">
            <v>166293</v>
          </cell>
          <cell r="FL137">
            <v>35122</v>
          </cell>
          <cell r="FM137">
            <v>11961</v>
          </cell>
          <cell r="FN137">
            <v>19166</v>
          </cell>
          <cell r="FO137">
            <v>16723</v>
          </cell>
          <cell r="FP137">
            <v>18489</v>
          </cell>
          <cell r="FQ137">
            <v>3235</v>
          </cell>
          <cell r="FR137">
            <v>27716</v>
          </cell>
          <cell r="FS137">
            <v>1229</v>
          </cell>
          <cell r="FT137">
            <v>21212</v>
          </cell>
          <cell r="FU137">
            <v>11440</v>
          </cell>
          <cell r="FV137">
            <v>93172</v>
          </cell>
          <cell r="FW137">
            <v>35122</v>
          </cell>
          <cell r="FX137">
            <v>11961</v>
          </cell>
          <cell r="FY137">
            <v>16723</v>
          </cell>
          <cell r="FZ137">
            <v>1899</v>
          </cell>
          <cell r="GA137">
            <v>2370</v>
          </cell>
          <cell r="GB137">
            <v>10875</v>
          </cell>
          <cell r="GC137">
            <v>7106</v>
          </cell>
          <cell r="GD137">
            <v>7116</v>
          </cell>
          <cell r="GE137">
            <v>5206</v>
          </cell>
          <cell r="GF137">
            <v>-13855</v>
          </cell>
          <cell r="GG137">
            <v>19061</v>
          </cell>
          <cell r="GH137">
            <v>236376</v>
          </cell>
          <cell r="GI137">
            <v>246</v>
          </cell>
          <cell r="GJ137">
            <v>86855</v>
          </cell>
          <cell r="GK137">
            <v>1238</v>
          </cell>
          <cell r="GL137">
            <v>4992</v>
          </cell>
          <cell r="GM137">
            <v>24337</v>
          </cell>
          <cell r="GN137">
            <v>6119</v>
          </cell>
          <cell r="GO137">
            <v>16740</v>
          </cell>
          <cell r="GP137">
            <v>9299</v>
          </cell>
          <cell r="GQ137">
            <v>43328</v>
          </cell>
          <cell r="GR137">
            <v>43222</v>
          </cell>
          <cell r="GS137">
            <v>36823</v>
          </cell>
          <cell r="GT137">
            <v>19166</v>
          </cell>
          <cell r="GU137">
            <v>6000</v>
          </cell>
          <cell r="GV137">
            <v>1401</v>
          </cell>
          <cell r="GW137">
            <v>8791</v>
          </cell>
          <cell r="GX137">
            <v>1465</v>
          </cell>
        </row>
        <row r="138">
          <cell r="A138" t="str">
            <v>2023 Q2</v>
          </cell>
          <cell r="B138">
            <v>407055</v>
          </cell>
          <cell r="C138">
            <v>36097</v>
          </cell>
          <cell r="D138">
            <v>32349</v>
          </cell>
          <cell r="E138">
            <v>6435</v>
          </cell>
          <cell r="F138">
            <v>6278</v>
          </cell>
          <cell r="G138">
            <v>1273</v>
          </cell>
          <cell r="H138">
            <v>4349</v>
          </cell>
          <cell r="I138">
            <v>994</v>
          </cell>
          <cell r="J138">
            <v>3110</v>
          </cell>
          <cell r="K138">
            <v>4842</v>
          </cell>
          <cell r="L138">
            <v>3545</v>
          </cell>
          <cell r="M138">
            <v>1523</v>
          </cell>
          <cell r="N138">
            <v>3748</v>
          </cell>
          <cell r="O138">
            <v>799</v>
          </cell>
          <cell r="P138">
            <v>2949</v>
          </cell>
          <cell r="Q138">
            <v>12340</v>
          </cell>
          <cell r="R138">
            <v>6393</v>
          </cell>
          <cell r="S138">
            <v>1746</v>
          </cell>
          <cell r="T138">
            <v>3018</v>
          </cell>
          <cell r="U138">
            <v>1629</v>
          </cell>
          <cell r="V138">
            <v>5267</v>
          </cell>
          <cell r="W138">
            <v>680</v>
          </cell>
          <cell r="X138">
            <v>19947</v>
          </cell>
          <cell r="Y138">
            <v>16742</v>
          </cell>
          <cell r="Z138">
            <v>140</v>
          </cell>
          <cell r="AA138">
            <v>14349</v>
          </cell>
          <cell r="AB138">
            <v>1988</v>
          </cell>
          <cell r="AC138">
            <v>265</v>
          </cell>
          <cell r="AD138">
            <v>3205</v>
          </cell>
          <cell r="AE138">
            <v>3196</v>
          </cell>
          <cell r="AF138">
            <v>9</v>
          </cell>
          <cell r="AG138">
            <v>104952</v>
          </cell>
          <cell r="AH138">
            <v>23408</v>
          </cell>
          <cell r="AI138">
            <v>23320</v>
          </cell>
          <cell r="AJ138">
            <v>88</v>
          </cell>
          <cell r="AK138">
            <v>63036</v>
          </cell>
          <cell r="AL138">
            <v>59758</v>
          </cell>
          <cell r="AM138">
            <v>3278</v>
          </cell>
          <cell r="AN138">
            <v>981</v>
          </cell>
          <cell r="AO138">
            <v>411</v>
          </cell>
          <cell r="AP138">
            <v>570</v>
          </cell>
          <cell r="AQ138">
            <v>2931</v>
          </cell>
          <cell r="AR138">
            <v>1441</v>
          </cell>
          <cell r="AS138">
            <v>52</v>
          </cell>
          <cell r="AT138">
            <v>1438</v>
          </cell>
          <cell r="AU138">
            <v>0</v>
          </cell>
          <cell r="AV138">
            <v>14596</v>
          </cell>
          <cell r="AW138">
            <v>7755</v>
          </cell>
          <cell r="AX138">
            <v>6391</v>
          </cell>
          <cell r="AY138">
            <v>307</v>
          </cell>
          <cell r="AZ138">
            <v>143</v>
          </cell>
          <cell r="BA138">
            <v>0</v>
          </cell>
          <cell r="BB138">
            <v>20063</v>
          </cell>
          <cell r="BC138">
            <v>7262</v>
          </cell>
          <cell r="BD138">
            <v>6050</v>
          </cell>
          <cell r="BE138">
            <v>1197</v>
          </cell>
          <cell r="BF138">
            <v>15</v>
          </cell>
          <cell r="BG138">
            <v>1894</v>
          </cell>
          <cell r="BH138">
            <v>3531</v>
          </cell>
          <cell r="BI138">
            <v>2948</v>
          </cell>
          <cell r="BJ138">
            <v>360</v>
          </cell>
          <cell r="BK138">
            <v>223</v>
          </cell>
          <cell r="BL138">
            <v>2184</v>
          </cell>
          <cell r="BM138">
            <v>2258</v>
          </cell>
          <cell r="BN138">
            <v>274</v>
          </cell>
          <cell r="BO138">
            <v>1984</v>
          </cell>
          <cell r="BP138">
            <v>2934</v>
          </cell>
          <cell r="BQ138">
            <v>1923</v>
          </cell>
          <cell r="BR138">
            <v>1011</v>
          </cell>
          <cell r="BS138">
            <v>8497</v>
          </cell>
          <cell r="BT138">
            <v>3250</v>
          </cell>
          <cell r="BU138">
            <v>2255</v>
          </cell>
          <cell r="BV138">
            <v>96</v>
          </cell>
          <cell r="BW138">
            <v>899</v>
          </cell>
          <cell r="BX138">
            <v>2569</v>
          </cell>
          <cell r="BY138">
            <v>1127</v>
          </cell>
          <cell r="BZ138">
            <v>1096</v>
          </cell>
          <cell r="CA138">
            <v>346</v>
          </cell>
          <cell r="CB138">
            <v>2678</v>
          </cell>
          <cell r="CC138">
            <v>52391</v>
          </cell>
          <cell r="CD138">
            <v>15605</v>
          </cell>
          <cell r="CE138">
            <v>14750</v>
          </cell>
          <cell r="CF138">
            <v>338</v>
          </cell>
          <cell r="CG138">
            <v>517</v>
          </cell>
          <cell r="CH138">
            <v>19562</v>
          </cell>
          <cell r="CI138">
            <v>1386</v>
          </cell>
          <cell r="CJ138">
            <v>9936</v>
          </cell>
          <cell r="CK138">
            <v>4590</v>
          </cell>
          <cell r="CL138">
            <v>3650</v>
          </cell>
          <cell r="CM138">
            <v>17224</v>
          </cell>
          <cell r="CN138">
            <v>3114</v>
          </cell>
          <cell r="CO138">
            <v>1733</v>
          </cell>
          <cell r="CP138">
            <v>8452</v>
          </cell>
          <cell r="CQ138">
            <v>2843</v>
          </cell>
          <cell r="CR138">
            <v>1082</v>
          </cell>
          <cell r="CS138">
            <v>7586</v>
          </cell>
          <cell r="CT138">
            <v>294</v>
          </cell>
          <cell r="CU138">
            <v>1209</v>
          </cell>
          <cell r="CV138">
            <v>6083</v>
          </cell>
          <cell r="CW138">
            <v>38020</v>
          </cell>
          <cell r="CX138">
            <v>5201</v>
          </cell>
          <cell r="CY138">
            <v>1189</v>
          </cell>
          <cell r="CZ138">
            <v>326</v>
          </cell>
          <cell r="DA138">
            <v>2046</v>
          </cell>
          <cell r="DB138">
            <v>1616</v>
          </cell>
          <cell r="DC138">
            <v>24</v>
          </cell>
          <cell r="DD138">
            <v>2626</v>
          </cell>
          <cell r="DE138">
            <v>1663</v>
          </cell>
          <cell r="DF138">
            <v>142</v>
          </cell>
          <cell r="DG138">
            <v>821</v>
          </cell>
          <cell r="DH138">
            <v>12475</v>
          </cell>
          <cell r="DI138">
            <v>3245</v>
          </cell>
          <cell r="DJ138">
            <v>3003</v>
          </cell>
          <cell r="DK138">
            <v>1818</v>
          </cell>
          <cell r="DL138">
            <v>2833</v>
          </cell>
          <cell r="DM138">
            <v>1576</v>
          </cell>
          <cell r="DN138">
            <v>14180</v>
          </cell>
          <cell r="DO138">
            <v>4082</v>
          </cell>
          <cell r="DP138">
            <v>7625</v>
          </cell>
          <cell r="DQ138">
            <v>2473</v>
          </cell>
          <cell r="DR138">
            <v>3538</v>
          </cell>
          <cell r="DS138">
            <v>976</v>
          </cell>
          <cell r="DT138">
            <v>863</v>
          </cell>
          <cell r="DU138">
            <v>806</v>
          </cell>
          <cell r="DV138">
            <v>893</v>
          </cell>
          <cell r="DW138">
            <v>0</v>
          </cell>
          <cell r="DX138">
            <v>9467</v>
          </cell>
          <cell r="DY138">
            <v>43480</v>
          </cell>
          <cell r="DZ138">
            <v>34493</v>
          </cell>
          <cell r="EA138">
            <v>33434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1059</v>
          </cell>
          <cell r="EG138">
            <v>8987</v>
          </cell>
          <cell r="EH138">
            <v>54215</v>
          </cell>
          <cell r="EI138">
            <v>9782</v>
          </cell>
          <cell r="EJ138">
            <v>2122</v>
          </cell>
          <cell r="EK138">
            <v>340</v>
          </cell>
          <cell r="EL138">
            <v>7320</v>
          </cell>
          <cell r="EM138">
            <v>1554</v>
          </cell>
          <cell r="EN138">
            <v>4029</v>
          </cell>
          <cell r="EO138">
            <v>2853</v>
          </cell>
          <cell r="EP138">
            <v>1176</v>
          </cell>
          <cell r="EQ138">
            <v>4858</v>
          </cell>
          <cell r="ER138">
            <v>5130</v>
          </cell>
          <cell r="ES138">
            <v>2333</v>
          </cell>
          <cell r="ET138">
            <v>533</v>
          </cell>
          <cell r="EU138">
            <v>806</v>
          </cell>
          <cell r="EV138">
            <v>773</v>
          </cell>
          <cell r="EW138">
            <v>685</v>
          </cell>
          <cell r="EX138">
            <v>23345</v>
          </cell>
          <cell r="EY138">
            <v>14377</v>
          </cell>
          <cell r="EZ138">
            <v>8968</v>
          </cell>
          <cell r="FA138">
            <v>5517</v>
          </cell>
          <cell r="FB138">
            <v>414115</v>
          </cell>
          <cell r="FC138">
            <v>0</v>
          </cell>
          <cell r="FD138">
            <v>36401</v>
          </cell>
          <cell r="FE138">
            <v>10469</v>
          </cell>
          <cell r="FF138">
            <v>899</v>
          </cell>
          <cell r="FG138">
            <v>15605</v>
          </cell>
          <cell r="FH138">
            <v>1209</v>
          </cell>
          <cell r="FI138">
            <v>5366</v>
          </cell>
          <cell r="FJ138">
            <v>2853</v>
          </cell>
          <cell r="FK138">
            <v>167866</v>
          </cell>
          <cell r="FL138">
            <v>36097</v>
          </cell>
          <cell r="FM138">
            <v>12340</v>
          </cell>
          <cell r="FN138">
            <v>19673</v>
          </cell>
          <cell r="FO138">
            <v>16448</v>
          </cell>
          <cell r="FP138">
            <v>18814</v>
          </cell>
          <cell r="FQ138">
            <v>3250</v>
          </cell>
          <cell r="FR138">
            <v>26927</v>
          </cell>
          <cell r="FS138">
            <v>1209</v>
          </cell>
          <cell r="FT138">
            <v>21419</v>
          </cell>
          <cell r="FU138">
            <v>11689</v>
          </cell>
          <cell r="FV138">
            <v>93628</v>
          </cell>
          <cell r="FW138">
            <v>36097</v>
          </cell>
          <cell r="FX138">
            <v>12340</v>
          </cell>
          <cell r="FY138">
            <v>16448</v>
          </cell>
          <cell r="FZ138">
            <v>1923</v>
          </cell>
          <cell r="GA138">
            <v>2351</v>
          </cell>
          <cell r="GB138">
            <v>9936</v>
          </cell>
          <cell r="GC138">
            <v>7213</v>
          </cell>
          <cell r="GD138">
            <v>7320</v>
          </cell>
          <cell r="GE138">
            <v>7060</v>
          </cell>
          <cell r="GF138">
            <v>-14064</v>
          </cell>
          <cell r="GG138">
            <v>21124</v>
          </cell>
          <cell r="GH138">
            <v>239189</v>
          </cell>
          <cell r="GI138">
            <v>274</v>
          </cell>
          <cell r="GJ138">
            <v>88504</v>
          </cell>
          <cell r="GK138">
            <v>1249</v>
          </cell>
          <cell r="GL138">
            <v>5247</v>
          </cell>
          <cell r="GM138">
            <v>25464</v>
          </cell>
          <cell r="GN138">
            <v>6377</v>
          </cell>
          <cell r="GO138">
            <v>16601</v>
          </cell>
          <cell r="GP138">
            <v>9467</v>
          </cell>
          <cell r="GQ138">
            <v>43480</v>
          </cell>
          <cell r="GR138">
            <v>42526</v>
          </cell>
          <cell r="GS138">
            <v>37837</v>
          </cell>
          <cell r="GT138">
            <v>19673</v>
          </cell>
          <cell r="GU138">
            <v>6422</v>
          </cell>
          <cell r="GV138">
            <v>1386</v>
          </cell>
          <cell r="GW138">
            <v>8840</v>
          </cell>
          <cell r="GX138">
            <v>1516</v>
          </cell>
        </row>
        <row r="139">
          <cell r="A139" t="str">
            <v>2023 Q3</v>
          </cell>
          <cell r="B139">
            <v>406135</v>
          </cell>
          <cell r="C139">
            <v>35578</v>
          </cell>
          <cell r="D139">
            <v>31883</v>
          </cell>
          <cell r="E139">
            <v>6324</v>
          </cell>
          <cell r="F139">
            <v>6056</v>
          </cell>
          <cell r="G139">
            <v>1282</v>
          </cell>
          <cell r="H139">
            <v>4310</v>
          </cell>
          <cell r="I139">
            <v>1010</v>
          </cell>
          <cell r="J139">
            <v>3014</v>
          </cell>
          <cell r="K139">
            <v>4814</v>
          </cell>
          <cell r="L139">
            <v>3559</v>
          </cell>
          <cell r="M139">
            <v>1514</v>
          </cell>
          <cell r="N139">
            <v>3695</v>
          </cell>
          <cell r="O139">
            <v>793</v>
          </cell>
          <cell r="P139">
            <v>2902</v>
          </cell>
          <cell r="Q139">
            <v>12260</v>
          </cell>
          <cell r="R139">
            <v>6239</v>
          </cell>
          <cell r="S139">
            <v>1738</v>
          </cell>
          <cell r="T139">
            <v>2942</v>
          </cell>
          <cell r="U139">
            <v>1559</v>
          </cell>
          <cell r="V139">
            <v>5350</v>
          </cell>
          <cell r="W139">
            <v>671</v>
          </cell>
          <cell r="X139">
            <v>19885</v>
          </cell>
          <cell r="Y139">
            <v>16639</v>
          </cell>
          <cell r="Z139">
            <v>152</v>
          </cell>
          <cell r="AA139">
            <v>14253</v>
          </cell>
          <cell r="AB139">
            <v>1969</v>
          </cell>
          <cell r="AC139">
            <v>265</v>
          </cell>
          <cell r="AD139">
            <v>3246</v>
          </cell>
          <cell r="AE139">
            <v>3238</v>
          </cell>
          <cell r="AF139">
            <v>8</v>
          </cell>
          <cell r="AG139">
            <v>105446</v>
          </cell>
          <cell r="AH139">
            <v>23813</v>
          </cell>
          <cell r="AI139">
            <v>23722</v>
          </cell>
          <cell r="AJ139">
            <v>91</v>
          </cell>
          <cell r="AK139">
            <v>64267</v>
          </cell>
          <cell r="AL139">
            <v>60909</v>
          </cell>
          <cell r="AM139">
            <v>3358</v>
          </cell>
          <cell r="AN139">
            <v>1010</v>
          </cell>
          <cell r="AO139">
            <v>405</v>
          </cell>
          <cell r="AP139">
            <v>605</v>
          </cell>
          <cell r="AQ139">
            <v>3007</v>
          </cell>
          <cell r="AR139">
            <v>1466</v>
          </cell>
          <cell r="AS139">
            <v>81</v>
          </cell>
          <cell r="AT139">
            <v>1460</v>
          </cell>
          <cell r="AU139">
            <v>0</v>
          </cell>
          <cell r="AV139">
            <v>13349</v>
          </cell>
          <cell r="AW139">
            <v>7558</v>
          </cell>
          <cell r="AX139">
            <v>5367</v>
          </cell>
          <cell r="AY139">
            <v>295</v>
          </cell>
          <cell r="AZ139">
            <v>129</v>
          </cell>
          <cell r="BA139">
            <v>0</v>
          </cell>
          <cell r="BB139">
            <v>19964</v>
          </cell>
          <cell r="BC139">
            <v>7181</v>
          </cell>
          <cell r="BD139">
            <v>5967</v>
          </cell>
          <cell r="BE139">
            <v>1195</v>
          </cell>
          <cell r="BF139">
            <v>19</v>
          </cell>
          <cell r="BG139">
            <v>1864</v>
          </cell>
          <cell r="BH139">
            <v>3430</v>
          </cell>
          <cell r="BI139">
            <v>2681</v>
          </cell>
          <cell r="BJ139">
            <v>549</v>
          </cell>
          <cell r="BK139">
            <v>200</v>
          </cell>
          <cell r="BL139">
            <v>2178</v>
          </cell>
          <cell r="BM139">
            <v>2318</v>
          </cell>
          <cell r="BN139">
            <v>227</v>
          </cell>
          <cell r="BO139">
            <v>2091</v>
          </cell>
          <cell r="BP139">
            <v>2993</v>
          </cell>
          <cell r="BQ139">
            <v>1950</v>
          </cell>
          <cell r="BR139">
            <v>1043</v>
          </cell>
          <cell r="BS139">
            <v>8730</v>
          </cell>
          <cell r="BT139">
            <v>3377</v>
          </cell>
          <cell r="BU139">
            <v>2237</v>
          </cell>
          <cell r="BV139">
            <v>166</v>
          </cell>
          <cell r="BW139">
            <v>974</v>
          </cell>
          <cell r="BX139">
            <v>2609</v>
          </cell>
          <cell r="BY139">
            <v>1109</v>
          </cell>
          <cell r="BZ139">
            <v>1196</v>
          </cell>
          <cell r="CA139">
            <v>304</v>
          </cell>
          <cell r="CB139">
            <v>2744</v>
          </cell>
          <cell r="CC139">
            <v>51974</v>
          </cell>
          <cell r="CD139">
            <v>15415</v>
          </cell>
          <cell r="CE139">
            <v>14569</v>
          </cell>
          <cell r="CF139">
            <v>330</v>
          </cell>
          <cell r="CG139">
            <v>516</v>
          </cell>
          <cell r="CH139">
            <v>19176</v>
          </cell>
          <cell r="CI139">
            <v>1372</v>
          </cell>
          <cell r="CJ139">
            <v>9646</v>
          </cell>
          <cell r="CK139">
            <v>4568</v>
          </cell>
          <cell r="CL139">
            <v>3590</v>
          </cell>
          <cell r="CM139">
            <v>17383</v>
          </cell>
          <cell r="CN139">
            <v>3160</v>
          </cell>
          <cell r="CO139">
            <v>1841</v>
          </cell>
          <cell r="CP139">
            <v>8418</v>
          </cell>
          <cell r="CQ139">
            <v>2817</v>
          </cell>
          <cell r="CR139">
            <v>1147</v>
          </cell>
          <cell r="CS139">
            <v>7603</v>
          </cell>
          <cell r="CT139">
            <v>291</v>
          </cell>
          <cell r="CU139">
            <v>1213</v>
          </cell>
          <cell r="CV139">
            <v>6099</v>
          </cell>
          <cell r="CW139">
            <v>38115</v>
          </cell>
          <cell r="CX139">
            <v>5236</v>
          </cell>
          <cell r="CY139">
            <v>1162</v>
          </cell>
          <cell r="CZ139">
            <v>322</v>
          </cell>
          <cell r="DA139">
            <v>2049</v>
          </cell>
          <cell r="DB139">
            <v>1666</v>
          </cell>
          <cell r="DC139">
            <v>37</v>
          </cell>
          <cell r="DD139">
            <v>2637</v>
          </cell>
          <cell r="DE139">
            <v>1663</v>
          </cell>
          <cell r="DF139">
            <v>146</v>
          </cell>
          <cell r="DG139">
            <v>828</v>
          </cell>
          <cell r="DH139">
            <v>12369</v>
          </cell>
          <cell r="DI139">
            <v>3217</v>
          </cell>
          <cell r="DJ139">
            <v>2835</v>
          </cell>
          <cell r="DK139">
            <v>1852</v>
          </cell>
          <cell r="DL139">
            <v>2888</v>
          </cell>
          <cell r="DM139">
            <v>1577</v>
          </cell>
          <cell r="DN139">
            <v>14343</v>
          </cell>
          <cell r="DO139">
            <v>4181</v>
          </cell>
          <cell r="DP139">
            <v>7668</v>
          </cell>
          <cell r="DQ139">
            <v>2494</v>
          </cell>
          <cell r="DR139">
            <v>3530</v>
          </cell>
          <cell r="DS139">
            <v>973</v>
          </cell>
          <cell r="DT139">
            <v>851</v>
          </cell>
          <cell r="DU139">
            <v>824</v>
          </cell>
          <cell r="DV139">
            <v>882</v>
          </cell>
          <cell r="DW139">
            <v>0</v>
          </cell>
          <cell r="DX139">
            <v>9633</v>
          </cell>
          <cell r="DY139">
            <v>43290</v>
          </cell>
          <cell r="DZ139">
            <v>34265</v>
          </cell>
          <cell r="EA139">
            <v>33228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1037</v>
          </cell>
          <cell r="EG139">
            <v>9025</v>
          </cell>
          <cell r="EH139">
            <v>53657</v>
          </cell>
          <cell r="EI139">
            <v>9819</v>
          </cell>
          <cell r="EJ139">
            <v>2171</v>
          </cell>
          <cell r="EK139">
            <v>389</v>
          </cell>
          <cell r="EL139">
            <v>7259</v>
          </cell>
          <cell r="EM139">
            <v>1571</v>
          </cell>
          <cell r="EN139">
            <v>4002</v>
          </cell>
          <cell r="EO139">
            <v>2767</v>
          </cell>
          <cell r="EP139">
            <v>1235</v>
          </cell>
          <cell r="EQ139">
            <v>5003</v>
          </cell>
          <cell r="ER139">
            <v>4926</v>
          </cell>
          <cell r="ES139">
            <v>2296</v>
          </cell>
          <cell r="ET139">
            <v>555</v>
          </cell>
          <cell r="EU139">
            <v>736</v>
          </cell>
          <cell r="EV139">
            <v>739</v>
          </cell>
          <cell r="EW139">
            <v>600</v>
          </cell>
          <cell r="EX139">
            <v>23404</v>
          </cell>
          <cell r="EY139">
            <v>14330</v>
          </cell>
          <cell r="EZ139">
            <v>9074</v>
          </cell>
          <cell r="FA139">
            <v>4932</v>
          </cell>
          <cell r="FB139">
            <v>412279</v>
          </cell>
          <cell r="FC139">
            <v>0</v>
          </cell>
          <cell r="FD139">
            <v>35781</v>
          </cell>
          <cell r="FE139">
            <v>10070</v>
          </cell>
          <cell r="FF139">
            <v>974</v>
          </cell>
          <cell r="FG139">
            <v>15415</v>
          </cell>
          <cell r="FH139">
            <v>1213</v>
          </cell>
          <cell r="FI139">
            <v>5342</v>
          </cell>
          <cell r="FJ139">
            <v>2767</v>
          </cell>
          <cell r="FK139">
            <v>165375</v>
          </cell>
          <cell r="FL139">
            <v>35578</v>
          </cell>
          <cell r="FM139">
            <v>12260</v>
          </cell>
          <cell r="FN139">
            <v>19612</v>
          </cell>
          <cell r="FO139">
            <v>15220</v>
          </cell>
          <cell r="FP139">
            <v>18702</v>
          </cell>
          <cell r="FQ139">
            <v>3377</v>
          </cell>
          <cell r="FR139">
            <v>26433</v>
          </cell>
          <cell r="FS139">
            <v>1213</v>
          </cell>
          <cell r="FT139">
            <v>21330</v>
          </cell>
          <cell r="FU139">
            <v>11650</v>
          </cell>
          <cell r="FV139">
            <v>91613</v>
          </cell>
          <cell r="FW139">
            <v>35578</v>
          </cell>
          <cell r="FX139">
            <v>12260</v>
          </cell>
          <cell r="FY139">
            <v>15220</v>
          </cell>
          <cell r="FZ139">
            <v>1950</v>
          </cell>
          <cell r="GA139">
            <v>2403</v>
          </cell>
          <cell r="GB139">
            <v>9646</v>
          </cell>
          <cell r="GC139">
            <v>7297</v>
          </cell>
          <cell r="GD139">
            <v>7259</v>
          </cell>
          <cell r="GE139">
            <v>6144</v>
          </cell>
          <cell r="GF139">
            <v>-14024</v>
          </cell>
          <cell r="GG139">
            <v>20168</v>
          </cell>
          <cell r="GH139">
            <v>240760</v>
          </cell>
          <cell r="GI139">
            <v>273</v>
          </cell>
          <cell r="GJ139">
            <v>90226</v>
          </cell>
          <cell r="GK139">
            <v>1262</v>
          </cell>
          <cell r="GL139">
            <v>5353</v>
          </cell>
          <cell r="GM139">
            <v>25541</v>
          </cell>
          <cell r="GN139">
            <v>6390</v>
          </cell>
          <cell r="GO139">
            <v>16785</v>
          </cell>
          <cell r="GP139">
            <v>9633</v>
          </cell>
          <cell r="GQ139">
            <v>43290</v>
          </cell>
          <cell r="GR139">
            <v>42007</v>
          </cell>
          <cell r="GS139">
            <v>37981</v>
          </cell>
          <cell r="GT139">
            <v>19612</v>
          </cell>
          <cell r="GU139">
            <v>6682</v>
          </cell>
          <cell r="GV139">
            <v>1372</v>
          </cell>
          <cell r="GW139">
            <v>8691</v>
          </cell>
          <cell r="GX139">
            <v>1624</v>
          </cell>
        </row>
        <row r="140">
          <cell r="A140" t="str">
            <v>2023 Q4</v>
          </cell>
          <cell r="B140">
            <v>405994</v>
          </cell>
          <cell r="C140">
            <v>35820</v>
          </cell>
          <cell r="D140">
            <v>32032</v>
          </cell>
          <cell r="E140">
            <v>6270</v>
          </cell>
          <cell r="F140">
            <v>6035</v>
          </cell>
          <cell r="G140">
            <v>1273</v>
          </cell>
          <cell r="H140">
            <v>4336</v>
          </cell>
          <cell r="I140">
            <v>1032</v>
          </cell>
          <cell r="J140">
            <v>3003</v>
          </cell>
          <cell r="K140">
            <v>4956</v>
          </cell>
          <cell r="L140">
            <v>3583</v>
          </cell>
          <cell r="M140">
            <v>1544</v>
          </cell>
          <cell r="N140">
            <v>3788</v>
          </cell>
          <cell r="O140">
            <v>848</v>
          </cell>
          <cell r="P140">
            <v>2940</v>
          </cell>
          <cell r="Q140">
            <v>12332</v>
          </cell>
          <cell r="R140">
            <v>6341</v>
          </cell>
          <cell r="S140">
            <v>1782</v>
          </cell>
          <cell r="T140">
            <v>2973</v>
          </cell>
          <cell r="U140">
            <v>1586</v>
          </cell>
          <cell r="V140">
            <v>5334</v>
          </cell>
          <cell r="W140">
            <v>657</v>
          </cell>
          <cell r="X140">
            <v>19757</v>
          </cell>
          <cell r="Y140">
            <v>16539</v>
          </cell>
          <cell r="Z140">
            <v>146</v>
          </cell>
          <cell r="AA140">
            <v>14180</v>
          </cell>
          <cell r="AB140">
            <v>1968</v>
          </cell>
          <cell r="AC140">
            <v>245</v>
          </cell>
          <cell r="AD140">
            <v>3218</v>
          </cell>
          <cell r="AE140">
            <v>3208</v>
          </cell>
          <cell r="AF140">
            <v>10</v>
          </cell>
          <cell r="AG140">
            <v>106079</v>
          </cell>
          <cell r="AH140">
            <v>24267</v>
          </cell>
          <cell r="AI140">
            <v>24173</v>
          </cell>
          <cell r="AJ140">
            <v>94</v>
          </cell>
          <cell r="AK140">
            <v>65616</v>
          </cell>
          <cell r="AL140">
            <v>62185</v>
          </cell>
          <cell r="AM140">
            <v>3431</v>
          </cell>
          <cell r="AN140">
            <v>1006</v>
          </cell>
          <cell r="AO140">
            <v>400</v>
          </cell>
          <cell r="AP140">
            <v>606</v>
          </cell>
          <cell r="AQ140">
            <v>3035</v>
          </cell>
          <cell r="AR140">
            <v>1494</v>
          </cell>
          <cell r="AS140">
            <v>59</v>
          </cell>
          <cell r="AT140">
            <v>1482</v>
          </cell>
          <cell r="AU140">
            <v>0</v>
          </cell>
          <cell r="AV140">
            <v>12155</v>
          </cell>
          <cell r="AW140">
            <v>6769</v>
          </cell>
          <cell r="AX140">
            <v>4755</v>
          </cell>
          <cell r="AY140">
            <v>502</v>
          </cell>
          <cell r="AZ140">
            <v>129</v>
          </cell>
          <cell r="BA140">
            <v>0</v>
          </cell>
          <cell r="BB140">
            <v>19269</v>
          </cell>
          <cell r="BC140">
            <v>7020</v>
          </cell>
          <cell r="BD140">
            <v>5819</v>
          </cell>
          <cell r="BE140">
            <v>1172</v>
          </cell>
          <cell r="BF140">
            <v>29</v>
          </cell>
          <cell r="BG140">
            <v>1807</v>
          </cell>
          <cell r="BH140">
            <v>3211</v>
          </cell>
          <cell r="BI140">
            <v>2506</v>
          </cell>
          <cell r="BJ140">
            <v>533</v>
          </cell>
          <cell r="BK140">
            <v>172</v>
          </cell>
          <cell r="BL140">
            <v>2142</v>
          </cell>
          <cell r="BM140">
            <v>2199</v>
          </cell>
          <cell r="BN140">
            <v>256</v>
          </cell>
          <cell r="BO140">
            <v>1943</v>
          </cell>
          <cell r="BP140">
            <v>2890</v>
          </cell>
          <cell r="BQ140">
            <v>1885</v>
          </cell>
          <cell r="BR140">
            <v>1005</v>
          </cell>
          <cell r="BS140">
            <v>8677</v>
          </cell>
          <cell r="BT140">
            <v>3302</v>
          </cell>
          <cell r="BU140">
            <v>2267</v>
          </cell>
          <cell r="BV140">
            <v>151</v>
          </cell>
          <cell r="BW140">
            <v>884</v>
          </cell>
          <cell r="BX140">
            <v>2579</v>
          </cell>
          <cell r="BY140">
            <v>992</v>
          </cell>
          <cell r="BZ140">
            <v>1244</v>
          </cell>
          <cell r="CA140">
            <v>343</v>
          </cell>
          <cell r="CB140">
            <v>2796</v>
          </cell>
          <cell r="CC140">
            <v>51419</v>
          </cell>
          <cell r="CD140">
            <v>15012</v>
          </cell>
          <cell r="CE140">
            <v>14186</v>
          </cell>
          <cell r="CF140">
            <v>318</v>
          </cell>
          <cell r="CG140">
            <v>508</v>
          </cell>
          <cell r="CH140">
            <v>19342</v>
          </cell>
          <cell r="CI140">
            <v>1316</v>
          </cell>
          <cell r="CJ140">
            <v>9897</v>
          </cell>
          <cell r="CK140">
            <v>4627</v>
          </cell>
          <cell r="CL140">
            <v>3502</v>
          </cell>
          <cell r="CM140">
            <v>17065</v>
          </cell>
          <cell r="CN140">
            <v>3175</v>
          </cell>
          <cell r="CO140">
            <v>1798</v>
          </cell>
          <cell r="CP140">
            <v>8164</v>
          </cell>
          <cell r="CQ140">
            <v>2651</v>
          </cell>
          <cell r="CR140">
            <v>1277</v>
          </cell>
          <cell r="CS140">
            <v>7859</v>
          </cell>
          <cell r="CT140">
            <v>326</v>
          </cell>
          <cell r="CU140">
            <v>1417</v>
          </cell>
          <cell r="CV140">
            <v>6116</v>
          </cell>
          <cell r="CW140">
            <v>37731</v>
          </cell>
          <cell r="CX140">
            <v>5244</v>
          </cell>
          <cell r="CY140">
            <v>1144</v>
          </cell>
          <cell r="CZ140">
            <v>326</v>
          </cell>
          <cell r="DA140">
            <v>2099</v>
          </cell>
          <cell r="DB140">
            <v>1627</v>
          </cell>
          <cell r="DC140">
            <v>48</v>
          </cell>
          <cell r="DD140">
            <v>2660</v>
          </cell>
          <cell r="DE140">
            <v>1665</v>
          </cell>
          <cell r="DF140">
            <v>160</v>
          </cell>
          <cell r="DG140">
            <v>835</v>
          </cell>
          <cell r="DH140">
            <v>12279</v>
          </cell>
          <cell r="DI140">
            <v>3205</v>
          </cell>
          <cell r="DJ140">
            <v>2836</v>
          </cell>
          <cell r="DK140">
            <v>1800</v>
          </cell>
          <cell r="DL140">
            <v>2822</v>
          </cell>
          <cell r="DM140">
            <v>1616</v>
          </cell>
          <cell r="DN140">
            <v>14033</v>
          </cell>
          <cell r="DO140">
            <v>4208</v>
          </cell>
          <cell r="DP140">
            <v>7541</v>
          </cell>
          <cell r="DQ140">
            <v>2284</v>
          </cell>
          <cell r="DR140">
            <v>3515</v>
          </cell>
          <cell r="DS140">
            <v>920</v>
          </cell>
          <cell r="DT140">
            <v>864</v>
          </cell>
          <cell r="DU140">
            <v>820</v>
          </cell>
          <cell r="DV140">
            <v>911</v>
          </cell>
          <cell r="DW140">
            <v>0</v>
          </cell>
          <cell r="DX140">
            <v>9795</v>
          </cell>
          <cell r="DY140">
            <v>43073</v>
          </cell>
          <cell r="DZ140">
            <v>34067</v>
          </cell>
          <cell r="EA140">
            <v>33006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1061</v>
          </cell>
          <cell r="EG140">
            <v>9006</v>
          </cell>
          <cell r="EH140">
            <v>54183</v>
          </cell>
          <cell r="EI140">
            <v>9984</v>
          </cell>
          <cell r="EJ140">
            <v>2359</v>
          </cell>
          <cell r="EK140">
            <v>330</v>
          </cell>
          <cell r="EL140">
            <v>7295</v>
          </cell>
          <cell r="EM140">
            <v>1585</v>
          </cell>
          <cell r="EN140">
            <v>3944</v>
          </cell>
          <cell r="EO140">
            <v>2704</v>
          </cell>
          <cell r="EP140">
            <v>1240</v>
          </cell>
          <cell r="EQ140">
            <v>5292</v>
          </cell>
          <cell r="ER140">
            <v>4818</v>
          </cell>
          <cell r="ES140">
            <v>2286</v>
          </cell>
          <cell r="ET140">
            <v>549</v>
          </cell>
          <cell r="EU140">
            <v>748</v>
          </cell>
          <cell r="EV140">
            <v>683</v>
          </cell>
          <cell r="EW140">
            <v>552</v>
          </cell>
          <cell r="EX140">
            <v>23441</v>
          </cell>
          <cell r="EY140">
            <v>14172</v>
          </cell>
          <cell r="EZ140">
            <v>9269</v>
          </cell>
          <cell r="FA140">
            <v>5119</v>
          </cell>
          <cell r="FB140">
            <v>413100</v>
          </cell>
          <cell r="FC140">
            <v>0</v>
          </cell>
          <cell r="FD140">
            <v>35164</v>
          </cell>
          <cell r="FE140">
            <v>9753</v>
          </cell>
          <cell r="FF140">
            <v>884</v>
          </cell>
          <cell r="FG140">
            <v>15012</v>
          </cell>
          <cell r="FH140">
            <v>1417</v>
          </cell>
          <cell r="FI140">
            <v>5394</v>
          </cell>
          <cell r="FJ140">
            <v>2704</v>
          </cell>
          <cell r="FK140">
            <v>163478</v>
          </cell>
          <cell r="FL140">
            <v>35820</v>
          </cell>
          <cell r="FM140">
            <v>12332</v>
          </cell>
          <cell r="FN140">
            <v>19502</v>
          </cell>
          <cell r="FO140">
            <v>14049</v>
          </cell>
          <cell r="FP140">
            <v>18063</v>
          </cell>
          <cell r="FQ140">
            <v>3302</v>
          </cell>
          <cell r="FR140">
            <v>26225</v>
          </cell>
          <cell r="FS140">
            <v>1417</v>
          </cell>
          <cell r="FT140">
            <v>21199</v>
          </cell>
          <cell r="FU140">
            <v>11569</v>
          </cell>
          <cell r="FV140">
            <v>90913</v>
          </cell>
          <cell r="FW140">
            <v>35820</v>
          </cell>
          <cell r="FX140">
            <v>12332</v>
          </cell>
          <cell r="FY140">
            <v>14049</v>
          </cell>
          <cell r="FZ140">
            <v>1885</v>
          </cell>
          <cell r="GA140">
            <v>2418</v>
          </cell>
          <cell r="GB140">
            <v>9897</v>
          </cell>
          <cell r="GC140">
            <v>7217</v>
          </cell>
          <cell r="GD140">
            <v>7295</v>
          </cell>
          <cell r="GE140">
            <v>7106</v>
          </cell>
          <cell r="GF140">
            <v>-14222</v>
          </cell>
          <cell r="GG140">
            <v>21328</v>
          </cell>
          <cell r="GH140">
            <v>242516</v>
          </cell>
          <cell r="GI140">
            <v>255</v>
          </cell>
          <cell r="GJ140">
            <v>92030</v>
          </cell>
          <cell r="GK140">
            <v>1206</v>
          </cell>
          <cell r="GL140">
            <v>5375</v>
          </cell>
          <cell r="GM140">
            <v>25194</v>
          </cell>
          <cell r="GN140">
            <v>6442</v>
          </cell>
          <cell r="GO140">
            <v>16532</v>
          </cell>
          <cell r="GP140">
            <v>9795</v>
          </cell>
          <cell r="GQ140">
            <v>43073</v>
          </cell>
          <cell r="GR140">
            <v>42614</v>
          </cell>
          <cell r="GS140">
            <v>37401</v>
          </cell>
          <cell r="GT140">
            <v>19502</v>
          </cell>
          <cell r="GU140">
            <v>6425</v>
          </cell>
          <cell r="GV140">
            <v>1316</v>
          </cell>
          <cell r="GW140">
            <v>8588</v>
          </cell>
          <cell r="GX140">
            <v>1570</v>
          </cell>
        </row>
        <row r="141">
          <cell r="A141" t="str">
            <v>2024 Q1</v>
          </cell>
          <cell r="B141">
            <v>412590</v>
          </cell>
          <cell r="C141">
            <v>36274</v>
          </cell>
          <cell r="D141">
            <v>32481</v>
          </cell>
          <cell r="E141">
            <v>6343</v>
          </cell>
          <cell r="F141">
            <v>6044</v>
          </cell>
          <cell r="G141">
            <v>1317</v>
          </cell>
          <cell r="H141">
            <v>4318</v>
          </cell>
          <cell r="I141">
            <v>1069</v>
          </cell>
          <cell r="J141">
            <v>3175</v>
          </cell>
          <cell r="K141">
            <v>5041</v>
          </cell>
          <cell r="L141">
            <v>3647</v>
          </cell>
          <cell r="M141">
            <v>1527</v>
          </cell>
          <cell r="N141">
            <v>3793</v>
          </cell>
          <cell r="O141">
            <v>817</v>
          </cell>
          <cell r="P141">
            <v>2976</v>
          </cell>
          <cell r="Q141">
            <v>12599</v>
          </cell>
          <cell r="R141">
            <v>6490</v>
          </cell>
          <cell r="S141">
            <v>1814</v>
          </cell>
          <cell r="T141">
            <v>3065</v>
          </cell>
          <cell r="U141">
            <v>1611</v>
          </cell>
          <cell r="V141">
            <v>5464</v>
          </cell>
          <cell r="W141">
            <v>645</v>
          </cell>
          <cell r="X141">
            <v>19624</v>
          </cell>
          <cell r="Y141">
            <v>16443</v>
          </cell>
          <cell r="Z141">
            <v>136</v>
          </cell>
          <cell r="AA141">
            <v>14199</v>
          </cell>
          <cell r="AB141">
            <v>1912</v>
          </cell>
          <cell r="AC141">
            <v>196</v>
          </cell>
          <cell r="AD141">
            <v>3181</v>
          </cell>
          <cell r="AE141">
            <v>3172</v>
          </cell>
          <cell r="AF141">
            <v>9</v>
          </cell>
          <cell r="AG141">
            <v>108450</v>
          </cell>
          <cell r="AH141">
            <v>24750</v>
          </cell>
          <cell r="AI141">
            <v>24652</v>
          </cell>
          <cell r="AJ141">
            <v>98</v>
          </cell>
          <cell r="AK141">
            <v>67064</v>
          </cell>
          <cell r="AL141">
            <v>63551</v>
          </cell>
          <cell r="AM141">
            <v>3513</v>
          </cell>
          <cell r="AN141">
            <v>1005</v>
          </cell>
          <cell r="AO141">
            <v>415</v>
          </cell>
          <cell r="AP141">
            <v>590</v>
          </cell>
          <cell r="AQ141">
            <v>3109</v>
          </cell>
          <cell r="AR141">
            <v>1515</v>
          </cell>
          <cell r="AS141">
            <v>81</v>
          </cell>
          <cell r="AT141">
            <v>1513</v>
          </cell>
          <cell r="AU141">
            <v>0</v>
          </cell>
          <cell r="AV141">
            <v>12522</v>
          </cell>
          <cell r="AW141">
            <v>6967</v>
          </cell>
          <cell r="AX141">
            <v>5106</v>
          </cell>
          <cell r="AY141">
            <v>318</v>
          </cell>
          <cell r="AZ141">
            <v>131</v>
          </cell>
          <cell r="BA141">
            <v>0</v>
          </cell>
          <cell r="BB141">
            <v>19448</v>
          </cell>
          <cell r="BC141">
            <v>6971</v>
          </cell>
          <cell r="BD141">
            <v>5692</v>
          </cell>
          <cell r="BE141">
            <v>1247</v>
          </cell>
          <cell r="BF141">
            <v>32</v>
          </cell>
          <cell r="BG141">
            <v>1839</v>
          </cell>
          <cell r="BH141">
            <v>3219</v>
          </cell>
          <cell r="BI141">
            <v>2468</v>
          </cell>
          <cell r="BJ141">
            <v>603</v>
          </cell>
          <cell r="BK141">
            <v>148</v>
          </cell>
          <cell r="BL141">
            <v>2143</v>
          </cell>
          <cell r="BM141">
            <v>2270</v>
          </cell>
          <cell r="BN141">
            <v>346</v>
          </cell>
          <cell r="BO141">
            <v>1924</v>
          </cell>
          <cell r="BP141">
            <v>3006</v>
          </cell>
          <cell r="BQ141">
            <v>1965</v>
          </cell>
          <cell r="BR141">
            <v>1041</v>
          </cell>
          <cell r="BS141">
            <v>8827</v>
          </cell>
          <cell r="BT141">
            <v>3365</v>
          </cell>
          <cell r="BU141">
            <v>2251</v>
          </cell>
          <cell r="BV141">
            <v>170</v>
          </cell>
          <cell r="BW141">
            <v>944</v>
          </cell>
          <cell r="BX141">
            <v>2577</v>
          </cell>
          <cell r="BY141">
            <v>947</v>
          </cell>
          <cell r="BZ141">
            <v>1271</v>
          </cell>
          <cell r="CA141">
            <v>359</v>
          </cell>
          <cell r="CB141">
            <v>2885</v>
          </cell>
          <cell r="CC141">
            <v>51407</v>
          </cell>
          <cell r="CD141">
            <v>14620</v>
          </cell>
          <cell r="CE141">
            <v>13817</v>
          </cell>
          <cell r="CF141">
            <v>313</v>
          </cell>
          <cell r="CG141">
            <v>490</v>
          </cell>
          <cell r="CH141">
            <v>18637</v>
          </cell>
          <cell r="CI141">
            <v>1352</v>
          </cell>
          <cell r="CJ141">
            <v>9022</v>
          </cell>
          <cell r="CK141">
            <v>4753</v>
          </cell>
          <cell r="CL141">
            <v>3510</v>
          </cell>
          <cell r="CM141">
            <v>18150</v>
          </cell>
          <cell r="CN141">
            <v>3121</v>
          </cell>
          <cell r="CO141">
            <v>1939</v>
          </cell>
          <cell r="CP141">
            <v>9133</v>
          </cell>
          <cell r="CQ141">
            <v>2664</v>
          </cell>
          <cell r="CR141">
            <v>1293</v>
          </cell>
          <cell r="CS141">
            <v>7899</v>
          </cell>
          <cell r="CT141">
            <v>323</v>
          </cell>
          <cell r="CU141">
            <v>1497</v>
          </cell>
          <cell r="CV141">
            <v>6079</v>
          </cell>
          <cell r="CW141">
            <v>38566</v>
          </cell>
          <cell r="CX141">
            <v>5316</v>
          </cell>
          <cell r="CY141">
            <v>1177</v>
          </cell>
          <cell r="CZ141">
            <v>325</v>
          </cell>
          <cell r="DA141">
            <v>2119</v>
          </cell>
          <cell r="DB141">
            <v>1652</v>
          </cell>
          <cell r="DC141">
            <v>43</v>
          </cell>
          <cell r="DD141">
            <v>2678</v>
          </cell>
          <cell r="DE141">
            <v>1657</v>
          </cell>
          <cell r="DF141">
            <v>179</v>
          </cell>
          <cell r="DG141">
            <v>842</v>
          </cell>
          <cell r="DH141">
            <v>12428</v>
          </cell>
          <cell r="DI141">
            <v>3206</v>
          </cell>
          <cell r="DJ141">
            <v>2851</v>
          </cell>
          <cell r="DK141">
            <v>1794</v>
          </cell>
          <cell r="DL141">
            <v>2933</v>
          </cell>
          <cell r="DM141">
            <v>1644</v>
          </cell>
          <cell r="DN141">
            <v>14568</v>
          </cell>
          <cell r="DO141">
            <v>4342</v>
          </cell>
          <cell r="DP141">
            <v>7787</v>
          </cell>
          <cell r="DQ141">
            <v>2439</v>
          </cell>
          <cell r="DR141">
            <v>3576</v>
          </cell>
          <cell r="DS141">
            <v>939</v>
          </cell>
          <cell r="DT141">
            <v>864</v>
          </cell>
          <cell r="DU141">
            <v>808</v>
          </cell>
          <cell r="DV141">
            <v>965</v>
          </cell>
          <cell r="DW141">
            <v>0</v>
          </cell>
          <cell r="DX141">
            <v>9956</v>
          </cell>
          <cell r="DY141">
            <v>43879</v>
          </cell>
          <cell r="DZ141">
            <v>34863</v>
          </cell>
          <cell r="EA141">
            <v>33843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1020</v>
          </cell>
          <cell r="EG141">
            <v>9016</v>
          </cell>
          <cell r="EH141">
            <v>55661</v>
          </cell>
          <cell r="EI141">
            <v>10424</v>
          </cell>
          <cell r="EJ141">
            <v>2531</v>
          </cell>
          <cell r="EK141">
            <v>450</v>
          </cell>
          <cell r="EL141">
            <v>7443</v>
          </cell>
          <cell r="EM141">
            <v>1600</v>
          </cell>
          <cell r="EN141">
            <v>3969</v>
          </cell>
          <cell r="EO141">
            <v>2778</v>
          </cell>
          <cell r="EP141">
            <v>1191</v>
          </cell>
          <cell r="EQ141">
            <v>5249</v>
          </cell>
          <cell r="ER141">
            <v>4746</v>
          </cell>
          <cell r="ES141">
            <v>2312</v>
          </cell>
          <cell r="ET141">
            <v>485</v>
          </cell>
          <cell r="EU141">
            <v>790</v>
          </cell>
          <cell r="EV141">
            <v>696</v>
          </cell>
          <cell r="EW141">
            <v>463</v>
          </cell>
          <cell r="EX141">
            <v>24348</v>
          </cell>
          <cell r="EY141">
            <v>15021</v>
          </cell>
          <cell r="EZ141">
            <v>9327</v>
          </cell>
          <cell r="FA141">
            <v>5325</v>
          </cell>
          <cell r="FB141">
            <v>420364</v>
          </cell>
          <cell r="FC141">
            <v>0</v>
          </cell>
          <cell r="FD141">
            <v>35049</v>
          </cell>
          <cell r="FE141">
            <v>9753</v>
          </cell>
          <cell r="FF141">
            <v>944</v>
          </cell>
          <cell r="FG141">
            <v>14620</v>
          </cell>
          <cell r="FH141">
            <v>1497</v>
          </cell>
          <cell r="FI141">
            <v>5457</v>
          </cell>
          <cell r="FJ141">
            <v>2778</v>
          </cell>
          <cell r="FK141">
            <v>164158</v>
          </cell>
          <cell r="FL141">
            <v>36274</v>
          </cell>
          <cell r="FM141">
            <v>12599</v>
          </cell>
          <cell r="FN141">
            <v>19419</v>
          </cell>
          <cell r="FO141">
            <v>14452</v>
          </cell>
          <cell r="FP141">
            <v>18227</v>
          </cell>
          <cell r="FQ141">
            <v>3365</v>
          </cell>
          <cell r="FR141">
            <v>24994</v>
          </cell>
          <cell r="FS141">
            <v>1497</v>
          </cell>
          <cell r="FT141">
            <v>21469</v>
          </cell>
          <cell r="FU141">
            <v>11862</v>
          </cell>
          <cell r="FV141">
            <v>91540</v>
          </cell>
          <cell r="FW141">
            <v>36274</v>
          </cell>
          <cell r="FX141">
            <v>12599</v>
          </cell>
          <cell r="FY141">
            <v>14452</v>
          </cell>
          <cell r="FZ141">
            <v>1965</v>
          </cell>
          <cell r="GA141">
            <v>2421</v>
          </cell>
          <cell r="GB141">
            <v>9022</v>
          </cell>
          <cell r="GC141">
            <v>7364</v>
          </cell>
          <cell r="GD141">
            <v>7443</v>
          </cell>
          <cell r="GE141">
            <v>7774</v>
          </cell>
          <cell r="GF141">
            <v>-15645</v>
          </cell>
          <cell r="GG141">
            <v>23419</v>
          </cell>
          <cell r="GH141">
            <v>248432</v>
          </cell>
          <cell r="GI141">
            <v>205</v>
          </cell>
          <cell r="GJ141">
            <v>93998</v>
          </cell>
          <cell r="GK141">
            <v>1221</v>
          </cell>
          <cell r="GL141">
            <v>5462</v>
          </cell>
          <cell r="GM141">
            <v>26413</v>
          </cell>
          <cell r="GN141">
            <v>6402</v>
          </cell>
          <cell r="GO141">
            <v>17097</v>
          </cell>
          <cell r="GP141">
            <v>9956</v>
          </cell>
          <cell r="GQ141">
            <v>43879</v>
          </cell>
          <cell r="GR141">
            <v>43799</v>
          </cell>
          <cell r="GS141">
            <v>37569</v>
          </cell>
          <cell r="GT141">
            <v>19419</v>
          </cell>
          <cell r="GU141">
            <v>6509</v>
          </cell>
          <cell r="GV141">
            <v>1352</v>
          </cell>
          <cell r="GW141">
            <v>8648</v>
          </cell>
          <cell r="GX141">
            <v>1641</v>
          </cell>
        </row>
        <row r="142">
          <cell r="A142" t="str">
            <v>2024 Q2</v>
          </cell>
          <cell r="B142">
            <v>417025</v>
          </cell>
          <cell r="C142">
            <v>36155</v>
          </cell>
          <cell r="D142">
            <v>32308</v>
          </cell>
          <cell r="E142">
            <v>6321</v>
          </cell>
          <cell r="F142">
            <v>6068</v>
          </cell>
          <cell r="G142">
            <v>1291</v>
          </cell>
          <cell r="H142">
            <v>4308</v>
          </cell>
          <cell r="I142">
            <v>1099</v>
          </cell>
          <cell r="J142">
            <v>3047</v>
          </cell>
          <cell r="K142">
            <v>5010</v>
          </cell>
          <cell r="L142">
            <v>3653</v>
          </cell>
          <cell r="M142">
            <v>1511</v>
          </cell>
          <cell r="N142">
            <v>3847</v>
          </cell>
          <cell r="O142">
            <v>820</v>
          </cell>
          <cell r="P142">
            <v>3027</v>
          </cell>
          <cell r="Q142">
            <v>12652</v>
          </cell>
          <cell r="R142">
            <v>6436</v>
          </cell>
          <cell r="S142">
            <v>1774</v>
          </cell>
          <cell r="T142">
            <v>3032</v>
          </cell>
          <cell r="U142">
            <v>1630</v>
          </cell>
          <cell r="V142">
            <v>5583</v>
          </cell>
          <cell r="W142">
            <v>633</v>
          </cell>
          <cell r="X142">
            <v>19750</v>
          </cell>
          <cell r="Y142">
            <v>16459</v>
          </cell>
          <cell r="Z142">
            <v>151</v>
          </cell>
          <cell r="AA142">
            <v>14164</v>
          </cell>
          <cell r="AB142">
            <v>1929</v>
          </cell>
          <cell r="AC142">
            <v>215</v>
          </cell>
          <cell r="AD142">
            <v>3291</v>
          </cell>
          <cell r="AE142">
            <v>3276</v>
          </cell>
          <cell r="AF142">
            <v>15</v>
          </cell>
          <cell r="AG142">
            <v>109450</v>
          </cell>
          <cell r="AH142">
            <v>25366</v>
          </cell>
          <cell r="AI142">
            <v>25264</v>
          </cell>
          <cell r="AJ142">
            <v>102</v>
          </cell>
          <cell r="AK142">
            <v>68697</v>
          </cell>
          <cell r="AL142">
            <v>65091</v>
          </cell>
          <cell r="AM142">
            <v>3606</v>
          </cell>
          <cell r="AN142">
            <v>1000</v>
          </cell>
          <cell r="AO142">
            <v>409</v>
          </cell>
          <cell r="AP142">
            <v>591</v>
          </cell>
          <cell r="AQ142">
            <v>3238</v>
          </cell>
          <cell r="AR142">
            <v>1568</v>
          </cell>
          <cell r="AS142">
            <v>82</v>
          </cell>
          <cell r="AT142">
            <v>1588</v>
          </cell>
          <cell r="AU142">
            <v>0</v>
          </cell>
          <cell r="AV142">
            <v>11149</v>
          </cell>
          <cell r="AW142">
            <v>6314</v>
          </cell>
          <cell r="AX142">
            <v>4415</v>
          </cell>
          <cell r="AY142">
            <v>327</v>
          </cell>
          <cell r="AZ142">
            <v>93</v>
          </cell>
          <cell r="BA142">
            <v>0</v>
          </cell>
          <cell r="BB142">
            <v>19525</v>
          </cell>
          <cell r="BC142">
            <v>6875</v>
          </cell>
          <cell r="BD142">
            <v>5645</v>
          </cell>
          <cell r="BE142">
            <v>1195</v>
          </cell>
          <cell r="BF142">
            <v>35</v>
          </cell>
          <cell r="BG142">
            <v>1800</v>
          </cell>
          <cell r="BH142">
            <v>3280</v>
          </cell>
          <cell r="BI142">
            <v>2482</v>
          </cell>
          <cell r="BJ142">
            <v>658</v>
          </cell>
          <cell r="BK142">
            <v>140</v>
          </cell>
          <cell r="BL142">
            <v>2125</v>
          </cell>
          <cell r="BM142">
            <v>2282</v>
          </cell>
          <cell r="BN142">
            <v>348</v>
          </cell>
          <cell r="BO142">
            <v>1934</v>
          </cell>
          <cell r="BP142">
            <v>3163</v>
          </cell>
          <cell r="BQ142">
            <v>2063</v>
          </cell>
          <cell r="BR142">
            <v>1100</v>
          </cell>
          <cell r="BS142">
            <v>8951</v>
          </cell>
          <cell r="BT142">
            <v>3346</v>
          </cell>
          <cell r="BU142">
            <v>2254</v>
          </cell>
          <cell r="BV142">
            <v>146</v>
          </cell>
          <cell r="BW142">
            <v>946</v>
          </cell>
          <cell r="BX142">
            <v>2596</v>
          </cell>
          <cell r="BY142">
            <v>910</v>
          </cell>
          <cell r="BZ142">
            <v>1313</v>
          </cell>
          <cell r="CA142">
            <v>373</v>
          </cell>
          <cell r="CB142">
            <v>3009</v>
          </cell>
          <cell r="CC142">
            <v>53961</v>
          </cell>
          <cell r="CD142">
            <v>14736</v>
          </cell>
          <cell r="CE142">
            <v>13911</v>
          </cell>
          <cell r="CF142">
            <v>333</v>
          </cell>
          <cell r="CG142">
            <v>492</v>
          </cell>
          <cell r="CH142">
            <v>19821</v>
          </cell>
          <cell r="CI142">
            <v>1390</v>
          </cell>
          <cell r="CJ142">
            <v>9947</v>
          </cell>
          <cell r="CK142">
            <v>4718</v>
          </cell>
          <cell r="CL142">
            <v>3766</v>
          </cell>
          <cell r="CM142">
            <v>19404</v>
          </cell>
          <cell r="CN142">
            <v>3090</v>
          </cell>
          <cell r="CO142">
            <v>2077</v>
          </cell>
          <cell r="CP142">
            <v>9900</v>
          </cell>
          <cell r="CQ142">
            <v>3090</v>
          </cell>
          <cell r="CR142">
            <v>1247</v>
          </cell>
          <cell r="CS142">
            <v>7901</v>
          </cell>
          <cell r="CT142">
            <v>330</v>
          </cell>
          <cell r="CU142">
            <v>1512</v>
          </cell>
          <cell r="CV142">
            <v>6059</v>
          </cell>
          <cell r="CW142">
            <v>39164</v>
          </cell>
          <cell r="CX142">
            <v>5409</v>
          </cell>
          <cell r="CY142">
            <v>1180</v>
          </cell>
          <cell r="CZ142">
            <v>326</v>
          </cell>
          <cell r="DA142">
            <v>2134</v>
          </cell>
          <cell r="DB142">
            <v>1734</v>
          </cell>
          <cell r="DC142">
            <v>35</v>
          </cell>
          <cell r="DD142">
            <v>2678</v>
          </cell>
          <cell r="DE142">
            <v>1653</v>
          </cell>
          <cell r="DF142">
            <v>176</v>
          </cell>
          <cell r="DG142">
            <v>849</v>
          </cell>
          <cell r="DH142">
            <v>12323</v>
          </cell>
          <cell r="DI142">
            <v>3199</v>
          </cell>
          <cell r="DJ142">
            <v>2832</v>
          </cell>
          <cell r="DK142">
            <v>1768</v>
          </cell>
          <cell r="DL142">
            <v>2933</v>
          </cell>
          <cell r="DM142">
            <v>1591</v>
          </cell>
          <cell r="DN142">
            <v>15154</v>
          </cell>
          <cell r="DO142">
            <v>4464</v>
          </cell>
          <cell r="DP142">
            <v>8109</v>
          </cell>
          <cell r="DQ142">
            <v>2581</v>
          </cell>
          <cell r="DR142">
            <v>3600</v>
          </cell>
          <cell r="DS142">
            <v>930</v>
          </cell>
          <cell r="DT142">
            <v>865</v>
          </cell>
          <cell r="DU142">
            <v>845</v>
          </cell>
          <cell r="DV142">
            <v>960</v>
          </cell>
          <cell r="DW142">
            <v>0</v>
          </cell>
          <cell r="DX142">
            <v>10113</v>
          </cell>
          <cell r="DY142">
            <v>44510</v>
          </cell>
          <cell r="DZ142">
            <v>35283</v>
          </cell>
          <cell r="EA142">
            <v>34328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955</v>
          </cell>
          <cell r="EG142">
            <v>9227</v>
          </cell>
          <cell r="EH142">
            <v>54893</v>
          </cell>
          <cell r="EI142">
            <v>10288</v>
          </cell>
          <cell r="EJ142">
            <v>2554</v>
          </cell>
          <cell r="EK142">
            <v>362</v>
          </cell>
          <cell r="EL142">
            <v>7372</v>
          </cell>
          <cell r="EM142">
            <v>1619</v>
          </cell>
          <cell r="EN142">
            <v>3861</v>
          </cell>
          <cell r="EO142">
            <v>2663</v>
          </cell>
          <cell r="EP142">
            <v>1198</v>
          </cell>
          <cell r="EQ142">
            <v>5338</v>
          </cell>
          <cell r="ER142">
            <v>4771</v>
          </cell>
          <cell r="ES142">
            <v>2327</v>
          </cell>
          <cell r="ET142">
            <v>516</v>
          </cell>
          <cell r="EU142">
            <v>799</v>
          </cell>
          <cell r="EV142">
            <v>625</v>
          </cell>
          <cell r="EW142">
            <v>504</v>
          </cell>
          <cell r="EX142">
            <v>23624</v>
          </cell>
          <cell r="EY142">
            <v>14147</v>
          </cell>
          <cell r="EZ142">
            <v>9477</v>
          </cell>
          <cell r="FA142">
            <v>5392</v>
          </cell>
          <cell r="FB142">
            <v>424408</v>
          </cell>
          <cell r="FC142">
            <v>0</v>
          </cell>
          <cell r="FD142">
            <v>34996</v>
          </cell>
          <cell r="FE142">
            <v>9670</v>
          </cell>
          <cell r="FF142">
            <v>946</v>
          </cell>
          <cell r="FG142">
            <v>14736</v>
          </cell>
          <cell r="FH142">
            <v>1512</v>
          </cell>
          <cell r="FI142">
            <v>5469</v>
          </cell>
          <cell r="FJ142">
            <v>2663</v>
          </cell>
          <cell r="FK142">
            <v>163764</v>
          </cell>
          <cell r="FL142">
            <v>36155</v>
          </cell>
          <cell r="FM142">
            <v>12652</v>
          </cell>
          <cell r="FN142">
            <v>19520</v>
          </cell>
          <cell r="FO142">
            <v>13126</v>
          </cell>
          <cell r="FP142">
            <v>18250</v>
          </cell>
          <cell r="FQ142">
            <v>3346</v>
          </cell>
          <cell r="FR142">
            <v>26073</v>
          </cell>
          <cell r="FS142">
            <v>1512</v>
          </cell>
          <cell r="FT142">
            <v>21535</v>
          </cell>
          <cell r="FU142">
            <v>11595</v>
          </cell>
          <cell r="FV142">
            <v>91086</v>
          </cell>
          <cell r="FW142">
            <v>36155</v>
          </cell>
          <cell r="FX142">
            <v>12652</v>
          </cell>
          <cell r="FY142">
            <v>13126</v>
          </cell>
          <cell r="FZ142">
            <v>2063</v>
          </cell>
          <cell r="GA142">
            <v>2400</v>
          </cell>
          <cell r="GB142">
            <v>9947</v>
          </cell>
          <cell r="GC142">
            <v>7371</v>
          </cell>
          <cell r="GD142">
            <v>7372</v>
          </cell>
          <cell r="GE142">
            <v>7383</v>
          </cell>
          <cell r="GF142">
            <v>-15671</v>
          </cell>
          <cell r="GG142">
            <v>23054</v>
          </cell>
          <cell r="GH142">
            <v>253261</v>
          </cell>
          <cell r="GI142">
            <v>230</v>
          </cell>
          <cell r="GJ142">
            <v>96324</v>
          </cell>
          <cell r="GK142">
            <v>1275</v>
          </cell>
          <cell r="GL142">
            <v>5605</v>
          </cell>
          <cell r="GM142">
            <v>27888</v>
          </cell>
          <cell r="GN142">
            <v>6389</v>
          </cell>
          <cell r="GO142">
            <v>17629</v>
          </cell>
          <cell r="GP142">
            <v>10113</v>
          </cell>
          <cell r="GQ142">
            <v>44510</v>
          </cell>
          <cell r="GR142">
            <v>43298</v>
          </cell>
          <cell r="GS142">
            <v>37682</v>
          </cell>
          <cell r="GT142">
            <v>19520</v>
          </cell>
          <cell r="GU142">
            <v>6517</v>
          </cell>
          <cell r="GV142">
            <v>1390</v>
          </cell>
          <cell r="GW142">
            <v>8695</v>
          </cell>
          <cell r="GX142">
            <v>1560</v>
          </cell>
        </row>
        <row r="143">
          <cell r="A143" t="str">
            <v>2024 Q3</v>
          </cell>
          <cell r="B143">
            <v>421047</v>
          </cell>
          <cell r="C143">
            <v>36451</v>
          </cell>
          <cell r="D143">
            <v>32631</v>
          </cell>
          <cell r="E143">
            <v>6313</v>
          </cell>
          <cell r="F143">
            <v>6121</v>
          </cell>
          <cell r="G143">
            <v>1308</v>
          </cell>
          <cell r="H143">
            <v>4388</v>
          </cell>
          <cell r="I143">
            <v>1112</v>
          </cell>
          <cell r="J143">
            <v>3123</v>
          </cell>
          <cell r="K143">
            <v>5043</v>
          </cell>
          <cell r="L143">
            <v>3707</v>
          </cell>
          <cell r="M143">
            <v>1516</v>
          </cell>
          <cell r="N143">
            <v>3820</v>
          </cell>
          <cell r="O143">
            <v>826</v>
          </cell>
          <cell r="P143">
            <v>2994</v>
          </cell>
          <cell r="Q143">
            <v>12691</v>
          </cell>
          <cell r="R143">
            <v>6447</v>
          </cell>
          <cell r="S143">
            <v>1776</v>
          </cell>
          <cell r="T143">
            <v>3082</v>
          </cell>
          <cell r="U143">
            <v>1589</v>
          </cell>
          <cell r="V143">
            <v>5622</v>
          </cell>
          <cell r="W143">
            <v>622</v>
          </cell>
          <cell r="X143">
            <v>20232</v>
          </cell>
          <cell r="Y143">
            <v>16832</v>
          </cell>
          <cell r="Z143">
            <v>139</v>
          </cell>
          <cell r="AA143">
            <v>14499</v>
          </cell>
          <cell r="AB143">
            <v>1964</v>
          </cell>
          <cell r="AC143">
            <v>230</v>
          </cell>
          <cell r="AD143">
            <v>3400</v>
          </cell>
          <cell r="AE143">
            <v>3387</v>
          </cell>
          <cell r="AF143">
            <v>13</v>
          </cell>
          <cell r="AG143">
            <v>112234</v>
          </cell>
          <cell r="AH143">
            <v>25848</v>
          </cell>
          <cell r="AI143">
            <v>25743</v>
          </cell>
          <cell r="AJ143">
            <v>105</v>
          </cell>
          <cell r="AK143">
            <v>70316</v>
          </cell>
          <cell r="AL143">
            <v>66616</v>
          </cell>
          <cell r="AM143">
            <v>3700</v>
          </cell>
          <cell r="AN143">
            <v>985</v>
          </cell>
          <cell r="AO143">
            <v>411</v>
          </cell>
          <cell r="AP143">
            <v>574</v>
          </cell>
          <cell r="AQ143">
            <v>3264</v>
          </cell>
          <cell r="AR143">
            <v>1585</v>
          </cell>
          <cell r="AS143">
            <v>70</v>
          </cell>
          <cell r="AT143">
            <v>1609</v>
          </cell>
          <cell r="AU143">
            <v>0</v>
          </cell>
          <cell r="AV143">
            <v>11821</v>
          </cell>
          <cell r="AW143">
            <v>6311</v>
          </cell>
          <cell r="AX143">
            <v>5051</v>
          </cell>
          <cell r="AY143">
            <v>365</v>
          </cell>
          <cell r="AZ143">
            <v>94</v>
          </cell>
          <cell r="BA143">
            <v>0</v>
          </cell>
          <cell r="BB143">
            <v>19492</v>
          </cell>
          <cell r="BC143">
            <v>7062</v>
          </cell>
          <cell r="BD143">
            <v>5759</v>
          </cell>
          <cell r="BE143">
            <v>1269</v>
          </cell>
          <cell r="BF143">
            <v>34</v>
          </cell>
          <cell r="BG143">
            <v>1814</v>
          </cell>
          <cell r="BH143">
            <v>3222</v>
          </cell>
          <cell r="BI143">
            <v>2608</v>
          </cell>
          <cell r="BJ143">
            <v>479</v>
          </cell>
          <cell r="BK143">
            <v>135</v>
          </cell>
          <cell r="BL143">
            <v>2146</v>
          </cell>
          <cell r="BM143">
            <v>2106</v>
          </cell>
          <cell r="BN143">
            <v>300</v>
          </cell>
          <cell r="BO143">
            <v>1806</v>
          </cell>
          <cell r="BP143">
            <v>3142</v>
          </cell>
          <cell r="BQ143">
            <v>2047</v>
          </cell>
          <cell r="BR143">
            <v>1095</v>
          </cell>
          <cell r="BS143">
            <v>8993</v>
          </cell>
          <cell r="BT143">
            <v>3262</v>
          </cell>
          <cell r="BU143">
            <v>2239</v>
          </cell>
          <cell r="BV143">
            <v>134</v>
          </cell>
          <cell r="BW143">
            <v>889</v>
          </cell>
          <cell r="BX143">
            <v>2633</v>
          </cell>
          <cell r="BY143">
            <v>915</v>
          </cell>
          <cell r="BZ143">
            <v>1362</v>
          </cell>
          <cell r="CA143">
            <v>356</v>
          </cell>
          <cell r="CB143">
            <v>3098</v>
          </cell>
          <cell r="CC143">
            <v>52545</v>
          </cell>
          <cell r="CD143">
            <v>14340</v>
          </cell>
          <cell r="CE143">
            <v>13519</v>
          </cell>
          <cell r="CF143">
            <v>327</v>
          </cell>
          <cell r="CG143">
            <v>494</v>
          </cell>
          <cell r="CH143">
            <v>19153</v>
          </cell>
          <cell r="CI143">
            <v>1420</v>
          </cell>
          <cell r="CJ143">
            <v>9517</v>
          </cell>
          <cell r="CK143">
            <v>4705</v>
          </cell>
          <cell r="CL143">
            <v>3511</v>
          </cell>
          <cell r="CM143">
            <v>19052</v>
          </cell>
          <cell r="CN143">
            <v>3249</v>
          </cell>
          <cell r="CO143">
            <v>2015</v>
          </cell>
          <cell r="CP143">
            <v>9528</v>
          </cell>
          <cell r="CQ143">
            <v>3048</v>
          </cell>
          <cell r="CR143">
            <v>1212</v>
          </cell>
          <cell r="CS143">
            <v>8050</v>
          </cell>
          <cell r="CT143">
            <v>337</v>
          </cell>
          <cell r="CU143">
            <v>1653</v>
          </cell>
          <cell r="CV143">
            <v>6060</v>
          </cell>
          <cell r="CW143">
            <v>39390</v>
          </cell>
          <cell r="CX143">
            <v>5481</v>
          </cell>
          <cell r="CY143">
            <v>1197</v>
          </cell>
          <cell r="CZ143">
            <v>332</v>
          </cell>
          <cell r="DA143">
            <v>2210</v>
          </cell>
          <cell r="DB143">
            <v>1704</v>
          </cell>
          <cell r="DC143">
            <v>38</v>
          </cell>
          <cell r="DD143">
            <v>2688</v>
          </cell>
          <cell r="DE143">
            <v>1654</v>
          </cell>
          <cell r="DF143">
            <v>178</v>
          </cell>
          <cell r="DG143">
            <v>856</v>
          </cell>
          <cell r="DH143">
            <v>12519</v>
          </cell>
          <cell r="DI143">
            <v>3239</v>
          </cell>
          <cell r="DJ143">
            <v>2889</v>
          </cell>
          <cell r="DK143">
            <v>1808</v>
          </cell>
          <cell r="DL143">
            <v>2995</v>
          </cell>
          <cell r="DM143">
            <v>1588</v>
          </cell>
          <cell r="DN143">
            <v>15054</v>
          </cell>
          <cell r="DO143">
            <v>4535</v>
          </cell>
          <cell r="DP143">
            <v>8028</v>
          </cell>
          <cell r="DQ143">
            <v>2491</v>
          </cell>
          <cell r="DR143">
            <v>3648</v>
          </cell>
          <cell r="DS143">
            <v>978</v>
          </cell>
          <cell r="DT143">
            <v>869</v>
          </cell>
          <cell r="DU143">
            <v>860</v>
          </cell>
          <cell r="DV143">
            <v>941</v>
          </cell>
          <cell r="DW143">
            <v>0</v>
          </cell>
          <cell r="DX143">
            <v>10273</v>
          </cell>
          <cell r="DY143">
            <v>45336</v>
          </cell>
          <cell r="DZ143">
            <v>35779</v>
          </cell>
          <cell r="EA143">
            <v>34814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965</v>
          </cell>
          <cell r="EG143">
            <v>9557</v>
          </cell>
          <cell r="EH143">
            <v>55360</v>
          </cell>
          <cell r="EI143">
            <v>10482</v>
          </cell>
          <cell r="EJ143">
            <v>2570</v>
          </cell>
          <cell r="EK143">
            <v>365</v>
          </cell>
          <cell r="EL143">
            <v>7547</v>
          </cell>
          <cell r="EM143">
            <v>1611</v>
          </cell>
          <cell r="EN143">
            <v>3996</v>
          </cell>
          <cell r="EO143">
            <v>2713</v>
          </cell>
          <cell r="EP143">
            <v>1283</v>
          </cell>
          <cell r="EQ143">
            <v>5422</v>
          </cell>
          <cell r="ER143">
            <v>4813</v>
          </cell>
          <cell r="ES143">
            <v>2337</v>
          </cell>
          <cell r="ET143">
            <v>534</v>
          </cell>
          <cell r="EU143">
            <v>762</v>
          </cell>
          <cell r="EV143">
            <v>622</v>
          </cell>
          <cell r="EW143">
            <v>558</v>
          </cell>
          <cell r="EX143">
            <v>23764</v>
          </cell>
          <cell r="EY143">
            <v>14200</v>
          </cell>
          <cell r="EZ143">
            <v>9564</v>
          </cell>
          <cell r="FA143">
            <v>5272</v>
          </cell>
          <cell r="FB143">
            <v>428165</v>
          </cell>
          <cell r="FC143">
            <v>0</v>
          </cell>
          <cell r="FD143">
            <v>35102</v>
          </cell>
          <cell r="FE143">
            <v>9936</v>
          </cell>
          <cell r="FF143">
            <v>889</v>
          </cell>
          <cell r="FG143">
            <v>14340</v>
          </cell>
          <cell r="FH143">
            <v>1653</v>
          </cell>
          <cell r="FI143">
            <v>5571</v>
          </cell>
          <cell r="FJ143">
            <v>2713</v>
          </cell>
          <cell r="FK143">
            <v>165130</v>
          </cell>
          <cell r="FL143">
            <v>36451</v>
          </cell>
          <cell r="FM143">
            <v>12691</v>
          </cell>
          <cell r="FN143">
            <v>19989</v>
          </cell>
          <cell r="FO143">
            <v>13817</v>
          </cell>
          <cell r="FP143">
            <v>18228</v>
          </cell>
          <cell r="FQ143">
            <v>3262</v>
          </cell>
          <cell r="FR143">
            <v>25277</v>
          </cell>
          <cell r="FS143">
            <v>1653</v>
          </cell>
          <cell r="FT143">
            <v>21854</v>
          </cell>
          <cell r="FU143">
            <v>11908</v>
          </cell>
          <cell r="FV143">
            <v>91916</v>
          </cell>
          <cell r="FW143">
            <v>36451</v>
          </cell>
          <cell r="FX143">
            <v>12691</v>
          </cell>
          <cell r="FY143">
            <v>13817</v>
          </cell>
          <cell r="FZ143">
            <v>2047</v>
          </cell>
          <cell r="GA143">
            <v>2373</v>
          </cell>
          <cell r="GB143">
            <v>9517</v>
          </cell>
          <cell r="GC143">
            <v>7473</v>
          </cell>
          <cell r="GD143">
            <v>7547</v>
          </cell>
          <cell r="GE143">
            <v>7118</v>
          </cell>
          <cell r="GF143">
            <v>-15601</v>
          </cell>
          <cell r="GG143">
            <v>22719</v>
          </cell>
          <cell r="GH143">
            <v>255917</v>
          </cell>
          <cell r="GI143">
            <v>243</v>
          </cell>
          <cell r="GJ143">
            <v>98417</v>
          </cell>
          <cell r="GK143">
            <v>1264</v>
          </cell>
          <cell r="GL143">
            <v>5731</v>
          </cell>
          <cell r="GM143">
            <v>27268</v>
          </cell>
          <cell r="GN143">
            <v>6397</v>
          </cell>
          <cell r="GO143">
            <v>17536</v>
          </cell>
          <cell r="GP143">
            <v>10273</v>
          </cell>
          <cell r="GQ143">
            <v>45336</v>
          </cell>
          <cell r="GR143">
            <v>43452</v>
          </cell>
          <cell r="GS143">
            <v>38112</v>
          </cell>
          <cell r="GT143">
            <v>19989</v>
          </cell>
          <cell r="GU143">
            <v>6245</v>
          </cell>
          <cell r="GV143">
            <v>1420</v>
          </cell>
          <cell r="GW143">
            <v>8810</v>
          </cell>
          <cell r="GX143">
            <v>1648</v>
          </cell>
        </row>
        <row r="144">
          <cell r="A144" t="str">
            <v>2024 Q4</v>
          </cell>
          <cell r="B144" t="e">
            <v>#N/A</v>
          </cell>
          <cell r="C144" t="e">
            <v>#N/A</v>
          </cell>
          <cell r="D144" t="e">
            <v>#N/A</v>
          </cell>
          <cell r="E144" t="e">
            <v>#N/A</v>
          </cell>
          <cell r="F144" t="e">
            <v>#N/A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  <cell r="N144" t="e">
            <v>#N/A</v>
          </cell>
          <cell r="O144" t="e">
            <v>#N/A</v>
          </cell>
          <cell r="P144" t="e">
            <v>#N/A</v>
          </cell>
          <cell r="Q144" t="e">
            <v>#N/A</v>
          </cell>
          <cell r="R144" t="e">
            <v>#N/A</v>
          </cell>
          <cell r="S144" t="e">
            <v>#N/A</v>
          </cell>
          <cell r="T144" t="e">
            <v>#N/A</v>
          </cell>
          <cell r="U144" t="e">
            <v>#N/A</v>
          </cell>
          <cell r="V144" t="e">
            <v>#N/A</v>
          </cell>
          <cell r="W144" t="e">
            <v>#N/A</v>
          </cell>
          <cell r="X144" t="e">
            <v>#N/A</v>
          </cell>
          <cell r="Y144" t="e">
            <v>#N/A</v>
          </cell>
          <cell r="Z144" t="e">
            <v>#N/A</v>
          </cell>
          <cell r="AA144" t="e">
            <v>#N/A</v>
          </cell>
          <cell r="AB144" t="e">
            <v>#N/A</v>
          </cell>
          <cell r="AC144" t="e">
            <v>#N/A</v>
          </cell>
          <cell r="AD144" t="e">
            <v>#N/A</v>
          </cell>
          <cell r="AE144" t="e">
            <v>#N/A</v>
          </cell>
          <cell r="AF144" t="e">
            <v>#N/A</v>
          </cell>
          <cell r="AG144" t="e">
            <v>#N/A</v>
          </cell>
          <cell r="AH144" t="e">
            <v>#N/A</v>
          </cell>
          <cell r="AI144" t="e">
            <v>#N/A</v>
          </cell>
          <cell r="AJ144" t="e">
            <v>#N/A</v>
          </cell>
          <cell r="AK144" t="e">
            <v>#N/A</v>
          </cell>
          <cell r="AL144" t="e">
            <v>#N/A</v>
          </cell>
          <cell r="AM144" t="e">
            <v>#N/A</v>
          </cell>
          <cell r="AN144" t="e">
            <v>#N/A</v>
          </cell>
          <cell r="AO144" t="e">
            <v>#N/A</v>
          </cell>
          <cell r="AP144" t="e">
            <v>#N/A</v>
          </cell>
          <cell r="AQ144" t="e">
            <v>#N/A</v>
          </cell>
          <cell r="AR144" t="e">
            <v>#N/A</v>
          </cell>
          <cell r="AS144" t="e">
            <v>#N/A</v>
          </cell>
          <cell r="AT144" t="e">
            <v>#N/A</v>
          </cell>
          <cell r="AU144" t="e">
            <v>#N/A</v>
          </cell>
          <cell r="AV144" t="e">
            <v>#N/A</v>
          </cell>
          <cell r="AW144" t="e">
            <v>#N/A</v>
          </cell>
          <cell r="AX144" t="e">
            <v>#N/A</v>
          </cell>
          <cell r="AY144" t="e">
            <v>#N/A</v>
          </cell>
          <cell r="AZ144" t="e">
            <v>#N/A</v>
          </cell>
          <cell r="BA144" t="e">
            <v>#N/A</v>
          </cell>
          <cell r="BB144" t="e">
            <v>#N/A</v>
          </cell>
          <cell r="BC144" t="e">
            <v>#N/A</v>
          </cell>
          <cell r="BD144" t="e">
            <v>#N/A</v>
          </cell>
          <cell r="BE144" t="e">
            <v>#N/A</v>
          </cell>
          <cell r="BF144" t="e">
            <v>#N/A</v>
          </cell>
          <cell r="BG144" t="e">
            <v>#N/A</v>
          </cell>
          <cell r="BH144" t="e">
            <v>#N/A</v>
          </cell>
          <cell r="BI144" t="e">
            <v>#N/A</v>
          </cell>
          <cell r="BJ144" t="e">
            <v>#N/A</v>
          </cell>
          <cell r="BK144" t="e">
            <v>#N/A</v>
          </cell>
          <cell r="BL144" t="e">
            <v>#N/A</v>
          </cell>
          <cell r="BM144" t="e">
            <v>#N/A</v>
          </cell>
          <cell r="BN144" t="e">
            <v>#N/A</v>
          </cell>
          <cell r="BO144" t="e">
            <v>#N/A</v>
          </cell>
          <cell r="BP144" t="e">
            <v>#N/A</v>
          </cell>
          <cell r="BQ144" t="e">
            <v>#N/A</v>
          </cell>
          <cell r="BR144" t="e">
            <v>#N/A</v>
          </cell>
          <cell r="BS144" t="e">
            <v>#N/A</v>
          </cell>
          <cell r="BT144" t="e">
            <v>#N/A</v>
          </cell>
          <cell r="BU144" t="e">
            <v>#N/A</v>
          </cell>
          <cell r="BV144" t="e">
            <v>#N/A</v>
          </cell>
          <cell r="BW144" t="e">
            <v>#N/A</v>
          </cell>
          <cell r="BX144" t="e">
            <v>#N/A</v>
          </cell>
          <cell r="BY144" t="e">
            <v>#N/A</v>
          </cell>
          <cell r="BZ144" t="e">
            <v>#N/A</v>
          </cell>
          <cell r="CA144" t="e">
            <v>#N/A</v>
          </cell>
          <cell r="CB144" t="e">
            <v>#N/A</v>
          </cell>
          <cell r="CC144" t="e">
            <v>#N/A</v>
          </cell>
          <cell r="CD144" t="e">
            <v>#N/A</v>
          </cell>
          <cell r="CE144" t="e">
            <v>#N/A</v>
          </cell>
          <cell r="CF144" t="e">
            <v>#N/A</v>
          </cell>
          <cell r="CG144" t="e">
            <v>#N/A</v>
          </cell>
          <cell r="CH144" t="e">
            <v>#N/A</v>
          </cell>
          <cell r="CI144" t="e">
            <v>#N/A</v>
          </cell>
          <cell r="CJ144" t="e">
            <v>#N/A</v>
          </cell>
          <cell r="CK144" t="e">
            <v>#N/A</v>
          </cell>
          <cell r="CL144" t="e">
            <v>#N/A</v>
          </cell>
          <cell r="CM144" t="e">
            <v>#N/A</v>
          </cell>
          <cell r="CN144" t="e">
            <v>#N/A</v>
          </cell>
          <cell r="CO144" t="e">
            <v>#N/A</v>
          </cell>
          <cell r="CP144" t="e">
            <v>#N/A</v>
          </cell>
          <cell r="CQ144" t="e">
            <v>#N/A</v>
          </cell>
          <cell r="CR144" t="e">
            <v>#N/A</v>
          </cell>
          <cell r="CS144" t="e">
            <v>#N/A</v>
          </cell>
          <cell r="CT144" t="e">
            <v>#N/A</v>
          </cell>
          <cell r="CU144" t="e">
            <v>#N/A</v>
          </cell>
          <cell r="CV144" t="e">
            <v>#N/A</v>
          </cell>
          <cell r="CW144" t="e">
            <v>#N/A</v>
          </cell>
          <cell r="CX144" t="e">
            <v>#N/A</v>
          </cell>
          <cell r="CY144" t="e">
            <v>#N/A</v>
          </cell>
          <cell r="CZ144" t="e">
            <v>#N/A</v>
          </cell>
          <cell r="DA144" t="e">
            <v>#N/A</v>
          </cell>
          <cell r="DB144" t="e">
            <v>#N/A</v>
          </cell>
          <cell r="DC144" t="e">
            <v>#N/A</v>
          </cell>
          <cell r="DD144" t="e">
            <v>#N/A</v>
          </cell>
          <cell r="DE144" t="e">
            <v>#N/A</v>
          </cell>
          <cell r="DF144" t="e">
            <v>#N/A</v>
          </cell>
          <cell r="DG144" t="e">
            <v>#N/A</v>
          </cell>
          <cell r="DH144" t="e">
            <v>#N/A</v>
          </cell>
          <cell r="DI144" t="e">
            <v>#N/A</v>
          </cell>
          <cell r="DJ144" t="e">
            <v>#N/A</v>
          </cell>
          <cell r="DK144" t="e">
            <v>#N/A</v>
          </cell>
          <cell r="DL144" t="e">
            <v>#N/A</v>
          </cell>
          <cell r="DM144" t="e">
            <v>#N/A</v>
          </cell>
          <cell r="DN144" t="e">
            <v>#N/A</v>
          </cell>
          <cell r="DO144" t="e">
            <v>#N/A</v>
          </cell>
          <cell r="DP144" t="e">
            <v>#N/A</v>
          </cell>
          <cell r="DQ144" t="e">
            <v>#N/A</v>
          </cell>
          <cell r="DR144" t="e">
            <v>#N/A</v>
          </cell>
          <cell r="DS144" t="e">
            <v>#N/A</v>
          </cell>
          <cell r="DT144" t="e">
            <v>#N/A</v>
          </cell>
          <cell r="DU144" t="e">
            <v>#N/A</v>
          </cell>
          <cell r="DV144" t="e">
            <v>#N/A</v>
          </cell>
          <cell r="DW144" t="e">
            <v>#N/A</v>
          </cell>
          <cell r="DX144" t="e">
            <v>#N/A</v>
          </cell>
          <cell r="DY144" t="e">
            <v>#N/A</v>
          </cell>
          <cell r="DZ144" t="e">
            <v>#N/A</v>
          </cell>
          <cell r="EA144" t="e">
            <v>#N/A</v>
          </cell>
          <cell r="EB144" t="e">
            <v>#N/A</v>
          </cell>
          <cell r="EC144" t="e">
            <v>#N/A</v>
          </cell>
          <cell r="ED144" t="e">
            <v>#N/A</v>
          </cell>
          <cell r="EE144" t="e">
            <v>#N/A</v>
          </cell>
          <cell r="EF144" t="e">
            <v>#N/A</v>
          </cell>
          <cell r="EG144" t="e">
            <v>#N/A</v>
          </cell>
          <cell r="EH144" t="e">
            <v>#N/A</v>
          </cell>
          <cell r="EI144" t="e">
            <v>#N/A</v>
          </cell>
          <cell r="EJ144" t="e">
            <v>#N/A</v>
          </cell>
          <cell r="EK144" t="e">
            <v>#N/A</v>
          </cell>
          <cell r="EL144" t="e">
            <v>#N/A</v>
          </cell>
          <cell r="EM144" t="e">
            <v>#N/A</v>
          </cell>
          <cell r="EN144" t="e">
            <v>#N/A</v>
          </cell>
          <cell r="EO144" t="e">
            <v>#N/A</v>
          </cell>
          <cell r="EP144" t="e">
            <v>#N/A</v>
          </cell>
          <cell r="EQ144" t="e">
            <v>#N/A</v>
          </cell>
          <cell r="ER144" t="e">
            <v>#N/A</v>
          </cell>
          <cell r="ES144" t="e">
            <v>#N/A</v>
          </cell>
          <cell r="ET144" t="e">
            <v>#N/A</v>
          </cell>
          <cell r="EU144" t="e">
            <v>#N/A</v>
          </cell>
          <cell r="EV144" t="e">
            <v>#N/A</v>
          </cell>
          <cell r="EW144" t="e">
            <v>#N/A</v>
          </cell>
          <cell r="EX144" t="e">
            <v>#N/A</v>
          </cell>
          <cell r="EY144" t="e">
            <v>#N/A</v>
          </cell>
          <cell r="EZ144" t="e">
            <v>#N/A</v>
          </cell>
          <cell r="FA144" t="e">
            <v>#N/A</v>
          </cell>
          <cell r="FB144" t="e">
            <v>#N/A</v>
          </cell>
          <cell r="FC144" t="e">
            <v>#N/A</v>
          </cell>
          <cell r="FD144" t="e">
            <v>#N/A</v>
          </cell>
          <cell r="FE144" t="e">
            <v>#N/A</v>
          </cell>
          <cell r="FF144" t="e">
            <v>#N/A</v>
          </cell>
          <cell r="FG144" t="e">
            <v>#N/A</v>
          </cell>
          <cell r="FH144" t="e">
            <v>#N/A</v>
          </cell>
          <cell r="FI144" t="e">
            <v>#N/A</v>
          </cell>
          <cell r="FJ144" t="e">
            <v>#N/A</v>
          </cell>
          <cell r="FK144" t="e">
            <v>#N/A</v>
          </cell>
          <cell r="FL144" t="e">
            <v>#N/A</v>
          </cell>
          <cell r="FM144" t="e">
            <v>#N/A</v>
          </cell>
          <cell r="FN144" t="e">
            <v>#N/A</v>
          </cell>
          <cell r="FO144" t="e">
            <v>#N/A</v>
          </cell>
          <cell r="FP144" t="e">
            <v>#N/A</v>
          </cell>
          <cell r="FQ144" t="e">
            <v>#N/A</v>
          </cell>
          <cell r="FR144" t="e">
            <v>#N/A</v>
          </cell>
          <cell r="FS144" t="e">
            <v>#N/A</v>
          </cell>
          <cell r="FT144" t="e">
            <v>#N/A</v>
          </cell>
          <cell r="FU144" t="e">
            <v>#N/A</v>
          </cell>
          <cell r="FV144" t="e">
            <v>#N/A</v>
          </cell>
          <cell r="FW144" t="e">
            <v>#N/A</v>
          </cell>
          <cell r="FX144" t="e">
            <v>#N/A</v>
          </cell>
          <cell r="FY144" t="e">
            <v>#N/A</v>
          </cell>
          <cell r="FZ144" t="e">
            <v>#N/A</v>
          </cell>
          <cell r="GA144" t="e">
            <v>#N/A</v>
          </cell>
          <cell r="GB144" t="e">
            <v>#N/A</v>
          </cell>
          <cell r="GC144" t="e">
            <v>#N/A</v>
          </cell>
          <cell r="GD144" t="e">
            <v>#N/A</v>
          </cell>
          <cell r="GE144" t="e">
            <v>#N/A</v>
          </cell>
          <cell r="GF144" t="e">
            <v>#N/A</v>
          </cell>
          <cell r="GG144" t="e">
            <v>#N/A</v>
          </cell>
          <cell r="GH144" t="e">
            <v>#N/A</v>
          </cell>
          <cell r="GI144" t="e">
            <v>#N/A</v>
          </cell>
          <cell r="GJ144" t="e">
            <v>#N/A</v>
          </cell>
          <cell r="GK144" t="e">
            <v>#N/A</v>
          </cell>
          <cell r="GL144" t="e">
            <v>#N/A</v>
          </cell>
          <cell r="GM144" t="e">
            <v>#N/A</v>
          </cell>
          <cell r="GN144" t="e">
            <v>#N/A</v>
          </cell>
          <cell r="GO144" t="e">
            <v>#N/A</v>
          </cell>
          <cell r="GP144" t="e">
            <v>#N/A</v>
          </cell>
          <cell r="GQ144" t="e">
            <v>#N/A</v>
          </cell>
          <cell r="GR144" t="e">
            <v>#N/A</v>
          </cell>
          <cell r="GS144" t="e">
            <v>#N/A</v>
          </cell>
          <cell r="GT144" t="e">
            <v>#N/A</v>
          </cell>
          <cell r="GU144" t="e">
            <v>#N/A</v>
          </cell>
          <cell r="GV144" t="e">
            <v>#N/A</v>
          </cell>
          <cell r="GW144" t="e">
            <v>#N/A</v>
          </cell>
          <cell r="GX144" t="e">
            <v>#N/A</v>
          </cell>
        </row>
        <row r="145">
          <cell r="A145" t="str">
            <v>2025 Q1</v>
          </cell>
          <cell r="B145" t="e">
            <v>#N/A</v>
          </cell>
          <cell r="C145" t="e">
            <v>#N/A</v>
          </cell>
          <cell r="D145" t="e">
            <v>#N/A</v>
          </cell>
          <cell r="E145" t="e">
            <v>#N/A</v>
          </cell>
          <cell r="F145" t="e">
            <v>#N/A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  <cell r="N145" t="e">
            <v>#N/A</v>
          </cell>
          <cell r="O145" t="e">
            <v>#N/A</v>
          </cell>
          <cell r="P145" t="e">
            <v>#N/A</v>
          </cell>
          <cell r="Q145" t="e">
            <v>#N/A</v>
          </cell>
          <cell r="R145" t="e">
            <v>#N/A</v>
          </cell>
          <cell r="S145" t="e">
            <v>#N/A</v>
          </cell>
          <cell r="T145" t="e">
            <v>#N/A</v>
          </cell>
          <cell r="U145" t="e">
            <v>#N/A</v>
          </cell>
          <cell r="V145" t="e">
            <v>#N/A</v>
          </cell>
          <cell r="W145" t="e">
            <v>#N/A</v>
          </cell>
          <cell r="X145" t="e">
            <v>#N/A</v>
          </cell>
          <cell r="Y145" t="e">
            <v>#N/A</v>
          </cell>
          <cell r="Z145" t="e">
            <v>#N/A</v>
          </cell>
          <cell r="AA145" t="e">
            <v>#N/A</v>
          </cell>
          <cell r="AB145" t="e">
            <v>#N/A</v>
          </cell>
          <cell r="AC145" t="e">
            <v>#N/A</v>
          </cell>
          <cell r="AD145" t="e">
            <v>#N/A</v>
          </cell>
          <cell r="AE145" t="e">
            <v>#N/A</v>
          </cell>
          <cell r="AF145" t="e">
            <v>#N/A</v>
          </cell>
          <cell r="AG145" t="e">
            <v>#N/A</v>
          </cell>
          <cell r="AH145" t="e">
            <v>#N/A</v>
          </cell>
          <cell r="AI145" t="e">
            <v>#N/A</v>
          </cell>
          <cell r="AJ145" t="e">
            <v>#N/A</v>
          </cell>
          <cell r="AK145" t="e">
            <v>#N/A</v>
          </cell>
          <cell r="AL145" t="e">
            <v>#N/A</v>
          </cell>
          <cell r="AM145" t="e">
            <v>#N/A</v>
          </cell>
          <cell r="AN145" t="e">
            <v>#N/A</v>
          </cell>
          <cell r="AO145" t="e">
            <v>#N/A</v>
          </cell>
          <cell r="AP145" t="e">
            <v>#N/A</v>
          </cell>
          <cell r="AQ145" t="e">
            <v>#N/A</v>
          </cell>
          <cell r="AR145" t="e">
            <v>#N/A</v>
          </cell>
          <cell r="AS145" t="e">
            <v>#N/A</v>
          </cell>
          <cell r="AT145" t="e">
            <v>#N/A</v>
          </cell>
          <cell r="AU145" t="e">
            <v>#N/A</v>
          </cell>
          <cell r="AV145" t="e">
            <v>#N/A</v>
          </cell>
          <cell r="AW145" t="e">
            <v>#N/A</v>
          </cell>
          <cell r="AX145" t="e">
            <v>#N/A</v>
          </cell>
          <cell r="AY145" t="e">
            <v>#N/A</v>
          </cell>
          <cell r="AZ145" t="e">
            <v>#N/A</v>
          </cell>
          <cell r="BA145" t="e">
            <v>#N/A</v>
          </cell>
          <cell r="BB145" t="e">
            <v>#N/A</v>
          </cell>
          <cell r="BC145" t="e">
            <v>#N/A</v>
          </cell>
          <cell r="BD145" t="e">
            <v>#N/A</v>
          </cell>
          <cell r="BE145" t="e">
            <v>#N/A</v>
          </cell>
          <cell r="BF145" t="e">
            <v>#N/A</v>
          </cell>
          <cell r="BG145" t="e">
            <v>#N/A</v>
          </cell>
          <cell r="BH145" t="e">
            <v>#N/A</v>
          </cell>
          <cell r="BI145" t="e">
            <v>#N/A</v>
          </cell>
          <cell r="BJ145" t="e">
            <v>#N/A</v>
          </cell>
          <cell r="BK145" t="e">
            <v>#N/A</v>
          </cell>
          <cell r="BL145" t="e">
            <v>#N/A</v>
          </cell>
          <cell r="BM145" t="e">
            <v>#N/A</v>
          </cell>
          <cell r="BN145" t="e">
            <v>#N/A</v>
          </cell>
          <cell r="BO145" t="e">
            <v>#N/A</v>
          </cell>
          <cell r="BP145" t="e">
            <v>#N/A</v>
          </cell>
          <cell r="BQ145" t="e">
            <v>#N/A</v>
          </cell>
          <cell r="BR145" t="e">
            <v>#N/A</v>
          </cell>
          <cell r="BS145" t="e">
            <v>#N/A</v>
          </cell>
          <cell r="BT145" t="e">
            <v>#N/A</v>
          </cell>
          <cell r="BU145" t="e">
            <v>#N/A</v>
          </cell>
          <cell r="BV145" t="e">
            <v>#N/A</v>
          </cell>
          <cell r="BW145" t="e">
            <v>#N/A</v>
          </cell>
          <cell r="BX145" t="e">
            <v>#N/A</v>
          </cell>
          <cell r="BY145" t="e">
            <v>#N/A</v>
          </cell>
          <cell r="BZ145" t="e">
            <v>#N/A</v>
          </cell>
          <cell r="CA145" t="e">
            <v>#N/A</v>
          </cell>
          <cell r="CB145" t="e">
            <v>#N/A</v>
          </cell>
          <cell r="CC145" t="e">
            <v>#N/A</v>
          </cell>
          <cell r="CD145" t="e">
            <v>#N/A</v>
          </cell>
          <cell r="CE145" t="e">
            <v>#N/A</v>
          </cell>
          <cell r="CF145" t="e">
            <v>#N/A</v>
          </cell>
          <cell r="CG145" t="e">
            <v>#N/A</v>
          </cell>
          <cell r="CH145" t="e">
            <v>#N/A</v>
          </cell>
          <cell r="CI145" t="e">
            <v>#N/A</v>
          </cell>
          <cell r="CJ145" t="e">
            <v>#N/A</v>
          </cell>
          <cell r="CK145" t="e">
            <v>#N/A</v>
          </cell>
          <cell r="CL145" t="e">
            <v>#N/A</v>
          </cell>
          <cell r="CM145" t="e">
            <v>#N/A</v>
          </cell>
          <cell r="CN145" t="e">
            <v>#N/A</v>
          </cell>
          <cell r="CO145" t="e">
            <v>#N/A</v>
          </cell>
          <cell r="CP145" t="e">
            <v>#N/A</v>
          </cell>
          <cell r="CQ145" t="e">
            <v>#N/A</v>
          </cell>
          <cell r="CR145" t="e">
            <v>#N/A</v>
          </cell>
          <cell r="CS145" t="e">
            <v>#N/A</v>
          </cell>
          <cell r="CT145" t="e">
            <v>#N/A</v>
          </cell>
          <cell r="CU145" t="e">
            <v>#N/A</v>
          </cell>
          <cell r="CV145" t="e">
            <v>#N/A</v>
          </cell>
          <cell r="CW145" t="e">
            <v>#N/A</v>
          </cell>
          <cell r="CX145" t="e">
            <v>#N/A</v>
          </cell>
          <cell r="CY145" t="e">
            <v>#N/A</v>
          </cell>
          <cell r="CZ145" t="e">
            <v>#N/A</v>
          </cell>
          <cell r="DA145" t="e">
            <v>#N/A</v>
          </cell>
          <cell r="DB145" t="e">
            <v>#N/A</v>
          </cell>
          <cell r="DC145" t="e">
            <v>#N/A</v>
          </cell>
          <cell r="DD145" t="e">
            <v>#N/A</v>
          </cell>
          <cell r="DE145" t="e">
            <v>#N/A</v>
          </cell>
          <cell r="DF145" t="e">
            <v>#N/A</v>
          </cell>
          <cell r="DG145" t="e">
            <v>#N/A</v>
          </cell>
          <cell r="DH145" t="e">
            <v>#N/A</v>
          </cell>
          <cell r="DI145" t="e">
            <v>#N/A</v>
          </cell>
          <cell r="DJ145" t="e">
            <v>#N/A</v>
          </cell>
          <cell r="DK145" t="e">
            <v>#N/A</v>
          </cell>
          <cell r="DL145" t="e">
            <v>#N/A</v>
          </cell>
          <cell r="DM145" t="e">
            <v>#N/A</v>
          </cell>
          <cell r="DN145" t="e">
            <v>#N/A</v>
          </cell>
          <cell r="DO145" t="e">
            <v>#N/A</v>
          </cell>
          <cell r="DP145" t="e">
            <v>#N/A</v>
          </cell>
          <cell r="DQ145" t="e">
            <v>#N/A</v>
          </cell>
          <cell r="DR145" t="e">
            <v>#N/A</v>
          </cell>
          <cell r="DS145" t="e">
            <v>#N/A</v>
          </cell>
          <cell r="DT145" t="e">
            <v>#N/A</v>
          </cell>
          <cell r="DU145" t="e">
            <v>#N/A</v>
          </cell>
          <cell r="DV145" t="e">
            <v>#N/A</v>
          </cell>
          <cell r="DW145" t="e">
            <v>#N/A</v>
          </cell>
          <cell r="DX145" t="e">
            <v>#N/A</v>
          </cell>
          <cell r="DY145" t="e">
            <v>#N/A</v>
          </cell>
          <cell r="DZ145" t="e">
            <v>#N/A</v>
          </cell>
          <cell r="EA145" t="e">
            <v>#N/A</v>
          </cell>
          <cell r="EB145" t="e">
            <v>#N/A</v>
          </cell>
          <cell r="EC145" t="e">
            <v>#N/A</v>
          </cell>
          <cell r="ED145" t="e">
            <v>#N/A</v>
          </cell>
          <cell r="EE145" t="e">
            <v>#N/A</v>
          </cell>
          <cell r="EF145" t="e">
            <v>#N/A</v>
          </cell>
          <cell r="EG145" t="e">
            <v>#N/A</v>
          </cell>
          <cell r="EH145" t="e">
            <v>#N/A</v>
          </cell>
          <cell r="EI145" t="e">
            <v>#N/A</v>
          </cell>
          <cell r="EJ145" t="e">
            <v>#N/A</v>
          </cell>
          <cell r="EK145" t="e">
            <v>#N/A</v>
          </cell>
          <cell r="EL145" t="e">
            <v>#N/A</v>
          </cell>
          <cell r="EM145" t="e">
            <v>#N/A</v>
          </cell>
          <cell r="EN145" t="e">
            <v>#N/A</v>
          </cell>
          <cell r="EO145" t="e">
            <v>#N/A</v>
          </cell>
          <cell r="EP145" t="e">
            <v>#N/A</v>
          </cell>
          <cell r="EQ145" t="e">
            <v>#N/A</v>
          </cell>
          <cell r="ER145" t="e">
            <v>#N/A</v>
          </cell>
          <cell r="ES145" t="e">
            <v>#N/A</v>
          </cell>
          <cell r="ET145" t="e">
            <v>#N/A</v>
          </cell>
          <cell r="EU145" t="e">
            <v>#N/A</v>
          </cell>
          <cell r="EV145" t="e">
            <v>#N/A</v>
          </cell>
          <cell r="EW145" t="e">
            <v>#N/A</v>
          </cell>
          <cell r="EX145" t="e">
            <v>#N/A</v>
          </cell>
          <cell r="EY145" t="e">
            <v>#N/A</v>
          </cell>
          <cell r="EZ145" t="e">
            <v>#N/A</v>
          </cell>
          <cell r="FA145" t="e">
            <v>#N/A</v>
          </cell>
          <cell r="FB145" t="e">
            <v>#N/A</v>
          </cell>
          <cell r="FC145" t="e">
            <v>#N/A</v>
          </cell>
          <cell r="FD145" t="e">
            <v>#N/A</v>
          </cell>
          <cell r="FE145" t="e">
            <v>#N/A</v>
          </cell>
          <cell r="FF145" t="e">
            <v>#N/A</v>
          </cell>
          <cell r="FG145" t="e">
            <v>#N/A</v>
          </cell>
          <cell r="FH145" t="e">
            <v>#N/A</v>
          </cell>
          <cell r="FI145" t="e">
            <v>#N/A</v>
          </cell>
          <cell r="FJ145" t="e">
            <v>#N/A</v>
          </cell>
          <cell r="FK145" t="e">
            <v>#N/A</v>
          </cell>
          <cell r="FL145" t="e">
            <v>#N/A</v>
          </cell>
          <cell r="FM145" t="e">
            <v>#N/A</v>
          </cell>
          <cell r="FN145" t="e">
            <v>#N/A</v>
          </cell>
          <cell r="FO145" t="e">
            <v>#N/A</v>
          </cell>
          <cell r="FP145" t="e">
            <v>#N/A</v>
          </cell>
          <cell r="FQ145" t="e">
            <v>#N/A</v>
          </cell>
          <cell r="FR145" t="e">
            <v>#N/A</v>
          </cell>
          <cell r="FS145" t="e">
            <v>#N/A</v>
          </cell>
          <cell r="FT145" t="e">
            <v>#N/A</v>
          </cell>
          <cell r="FU145" t="e">
            <v>#N/A</v>
          </cell>
          <cell r="FV145" t="e">
            <v>#N/A</v>
          </cell>
          <cell r="FW145" t="e">
            <v>#N/A</v>
          </cell>
          <cell r="FX145" t="e">
            <v>#N/A</v>
          </cell>
          <cell r="FY145" t="e">
            <v>#N/A</v>
          </cell>
          <cell r="FZ145" t="e">
            <v>#N/A</v>
          </cell>
          <cell r="GA145" t="e">
            <v>#N/A</v>
          </cell>
          <cell r="GB145" t="e">
            <v>#N/A</v>
          </cell>
          <cell r="GC145" t="e">
            <v>#N/A</v>
          </cell>
          <cell r="GD145" t="e">
            <v>#N/A</v>
          </cell>
          <cell r="GE145" t="e">
            <v>#N/A</v>
          </cell>
          <cell r="GF145" t="e">
            <v>#N/A</v>
          </cell>
          <cell r="GG145" t="e">
            <v>#N/A</v>
          </cell>
          <cell r="GH145" t="e">
            <v>#N/A</v>
          </cell>
          <cell r="GI145" t="e">
            <v>#N/A</v>
          </cell>
          <cell r="GJ145" t="e">
            <v>#N/A</v>
          </cell>
          <cell r="GK145" t="e">
            <v>#N/A</v>
          </cell>
          <cell r="GL145" t="e">
            <v>#N/A</v>
          </cell>
          <cell r="GM145" t="e">
            <v>#N/A</v>
          </cell>
          <cell r="GN145" t="e">
            <v>#N/A</v>
          </cell>
          <cell r="GO145" t="e">
            <v>#N/A</v>
          </cell>
          <cell r="GP145" t="e">
            <v>#N/A</v>
          </cell>
          <cell r="GQ145" t="e">
            <v>#N/A</v>
          </cell>
          <cell r="GR145" t="e">
            <v>#N/A</v>
          </cell>
          <cell r="GS145" t="e">
            <v>#N/A</v>
          </cell>
          <cell r="GT145" t="e">
            <v>#N/A</v>
          </cell>
          <cell r="GU145" t="e">
            <v>#N/A</v>
          </cell>
          <cell r="GV145" t="e">
            <v>#N/A</v>
          </cell>
          <cell r="GW145" t="e">
            <v>#N/A</v>
          </cell>
          <cell r="GX145" t="e">
            <v>#N/A</v>
          </cell>
        </row>
        <row r="146">
          <cell r="A146" t="str">
            <v>2025 Q2</v>
          </cell>
          <cell r="B146" t="e">
            <v>#N/A</v>
          </cell>
          <cell r="C146" t="e">
            <v>#N/A</v>
          </cell>
          <cell r="D146" t="e">
            <v>#N/A</v>
          </cell>
          <cell r="E146" t="e">
            <v>#N/A</v>
          </cell>
          <cell r="F146" t="e">
            <v>#N/A</v>
          </cell>
          <cell r="G146" t="e">
            <v>#N/A</v>
          </cell>
          <cell r="H146" t="e">
            <v>#N/A</v>
          </cell>
          <cell r="I146" t="e">
            <v>#N/A</v>
          </cell>
          <cell r="J146" t="e">
            <v>#N/A</v>
          </cell>
          <cell r="K146" t="e">
            <v>#N/A</v>
          </cell>
          <cell r="L146" t="e">
            <v>#N/A</v>
          </cell>
          <cell r="M146" t="e">
            <v>#N/A</v>
          </cell>
          <cell r="N146" t="e">
            <v>#N/A</v>
          </cell>
          <cell r="O146" t="e">
            <v>#N/A</v>
          </cell>
          <cell r="P146" t="e">
            <v>#N/A</v>
          </cell>
          <cell r="Q146" t="e">
            <v>#N/A</v>
          </cell>
          <cell r="R146" t="e">
            <v>#N/A</v>
          </cell>
          <cell r="S146" t="e">
            <v>#N/A</v>
          </cell>
          <cell r="T146" t="e">
            <v>#N/A</v>
          </cell>
          <cell r="U146" t="e">
            <v>#N/A</v>
          </cell>
          <cell r="V146" t="e">
            <v>#N/A</v>
          </cell>
          <cell r="W146" t="e">
            <v>#N/A</v>
          </cell>
          <cell r="X146" t="e">
            <v>#N/A</v>
          </cell>
          <cell r="Y146" t="e">
            <v>#N/A</v>
          </cell>
          <cell r="Z146" t="e">
            <v>#N/A</v>
          </cell>
          <cell r="AA146" t="e">
            <v>#N/A</v>
          </cell>
          <cell r="AB146" t="e">
            <v>#N/A</v>
          </cell>
          <cell r="AC146" t="e">
            <v>#N/A</v>
          </cell>
          <cell r="AD146" t="e">
            <v>#N/A</v>
          </cell>
          <cell r="AE146" t="e">
            <v>#N/A</v>
          </cell>
          <cell r="AF146" t="e">
            <v>#N/A</v>
          </cell>
          <cell r="AG146" t="e">
            <v>#N/A</v>
          </cell>
          <cell r="AH146" t="e">
            <v>#N/A</v>
          </cell>
          <cell r="AI146" t="e">
            <v>#N/A</v>
          </cell>
          <cell r="AJ146" t="e">
            <v>#N/A</v>
          </cell>
          <cell r="AK146" t="e">
            <v>#N/A</v>
          </cell>
          <cell r="AL146" t="e">
            <v>#N/A</v>
          </cell>
          <cell r="AM146" t="e">
            <v>#N/A</v>
          </cell>
          <cell r="AN146" t="e">
            <v>#N/A</v>
          </cell>
          <cell r="AO146" t="e">
            <v>#N/A</v>
          </cell>
          <cell r="AP146" t="e">
            <v>#N/A</v>
          </cell>
          <cell r="AQ146" t="e">
            <v>#N/A</v>
          </cell>
          <cell r="AR146" t="e">
            <v>#N/A</v>
          </cell>
          <cell r="AS146" t="e">
            <v>#N/A</v>
          </cell>
          <cell r="AT146" t="e">
            <v>#N/A</v>
          </cell>
          <cell r="AU146" t="e">
            <v>#N/A</v>
          </cell>
          <cell r="AV146" t="e">
            <v>#N/A</v>
          </cell>
          <cell r="AW146" t="e">
            <v>#N/A</v>
          </cell>
          <cell r="AX146" t="e">
            <v>#N/A</v>
          </cell>
          <cell r="AY146" t="e">
            <v>#N/A</v>
          </cell>
          <cell r="AZ146" t="e">
            <v>#N/A</v>
          </cell>
          <cell r="BA146" t="e">
            <v>#N/A</v>
          </cell>
          <cell r="BB146" t="e">
            <v>#N/A</v>
          </cell>
          <cell r="BC146" t="e">
            <v>#N/A</v>
          </cell>
          <cell r="BD146" t="e">
            <v>#N/A</v>
          </cell>
          <cell r="BE146" t="e">
            <v>#N/A</v>
          </cell>
          <cell r="BF146" t="e">
            <v>#N/A</v>
          </cell>
          <cell r="BG146" t="e">
            <v>#N/A</v>
          </cell>
          <cell r="BH146" t="e">
            <v>#N/A</v>
          </cell>
          <cell r="BI146" t="e">
            <v>#N/A</v>
          </cell>
          <cell r="BJ146" t="e">
            <v>#N/A</v>
          </cell>
          <cell r="BK146" t="e">
            <v>#N/A</v>
          </cell>
          <cell r="BL146" t="e">
            <v>#N/A</v>
          </cell>
          <cell r="BM146" t="e">
            <v>#N/A</v>
          </cell>
          <cell r="BN146" t="e">
            <v>#N/A</v>
          </cell>
          <cell r="BO146" t="e">
            <v>#N/A</v>
          </cell>
          <cell r="BP146" t="e">
            <v>#N/A</v>
          </cell>
          <cell r="BQ146" t="e">
            <v>#N/A</v>
          </cell>
          <cell r="BR146" t="e">
            <v>#N/A</v>
          </cell>
          <cell r="BS146" t="e">
            <v>#N/A</v>
          </cell>
          <cell r="BT146" t="e">
            <v>#N/A</v>
          </cell>
          <cell r="BU146" t="e">
            <v>#N/A</v>
          </cell>
          <cell r="BV146" t="e">
            <v>#N/A</v>
          </cell>
          <cell r="BW146" t="e">
            <v>#N/A</v>
          </cell>
          <cell r="BX146" t="e">
            <v>#N/A</v>
          </cell>
          <cell r="BY146" t="e">
            <v>#N/A</v>
          </cell>
          <cell r="BZ146" t="e">
            <v>#N/A</v>
          </cell>
          <cell r="CA146" t="e">
            <v>#N/A</v>
          </cell>
          <cell r="CB146" t="e">
            <v>#N/A</v>
          </cell>
          <cell r="CC146" t="e">
            <v>#N/A</v>
          </cell>
          <cell r="CD146" t="e">
            <v>#N/A</v>
          </cell>
          <cell r="CE146" t="e">
            <v>#N/A</v>
          </cell>
          <cell r="CF146" t="e">
            <v>#N/A</v>
          </cell>
          <cell r="CG146" t="e">
            <v>#N/A</v>
          </cell>
          <cell r="CH146" t="e">
            <v>#N/A</v>
          </cell>
          <cell r="CI146" t="e">
            <v>#N/A</v>
          </cell>
          <cell r="CJ146" t="e">
            <v>#N/A</v>
          </cell>
          <cell r="CK146" t="e">
            <v>#N/A</v>
          </cell>
          <cell r="CL146" t="e">
            <v>#N/A</v>
          </cell>
          <cell r="CM146" t="e">
            <v>#N/A</v>
          </cell>
          <cell r="CN146" t="e">
            <v>#N/A</v>
          </cell>
          <cell r="CO146" t="e">
            <v>#N/A</v>
          </cell>
          <cell r="CP146" t="e">
            <v>#N/A</v>
          </cell>
          <cell r="CQ146" t="e">
            <v>#N/A</v>
          </cell>
          <cell r="CR146" t="e">
            <v>#N/A</v>
          </cell>
          <cell r="CS146" t="e">
            <v>#N/A</v>
          </cell>
          <cell r="CT146" t="e">
            <v>#N/A</v>
          </cell>
          <cell r="CU146" t="e">
            <v>#N/A</v>
          </cell>
          <cell r="CV146" t="e">
            <v>#N/A</v>
          </cell>
          <cell r="CW146" t="e">
            <v>#N/A</v>
          </cell>
          <cell r="CX146" t="e">
            <v>#N/A</v>
          </cell>
          <cell r="CY146" t="e">
            <v>#N/A</v>
          </cell>
          <cell r="CZ146" t="e">
            <v>#N/A</v>
          </cell>
          <cell r="DA146" t="e">
            <v>#N/A</v>
          </cell>
          <cell r="DB146" t="e">
            <v>#N/A</v>
          </cell>
          <cell r="DC146" t="e">
            <v>#N/A</v>
          </cell>
          <cell r="DD146" t="e">
            <v>#N/A</v>
          </cell>
          <cell r="DE146" t="e">
            <v>#N/A</v>
          </cell>
          <cell r="DF146" t="e">
            <v>#N/A</v>
          </cell>
          <cell r="DG146" t="e">
            <v>#N/A</v>
          </cell>
          <cell r="DH146" t="e">
            <v>#N/A</v>
          </cell>
          <cell r="DI146" t="e">
            <v>#N/A</v>
          </cell>
          <cell r="DJ146" t="e">
            <v>#N/A</v>
          </cell>
          <cell r="DK146" t="e">
            <v>#N/A</v>
          </cell>
          <cell r="DL146" t="e">
            <v>#N/A</v>
          </cell>
          <cell r="DM146" t="e">
            <v>#N/A</v>
          </cell>
          <cell r="DN146" t="e">
            <v>#N/A</v>
          </cell>
          <cell r="DO146" t="e">
            <v>#N/A</v>
          </cell>
          <cell r="DP146" t="e">
            <v>#N/A</v>
          </cell>
          <cell r="DQ146" t="e">
            <v>#N/A</v>
          </cell>
          <cell r="DR146" t="e">
            <v>#N/A</v>
          </cell>
          <cell r="DS146" t="e">
            <v>#N/A</v>
          </cell>
          <cell r="DT146" t="e">
            <v>#N/A</v>
          </cell>
          <cell r="DU146" t="e">
            <v>#N/A</v>
          </cell>
          <cell r="DV146" t="e">
            <v>#N/A</v>
          </cell>
          <cell r="DW146" t="e">
            <v>#N/A</v>
          </cell>
          <cell r="DX146" t="e">
            <v>#N/A</v>
          </cell>
          <cell r="DY146" t="e">
            <v>#N/A</v>
          </cell>
          <cell r="DZ146" t="e">
            <v>#N/A</v>
          </cell>
          <cell r="EA146" t="e">
            <v>#N/A</v>
          </cell>
          <cell r="EB146" t="e">
            <v>#N/A</v>
          </cell>
          <cell r="EC146" t="e">
            <v>#N/A</v>
          </cell>
          <cell r="ED146" t="e">
            <v>#N/A</v>
          </cell>
          <cell r="EE146" t="e">
            <v>#N/A</v>
          </cell>
          <cell r="EF146" t="e">
            <v>#N/A</v>
          </cell>
          <cell r="EG146" t="e">
            <v>#N/A</v>
          </cell>
          <cell r="EH146" t="e">
            <v>#N/A</v>
          </cell>
          <cell r="EI146" t="e">
            <v>#N/A</v>
          </cell>
          <cell r="EJ146" t="e">
            <v>#N/A</v>
          </cell>
          <cell r="EK146" t="e">
            <v>#N/A</v>
          </cell>
          <cell r="EL146" t="e">
            <v>#N/A</v>
          </cell>
          <cell r="EM146" t="e">
            <v>#N/A</v>
          </cell>
          <cell r="EN146" t="e">
            <v>#N/A</v>
          </cell>
          <cell r="EO146" t="e">
            <v>#N/A</v>
          </cell>
          <cell r="EP146" t="e">
            <v>#N/A</v>
          </cell>
          <cell r="EQ146" t="e">
            <v>#N/A</v>
          </cell>
          <cell r="ER146" t="e">
            <v>#N/A</v>
          </cell>
          <cell r="ES146" t="e">
            <v>#N/A</v>
          </cell>
          <cell r="ET146" t="e">
            <v>#N/A</v>
          </cell>
          <cell r="EU146" t="e">
            <v>#N/A</v>
          </cell>
          <cell r="EV146" t="e">
            <v>#N/A</v>
          </cell>
          <cell r="EW146" t="e">
            <v>#N/A</v>
          </cell>
          <cell r="EX146" t="e">
            <v>#N/A</v>
          </cell>
          <cell r="EY146" t="e">
            <v>#N/A</v>
          </cell>
          <cell r="EZ146" t="e">
            <v>#N/A</v>
          </cell>
          <cell r="FA146" t="e">
            <v>#N/A</v>
          </cell>
          <cell r="FB146" t="e">
            <v>#N/A</v>
          </cell>
          <cell r="FC146" t="e">
            <v>#N/A</v>
          </cell>
          <cell r="FD146" t="e">
            <v>#N/A</v>
          </cell>
          <cell r="FE146" t="e">
            <v>#N/A</v>
          </cell>
          <cell r="FF146" t="e">
            <v>#N/A</v>
          </cell>
          <cell r="FG146" t="e">
            <v>#N/A</v>
          </cell>
          <cell r="FH146" t="e">
            <v>#N/A</v>
          </cell>
          <cell r="FI146" t="e">
            <v>#N/A</v>
          </cell>
          <cell r="FJ146" t="e">
            <v>#N/A</v>
          </cell>
          <cell r="FK146" t="e">
            <v>#N/A</v>
          </cell>
          <cell r="FL146" t="e">
            <v>#N/A</v>
          </cell>
          <cell r="FM146" t="e">
            <v>#N/A</v>
          </cell>
          <cell r="FN146" t="e">
            <v>#N/A</v>
          </cell>
          <cell r="FO146" t="e">
            <v>#N/A</v>
          </cell>
          <cell r="FP146" t="e">
            <v>#N/A</v>
          </cell>
          <cell r="FQ146" t="e">
            <v>#N/A</v>
          </cell>
          <cell r="FR146" t="e">
            <v>#N/A</v>
          </cell>
          <cell r="FS146" t="e">
            <v>#N/A</v>
          </cell>
          <cell r="FT146" t="e">
            <v>#N/A</v>
          </cell>
          <cell r="FU146" t="e">
            <v>#N/A</v>
          </cell>
          <cell r="FV146" t="e">
            <v>#N/A</v>
          </cell>
          <cell r="FW146" t="e">
            <v>#N/A</v>
          </cell>
          <cell r="FX146" t="e">
            <v>#N/A</v>
          </cell>
          <cell r="FY146" t="e">
            <v>#N/A</v>
          </cell>
          <cell r="FZ146" t="e">
            <v>#N/A</v>
          </cell>
          <cell r="GA146" t="e">
            <v>#N/A</v>
          </cell>
          <cell r="GB146" t="e">
            <v>#N/A</v>
          </cell>
          <cell r="GC146" t="e">
            <v>#N/A</v>
          </cell>
          <cell r="GD146" t="e">
            <v>#N/A</v>
          </cell>
          <cell r="GE146" t="e">
            <v>#N/A</v>
          </cell>
          <cell r="GF146" t="e">
            <v>#N/A</v>
          </cell>
          <cell r="GG146" t="e">
            <v>#N/A</v>
          </cell>
          <cell r="GH146" t="e">
            <v>#N/A</v>
          </cell>
          <cell r="GI146" t="e">
            <v>#N/A</v>
          </cell>
          <cell r="GJ146" t="e">
            <v>#N/A</v>
          </cell>
          <cell r="GK146" t="e">
            <v>#N/A</v>
          </cell>
          <cell r="GL146" t="e">
            <v>#N/A</v>
          </cell>
          <cell r="GM146" t="e">
            <v>#N/A</v>
          </cell>
          <cell r="GN146" t="e">
            <v>#N/A</v>
          </cell>
          <cell r="GO146" t="e">
            <v>#N/A</v>
          </cell>
          <cell r="GP146" t="e">
            <v>#N/A</v>
          </cell>
          <cell r="GQ146" t="e">
            <v>#N/A</v>
          </cell>
          <cell r="GR146" t="e">
            <v>#N/A</v>
          </cell>
          <cell r="GS146" t="e">
            <v>#N/A</v>
          </cell>
          <cell r="GT146" t="e">
            <v>#N/A</v>
          </cell>
          <cell r="GU146" t="e">
            <v>#N/A</v>
          </cell>
          <cell r="GV146" t="e">
            <v>#N/A</v>
          </cell>
          <cell r="GW146" t="e">
            <v>#N/A</v>
          </cell>
          <cell r="GX146" t="e">
            <v>#N/A</v>
          </cell>
        </row>
        <row r="147">
          <cell r="A147" t="str">
            <v>2025 Q3</v>
          </cell>
          <cell r="B147" t="e">
            <v>#N/A</v>
          </cell>
          <cell r="C147" t="e">
            <v>#N/A</v>
          </cell>
          <cell r="D147" t="e">
            <v>#N/A</v>
          </cell>
          <cell r="E147" t="e">
            <v>#N/A</v>
          </cell>
          <cell r="F147" t="e">
            <v>#N/A</v>
          </cell>
          <cell r="G147" t="e">
            <v>#N/A</v>
          </cell>
          <cell r="H147" t="e">
            <v>#N/A</v>
          </cell>
          <cell r="I147" t="e">
            <v>#N/A</v>
          </cell>
          <cell r="J147" t="e">
            <v>#N/A</v>
          </cell>
          <cell r="K147" t="e">
            <v>#N/A</v>
          </cell>
          <cell r="L147" t="e">
            <v>#N/A</v>
          </cell>
          <cell r="M147" t="e">
            <v>#N/A</v>
          </cell>
          <cell r="N147" t="e">
            <v>#N/A</v>
          </cell>
          <cell r="O147" t="e">
            <v>#N/A</v>
          </cell>
          <cell r="P147" t="e">
            <v>#N/A</v>
          </cell>
          <cell r="Q147" t="e">
            <v>#N/A</v>
          </cell>
          <cell r="R147" t="e">
            <v>#N/A</v>
          </cell>
          <cell r="S147" t="e">
            <v>#N/A</v>
          </cell>
          <cell r="T147" t="e">
            <v>#N/A</v>
          </cell>
          <cell r="U147" t="e">
            <v>#N/A</v>
          </cell>
          <cell r="V147" t="e">
            <v>#N/A</v>
          </cell>
          <cell r="W147" t="e">
            <v>#N/A</v>
          </cell>
          <cell r="X147" t="e">
            <v>#N/A</v>
          </cell>
          <cell r="Y147" t="e">
            <v>#N/A</v>
          </cell>
          <cell r="Z147" t="e">
            <v>#N/A</v>
          </cell>
          <cell r="AA147" t="e">
            <v>#N/A</v>
          </cell>
          <cell r="AB147" t="e">
            <v>#N/A</v>
          </cell>
          <cell r="AC147" t="e">
            <v>#N/A</v>
          </cell>
          <cell r="AD147" t="e">
            <v>#N/A</v>
          </cell>
          <cell r="AE147" t="e">
            <v>#N/A</v>
          </cell>
          <cell r="AF147" t="e">
            <v>#N/A</v>
          </cell>
          <cell r="AG147" t="e">
            <v>#N/A</v>
          </cell>
          <cell r="AH147" t="e">
            <v>#N/A</v>
          </cell>
          <cell r="AI147" t="e">
            <v>#N/A</v>
          </cell>
          <cell r="AJ147" t="e">
            <v>#N/A</v>
          </cell>
          <cell r="AK147" t="e">
            <v>#N/A</v>
          </cell>
          <cell r="AL147" t="e">
            <v>#N/A</v>
          </cell>
          <cell r="AM147" t="e">
            <v>#N/A</v>
          </cell>
          <cell r="AN147" t="e">
            <v>#N/A</v>
          </cell>
          <cell r="AO147" t="e">
            <v>#N/A</v>
          </cell>
          <cell r="AP147" t="e">
            <v>#N/A</v>
          </cell>
          <cell r="AQ147" t="e">
            <v>#N/A</v>
          </cell>
          <cell r="AR147" t="e">
            <v>#N/A</v>
          </cell>
          <cell r="AS147" t="e">
            <v>#N/A</v>
          </cell>
          <cell r="AT147" t="e">
            <v>#N/A</v>
          </cell>
          <cell r="AU147" t="e">
            <v>#N/A</v>
          </cell>
          <cell r="AV147" t="e">
            <v>#N/A</v>
          </cell>
          <cell r="AW147" t="e">
            <v>#N/A</v>
          </cell>
          <cell r="AX147" t="e">
            <v>#N/A</v>
          </cell>
          <cell r="AY147" t="e">
            <v>#N/A</v>
          </cell>
          <cell r="AZ147" t="e">
            <v>#N/A</v>
          </cell>
          <cell r="BA147" t="e">
            <v>#N/A</v>
          </cell>
          <cell r="BB147" t="e">
            <v>#N/A</v>
          </cell>
          <cell r="BC147" t="e">
            <v>#N/A</v>
          </cell>
          <cell r="BD147" t="e">
            <v>#N/A</v>
          </cell>
          <cell r="BE147" t="e">
            <v>#N/A</v>
          </cell>
          <cell r="BF147" t="e">
            <v>#N/A</v>
          </cell>
          <cell r="BG147" t="e">
            <v>#N/A</v>
          </cell>
          <cell r="BH147" t="e">
            <v>#N/A</v>
          </cell>
          <cell r="BI147" t="e">
            <v>#N/A</v>
          </cell>
          <cell r="BJ147" t="e">
            <v>#N/A</v>
          </cell>
          <cell r="BK147" t="e">
            <v>#N/A</v>
          </cell>
          <cell r="BL147" t="e">
            <v>#N/A</v>
          </cell>
          <cell r="BM147" t="e">
            <v>#N/A</v>
          </cell>
          <cell r="BN147" t="e">
            <v>#N/A</v>
          </cell>
          <cell r="BO147" t="e">
            <v>#N/A</v>
          </cell>
          <cell r="BP147" t="e">
            <v>#N/A</v>
          </cell>
          <cell r="BQ147" t="e">
            <v>#N/A</v>
          </cell>
          <cell r="BR147" t="e">
            <v>#N/A</v>
          </cell>
          <cell r="BS147" t="e">
            <v>#N/A</v>
          </cell>
          <cell r="BT147" t="e">
            <v>#N/A</v>
          </cell>
          <cell r="BU147" t="e">
            <v>#N/A</v>
          </cell>
          <cell r="BV147" t="e">
            <v>#N/A</v>
          </cell>
          <cell r="BW147" t="e">
            <v>#N/A</v>
          </cell>
          <cell r="BX147" t="e">
            <v>#N/A</v>
          </cell>
          <cell r="BY147" t="e">
            <v>#N/A</v>
          </cell>
          <cell r="BZ147" t="e">
            <v>#N/A</v>
          </cell>
          <cell r="CA147" t="e">
            <v>#N/A</v>
          </cell>
          <cell r="CB147" t="e">
            <v>#N/A</v>
          </cell>
          <cell r="CC147" t="e">
            <v>#N/A</v>
          </cell>
          <cell r="CD147" t="e">
            <v>#N/A</v>
          </cell>
          <cell r="CE147" t="e">
            <v>#N/A</v>
          </cell>
          <cell r="CF147" t="e">
            <v>#N/A</v>
          </cell>
          <cell r="CG147" t="e">
            <v>#N/A</v>
          </cell>
          <cell r="CH147" t="e">
            <v>#N/A</v>
          </cell>
          <cell r="CI147" t="e">
            <v>#N/A</v>
          </cell>
          <cell r="CJ147" t="e">
            <v>#N/A</v>
          </cell>
          <cell r="CK147" t="e">
            <v>#N/A</v>
          </cell>
          <cell r="CL147" t="e">
            <v>#N/A</v>
          </cell>
          <cell r="CM147" t="e">
            <v>#N/A</v>
          </cell>
          <cell r="CN147" t="e">
            <v>#N/A</v>
          </cell>
          <cell r="CO147" t="e">
            <v>#N/A</v>
          </cell>
          <cell r="CP147" t="e">
            <v>#N/A</v>
          </cell>
          <cell r="CQ147" t="e">
            <v>#N/A</v>
          </cell>
          <cell r="CR147" t="e">
            <v>#N/A</v>
          </cell>
          <cell r="CS147" t="e">
            <v>#N/A</v>
          </cell>
          <cell r="CT147" t="e">
            <v>#N/A</v>
          </cell>
          <cell r="CU147" t="e">
            <v>#N/A</v>
          </cell>
          <cell r="CV147" t="e">
            <v>#N/A</v>
          </cell>
          <cell r="CW147" t="e">
            <v>#N/A</v>
          </cell>
          <cell r="CX147" t="e">
            <v>#N/A</v>
          </cell>
          <cell r="CY147" t="e">
            <v>#N/A</v>
          </cell>
          <cell r="CZ147" t="e">
            <v>#N/A</v>
          </cell>
          <cell r="DA147" t="e">
            <v>#N/A</v>
          </cell>
          <cell r="DB147" t="e">
            <v>#N/A</v>
          </cell>
          <cell r="DC147" t="e">
            <v>#N/A</v>
          </cell>
          <cell r="DD147" t="e">
            <v>#N/A</v>
          </cell>
          <cell r="DE147" t="e">
            <v>#N/A</v>
          </cell>
          <cell r="DF147" t="e">
            <v>#N/A</v>
          </cell>
          <cell r="DG147" t="e">
            <v>#N/A</v>
          </cell>
          <cell r="DH147" t="e">
            <v>#N/A</v>
          </cell>
          <cell r="DI147" t="e">
            <v>#N/A</v>
          </cell>
          <cell r="DJ147" t="e">
            <v>#N/A</v>
          </cell>
          <cell r="DK147" t="e">
            <v>#N/A</v>
          </cell>
          <cell r="DL147" t="e">
            <v>#N/A</v>
          </cell>
          <cell r="DM147" t="e">
            <v>#N/A</v>
          </cell>
          <cell r="DN147" t="e">
            <v>#N/A</v>
          </cell>
          <cell r="DO147" t="e">
            <v>#N/A</v>
          </cell>
          <cell r="DP147" t="e">
            <v>#N/A</v>
          </cell>
          <cell r="DQ147" t="e">
            <v>#N/A</v>
          </cell>
          <cell r="DR147" t="e">
            <v>#N/A</v>
          </cell>
          <cell r="DS147" t="e">
            <v>#N/A</v>
          </cell>
          <cell r="DT147" t="e">
            <v>#N/A</v>
          </cell>
          <cell r="DU147" t="e">
            <v>#N/A</v>
          </cell>
          <cell r="DV147" t="e">
            <v>#N/A</v>
          </cell>
          <cell r="DW147" t="e">
            <v>#N/A</v>
          </cell>
          <cell r="DX147" t="e">
            <v>#N/A</v>
          </cell>
          <cell r="DY147" t="e">
            <v>#N/A</v>
          </cell>
          <cell r="DZ147" t="e">
            <v>#N/A</v>
          </cell>
          <cell r="EA147" t="e">
            <v>#N/A</v>
          </cell>
          <cell r="EB147" t="e">
            <v>#N/A</v>
          </cell>
          <cell r="EC147" t="e">
            <v>#N/A</v>
          </cell>
          <cell r="ED147" t="e">
            <v>#N/A</v>
          </cell>
          <cell r="EE147" t="e">
            <v>#N/A</v>
          </cell>
          <cell r="EF147" t="e">
            <v>#N/A</v>
          </cell>
          <cell r="EG147" t="e">
            <v>#N/A</v>
          </cell>
          <cell r="EH147" t="e">
            <v>#N/A</v>
          </cell>
          <cell r="EI147" t="e">
            <v>#N/A</v>
          </cell>
          <cell r="EJ147" t="e">
            <v>#N/A</v>
          </cell>
          <cell r="EK147" t="e">
            <v>#N/A</v>
          </cell>
          <cell r="EL147" t="e">
            <v>#N/A</v>
          </cell>
          <cell r="EM147" t="e">
            <v>#N/A</v>
          </cell>
          <cell r="EN147" t="e">
            <v>#N/A</v>
          </cell>
          <cell r="EO147" t="e">
            <v>#N/A</v>
          </cell>
          <cell r="EP147" t="e">
            <v>#N/A</v>
          </cell>
          <cell r="EQ147" t="e">
            <v>#N/A</v>
          </cell>
          <cell r="ER147" t="e">
            <v>#N/A</v>
          </cell>
          <cell r="ES147" t="e">
            <v>#N/A</v>
          </cell>
          <cell r="ET147" t="e">
            <v>#N/A</v>
          </cell>
          <cell r="EU147" t="e">
            <v>#N/A</v>
          </cell>
          <cell r="EV147" t="e">
            <v>#N/A</v>
          </cell>
          <cell r="EW147" t="e">
            <v>#N/A</v>
          </cell>
          <cell r="EX147" t="e">
            <v>#N/A</v>
          </cell>
          <cell r="EY147" t="e">
            <v>#N/A</v>
          </cell>
          <cell r="EZ147" t="e">
            <v>#N/A</v>
          </cell>
          <cell r="FA147" t="e">
            <v>#N/A</v>
          </cell>
          <cell r="FB147" t="e">
            <v>#N/A</v>
          </cell>
          <cell r="FC147" t="e">
            <v>#N/A</v>
          </cell>
          <cell r="FD147" t="e">
            <v>#N/A</v>
          </cell>
          <cell r="FE147" t="e">
            <v>#N/A</v>
          </cell>
          <cell r="FF147" t="e">
            <v>#N/A</v>
          </cell>
          <cell r="FG147" t="e">
            <v>#N/A</v>
          </cell>
          <cell r="FH147" t="e">
            <v>#N/A</v>
          </cell>
          <cell r="FI147" t="e">
            <v>#N/A</v>
          </cell>
          <cell r="FJ147" t="e">
            <v>#N/A</v>
          </cell>
          <cell r="FK147" t="e">
            <v>#N/A</v>
          </cell>
          <cell r="FL147" t="e">
            <v>#N/A</v>
          </cell>
          <cell r="FM147" t="e">
            <v>#N/A</v>
          </cell>
          <cell r="FN147" t="e">
            <v>#N/A</v>
          </cell>
          <cell r="FO147" t="e">
            <v>#N/A</v>
          </cell>
          <cell r="FP147" t="e">
            <v>#N/A</v>
          </cell>
          <cell r="FQ147" t="e">
            <v>#N/A</v>
          </cell>
          <cell r="FR147" t="e">
            <v>#N/A</v>
          </cell>
          <cell r="FS147" t="e">
            <v>#N/A</v>
          </cell>
          <cell r="FT147" t="e">
            <v>#N/A</v>
          </cell>
          <cell r="FU147" t="e">
            <v>#N/A</v>
          </cell>
          <cell r="FV147" t="e">
            <v>#N/A</v>
          </cell>
          <cell r="FW147" t="e">
            <v>#N/A</v>
          </cell>
          <cell r="FX147" t="e">
            <v>#N/A</v>
          </cell>
          <cell r="FY147" t="e">
            <v>#N/A</v>
          </cell>
          <cell r="FZ147" t="e">
            <v>#N/A</v>
          </cell>
          <cell r="GA147" t="e">
            <v>#N/A</v>
          </cell>
          <cell r="GB147" t="e">
            <v>#N/A</v>
          </cell>
          <cell r="GC147" t="e">
            <v>#N/A</v>
          </cell>
          <cell r="GD147" t="e">
            <v>#N/A</v>
          </cell>
          <cell r="GE147" t="e">
            <v>#N/A</v>
          </cell>
          <cell r="GF147" t="e">
            <v>#N/A</v>
          </cell>
          <cell r="GG147" t="e">
            <v>#N/A</v>
          </cell>
          <cell r="GH147" t="e">
            <v>#N/A</v>
          </cell>
          <cell r="GI147" t="e">
            <v>#N/A</v>
          </cell>
          <cell r="GJ147" t="e">
            <v>#N/A</v>
          </cell>
          <cell r="GK147" t="e">
            <v>#N/A</v>
          </cell>
          <cell r="GL147" t="e">
            <v>#N/A</v>
          </cell>
          <cell r="GM147" t="e">
            <v>#N/A</v>
          </cell>
          <cell r="GN147" t="e">
            <v>#N/A</v>
          </cell>
          <cell r="GO147" t="e">
            <v>#N/A</v>
          </cell>
          <cell r="GP147" t="e">
            <v>#N/A</v>
          </cell>
          <cell r="GQ147" t="e">
            <v>#N/A</v>
          </cell>
          <cell r="GR147" t="e">
            <v>#N/A</v>
          </cell>
          <cell r="GS147" t="e">
            <v>#N/A</v>
          </cell>
          <cell r="GT147" t="e">
            <v>#N/A</v>
          </cell>
          <cell r="GU147" t="e">
            <v>#N/A</v>
          </cell>
          <cell r="GV147" t="e">
            <v>#N/A</v>
          </cell>
          <cell r="GW147" t="e">
            <v>#N/A</v>
          </cell>
          <cell r="GX147" t="e">
            <v>#N/A</v>
          </cell>
        </row>
        <row r="148">
          <cell r="A148" t="str">
            <v>2025 Q4</v>
          </cell>
          <cell r="B148" t="e">
            <v>#N/A</v>
          </cell>
          <cell r="C148" t="e">
            <v>#N/A</v>
          </cell>
          <cell r="D148" t="e">
            <v>#N/A</v>
          </cell>
          <cell r="E148" t="e">
            <v>#N/A</v>
          </cell>
          <cell r="F148" t="e">
            <v>#N/A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  <cell r="N148" t="e">
            <v>#N/A</v>
          </cell>
          <cell r="O148" t="e">
            <v>#N/A</v>
          </cell>
          <cell r="P148" t="e">
            <v>#N/A</v>
          </cell>
          <cell r="Q148" t="e">
            <v>#N/A</v>
          </cell>
          <cell r="R148" t="e">
            <v>#N/A</v>
          </cell>
          <cell r="S148" t="e">
            <v>#N/A</v>
          </cell>
          <cell r="T148" t="e">
            <v>#N/A</v>
          </cell>
          <cell r="U148" t="e">
            <v>#N/A</v>
          </cell>
          <cell r="V148" t="e">
            <v>#N/A</v>
          </cell>
          <cell r="W148" t="e">
            <v>#N/A</v>
          </cell>
          <cell r="X148" t="e">
            <v>#N/A</v>
          </cell>
          <cell r="Y148" t="e">
            <v>#N/A</v>
          </cell>
          <cell r="Z148" t="e">
            <v>#N/A</v>
          </cell>
          <cell r="AA148" t="e">
            <v>#N/A</v>
          </cell>
          <cell r="AB148" t="e">
            <v>#N/A</v>
          </cell>
          <cell r="AC148" t="e">
            <v>#N/A</v>
          </cell>
          <cell r="AD148" t="e">
            <v>#N/A</v>
          </cell>
          <cell r="AE148" t="e">
            <v>#N/A</v>
          </cell>
          <cell r="AF148" t="e">
            <v>#N/A</v>
          </cell>
          <cell r="AG148" t="e">
            <v>#N/A</v>
          </cell>
          <cell r="AH148" t="e">
            <v>#N/A</v>
          </cell>
          <cell r="AI148" t="e">
            <v>#N/A</v>
          </cell>
          <cell r="AJ148" t="e">
            <v>#N/A</v>
          </cell>
          <cell r="AK148" t="e">
            <v>#N/A</v>
          </cell>
          <cell r="AL148" t="e">
            <v>#N/A</v>
          </cell>
          <cell r="AM148" t="e">
            <v>#N/A</v>
          </cell>
          <cell r="AN148" t="e">
            <v>#N/A</v>
          </cell>
          <cell r="AO148" t="e">
            <v>#N/A</v>
          </cell>
          <cell r="AP148" t="e">
            <v>#N/A</v>
          </cell>
          <cell r="AQ148" t="e">
            <v>#N/A</v>
          </cell>
          <cell r="AR148" t="e">
            <v>#N/A</v>
          </cell>
          <cell r="AS148" t="e">
            <v>#N/A</v>
          </cell>
          <cell r="AT148" t="e">
            <v>#N/A</v>
          </cell>
          <cell r="AU148" t="e">
            <v>#N/A</v>
          </cell>
          <cell r="AV148" t="e">
            <v>#N/A</v>
          </cell>
          <cell r="AW148" t="e">
            <v>#N/A</v>
          </cell>
          <cell r="AX148" t="e">
            <v>#N/A</v>
          </cell>
          <cell r="AY148" t="e">
            <v>#N/A</v>
          </cell>
          <cell r="AZ148" t="e">
            <v>#N/A</v>
          </cell>
          <cell r="BA148" t="e">
            <v>#N/A</v>
          </cell>
          <cell r="BB148" t="e">
            <v>#N/A</v>
          </cell>
          <cell r="BC148" t="e">
            <v>#N/A</v>
          </cell>
          <cell r="BD148" t="e">
            <v>#N/A</v>
          </cell>
          <cell r="BE148" t="e">
            <v>#N/A</v>
          </cell>
          <cell r="BF148" t="e">
            <v>#N/A</v>
          </cell>
          <cell r="BG148" t="e">
            <v>#N/A</v>
          </cell>
          <cell r="BH148" t="e">
            <v>#N/A</v>
          </cell>
          <cell r="BI148" t="e">
            <v>#N/A</v>
          </cell>
          <cell r="BJ148" t="e">
            <v>#N/A</v>
          </cell>
          <cell r="BK148" t="e">
            <v>#N/A</v>
          </cell>
          <cell r="BL148" t="e">
            <v>#N/A</v>
          </cell>
          <cell r="BM148" t="e">
            <v>#N/A</v>
          </cell>
          <cell r="BN148" t="e">
            <v>#N/A</v>
          </cell>
          <cell r="BO148" t="e">
            <v>#N/A</v>
          </cell>
          <cell r="BP148" t="e">
            <v>#N/A</v>
          </cell>
          <cell r="BQ148" t="e">
            <v>#N/A</v>
          </cell>
          <cell r="BR148" t="e">
            <v>#N/A</v>
          </cell>
          <cell r="BS148" t="e">
            <v>#N/A</v>
          </cell>
          <cell r="BT148" t="e">
            <v>#N/A</v>
          </cell>
          <cell r="BU148" t="e">
            <v>#N/A</v>
          </cell>
          <cell r="BV148" t="e">
            <v>#N/A</v>
          </cell>
          <cell r="BW148" t="e">
            <v>#N/A</v>
          </cell>
          <cell r="BX148" t="e">
            <v>#N/A</v>
          </cell>
          <cell r="BY148" t="e">
            <v>#N/A</v>
          </cell>
          <cell r="BZ148" t="e">
            <v>#N/A</v>
          </cell>
          <cell r="CA148" t="e">
            <v>#N/A</v>
          </cell>
          <cell r="CB148" t="e">
            <v>#N/A</v>
          </cell>
          <cell r="CC148" t="e">
            <v>#N/A</v>
          </cell>
          <cell r="CD148" t="e">
            <v>#N/A</v>
          </cell>
          <cell r="CE148" t="e">
            <v>#N/A</v>
          </cell>
          <cell r="CF148" t="e">
            <v>#N/A</v>
          </cell>
          <cell r="CG148" t="e">
            <v>#N/A</v>
          </cell>
          <cell r="CH148" t="e">
            <v>#N/A</v>
          </cell>
          <cell r="CI148" t="e">
            <v>#N/A</v>
          </cell>
          <cell r="CJ148" t="e">
            <v>#N/A</v>
          </cell>
          <cell r="CK148" t="e">
            <v>#N/A</v>
          </cell>
          <cell r="CL148" t="e">
            <v>#N/A</v>
          </cell>
          <cell r="CM148" t="e">
            <v>#N/A</v>
          </cell>
          <cell r="CN148" t="e">
            <v>#N/A</v>
          </cell>
          <cell r="CO148" t="e">
            <v>#N/A</v>
          </cell>
          <cell r="CP148" t="e">
            <v>#N/A</v>
          </cell>
          <cell r="CQ148" t="e">
            <v>#N/A</v>
          </cell>
          <cell r="CR148" t="e">
            <v>#N/A</v>
          </cell>
          <cell r="CS148" t="e">
            <v>#N/A</v>
          </cell>
          <cell r="CT148" t="e">
            <v>#N/A</v>
          </cell>
          <cell r="CU148" t="e">
            <v>#N/A</v>
          </cell>
          <cell r="CV148" t="e">
            <v>#N/A</v>
          </cell>
          <cell r="CW148" t="e">
            <v>#N/A</v>
          </cell>
          <cell r="CX148" t="e">
            <v>#N/A</v>
          </cell>
          <cell r="CY148" t="e">
            <v>#N/A</v>
          </cell>
          <cell r="CZ148" t="e">
            <v>#N/A</v>
          </cell>
          <cell r="DA148" t="e">
            <v>#N/A</v>
          </cell>
          <cell r="DB148" t="e">
            <v>#N/A</v>
          </cell>
          <cell r="DC148" t="e">
            <v>#N/A</v>
          </cell>
          <cell r="DD148" t="e">
            <v>#N/A</v>
          </cell>
          <cell r="DE148" t="e">
            <v>#N/A</v>
          </cell>
          <cell r="DF148" t="e">
            <v>#N/A</v>
          </cell>
          <cell r="DG148" t="e">
            <v>#N/A</v>
          </cell>
          <cell r="DH148" t="e">
            <v>#N/A</v>
          </cell>
          <cell r="DI148" t="e">
            <v>#N/A</v>
          </cell>
          <cell r="DJ148" t="e">
            <v>#N/A</v>
          </cell>
          <cell r="DK148" t="e">
            <v>#N/A</v>
          </cell>
          <cell r="DL148" t="e">
            <v>#N/A</v>
          </cell>
          <cell r="DM148" t="e">
            <v>#N/A</v>
          </cell>
          <cell r="DN148" t="e">
            <v>#N/A</v>
          </cell>
          <cell r="DO148" t="e">
            <v>#N/A</v>
          </cell>
          <cell r="DP148" t="e">
            <v>#N/A</v>
          </cell>
          <cell r="DQ148" t="e">
            <v>#N/A</v>
          </cell>
          <cell r="DR148" t="e">
            <v>#N/A</v>
          </cell>
          <cell r="DS148" t="e">
            <v>#N/A</v>
          </cell>
          <cell r="DT148" t="e">
            <v>#N/A</v>
          </cell>
          <cell r="DU148" t="e">
            <v>#N/A</v>
          </cell>
          <cell r="DV148" t="e">
            <v>#N/A</v>
          </cell>
          <cell r="DW148" t="e">
            <v>#N/A</v>
          </cell>
          <cell r="DX148" t="e">
            <v>#N/A</v>
          </cell>
          <cell r="DY148" t="e">
            <v>#N/A</v>
          </cell>
          <cell r="DZ148" t="e">
            <v>#N/A</v>
          </cell>
          <cell r="EA148" t="e">
            <v>#N/A</v>
          </cell>
          <cell r="EB148" t="e">
            <v>#N/A</v>
          </cell>
          <cell r="EC148" t="e">
            <v>#N/A</v>
          </cell>
          <cell r="ED148" t="e">
            <v>#N/A</v>
          </cell>
          <cell r="EE148" t="e">
            <v>#N/A</v>
          </cell>
          <cell r="EF148" t="e">
            <v>#N/A</v>
          </cell>
          <cell r="EG148" t="e">
            <v>#N/A</v>
          </cell>
          <cell r="EH148" t="e">
            <v>#N/A</v>
          </cell>
          <cell r="EI148" t="e">
            <v>#N/A</v>
          </cell>
          <cell r="EJ148" t="e">
            <v>#N/A</v>
          </cell>
          <cell r="EK148" t="e">
            <v>#N/A</v>
          </cell>
          <cell r="EL148" t="e">
            <v>#N/A</v>
          </cell>
          <cell r="EM148" t="e">
            <v>#N/A</v>
          </cell>
          <cell r="EN148" t="e">
            <v>#N/A</v>
          </cell>
          <cell r="EO148" t="e">
            <v>#N/A</v>
          </cell>
          <cell r="EP148" t="e">
            <v>#N/A</v>
          </cell>
          <cell r="EQ148" t="e">
            <v>#N/A</v>
          </cell>
          <cell r="ER148" t="e">
            <v>#N/A</v>
          </cell>
          <cell r="ES148" t="e">
            <v>#N/A</v>
          </cell>
          <cell r="ET148" t="e">
            <v>#N/A</v>
          </cell>
          <cell r="EU148" t="e">
            <v>#N/A</v>
          </cell>
          <cell r="EV148" t="e">
            <v>#N/A</v>
          </cell>
          <cell r="EW148" t="e">
            <v>#N/A</v>
          </cell>
          <cell r="EX148" t="e">
            <v>#N/A</v>
          </cell>
          <cell r="EY148" t="e">
            <v>#N/A</v>
          </cell>
          <cell r="EZ148" t="e">
            <v>#N/A</v>
          </cell>
          <cell r="FA148" t="e">
            <v>#N/A</v>
          </cell>
          <cell r="FB148" t="e">
            <v>#N/A</v>
          </cell>
          <cell r="FC148" t="e">
            <v>#N/A</v>
          </cell>
          <cell r="FD148" t="e">
            <v>#N/A</v>
          </cell>
          <cell r="FE148" t="e">
            <v>#N/A</v>
          </cell>
          <cell r="FF148" t="e">
            <v>#N/A</v>
          </cell>
          <cell r="FG148" t="e">
            <v>#N/A</v>
          </cell>
          <cell r="FH148" t="e">
            <v>#N/A</v>
          </cell>
          <cell r="FI148" t="e">
            <v>#N/A</v>
          </cell>
          <cell r="FJ148" t="e">
            <v>#N/A</v>
          </cell>
          <cell r="FK148" t="e">
            <v>#N/A</v>
          </cell>
          <cell r="FL148" t="e">
            <v>#N/A</v>
          </cell>
          <cell r="FM148" t="e">
            <v>#N/A</v>
          </cell>
          <cell r="FN148" t="e">
            <v>#N/A</v>
          </cell>
          <cell r="FO148" t="e">
            <v>#N/A</v>
          </cell>
          <cell r="FP148" t="e">
            <v>#N/A</v>
          </cell>
          <cell r="FQ148" t="e">
            <v>#N/A</v>
          </cell>
          <cell r="FR148" t="e">
            <v>#N/A</v>
          </cell>
          <cell r="FS148" t="e">
            <v>#N/A</v>
          </cell>
          <cell r="FT148" t="e">
            <v>#N/A</v>
          </cell>
          <cell r="FU148" t="e">
            <v>#N/A</v>
          </cell>
          <cell r="FV148" t="e">
            <v>#N/A</v>
          </cell>
          <cell r="FW148" t="e">
            <v>#N/A</v>
          </cell>
          <cell r="FX148" t="e">
            <v>#N/A</v>
          </cell>
          <cell r="FY148" t="e">
            <v>#N/A</v>
          </cell>
          <cell r="FZ148" t="e">
            <v>#N/A</v>
          </cell>
          <cell r="GA148" t="e">
            <v>#N/A</v>
          </cell>
          <cell r="GB148" t="e">
            <v>#N/A</v>
          </cell>
          <cell r="GC148" t="e">
            <v>#N/A</v>
          </cell>
          <cell r="GD148" t="e">
            <v>#N/A</v>
          </cell>
          <cell r="GE148" t="e">
            <v>#N/A</v>
          </cell>
          <cell r="GF148" t="e">
            <v>#N/A</v>
          </cell>
          <cell r="GG148" t="e">
            <v>#N/A</v>
          </cell>
          <cell r="GH148" t="e">
            <v>#N/A</v>
          </cell>
          <cell r="GI148" t="e">
            <v>#N/A</v>
          </cell>
          <cell r="GJ148" t="e">
            <v>#N/A</v>
          </cell>
          <cell r="GK148" t="e">
            <v>#N/A</v>
          </cell>
          <cell r="GL148" t="e">
            <v>#N/A</v>
          </cell>
          <cell r="GM148" t="e">
            <v>#N/A</v>
          </cell>
          <cell r="GN148" t="e">
            <v>#N/A</v>
          </cell>
          <cell r="GO148" t="e">
            <v>#N/A</v>
          </cell>
          <cell r="GP148" t="e">
            <v>#N/A</v>
          </cell>
          <cell r="GQ148" t="e">
            <v>#N/A</v>
          </cell>
          <cell r="GR148" t="e">
            <v>#N/A</v>
          </cell>
          <cell r="GS148" t="e">
            <v>#N/A</v>
          </cell>
          <cell r="GT148" t="e">
            <v>#N/A</v>
          </cell>
          <cell r="GU148" t="e">
            <v>#N/A</v>
          </cell>
          <cell r="GV148" t="e">
            <v>#N/A</v>
          </cell>
          <cell r="GW148" t="e">
            <v>#N/A</v>
          </cell>
          <cell r="GX148" t="e">
            <v>#N/A</v>
          </cell>
        </row>
        <row r="149">
          <cell r="A149" t="str">
            <v>2026 Q1</v>
          </cell>
          <cell r="B149" t="e">
            <v>#N/A</v>
          </cell>
          <cell r="C149" t="e">
            <v>#N/A</v>
          </cell>
          <cell r="D149" t="e">
            <v>#N/A</v>
          </cell>
          <cell r="E149" t="e">
            <v>#N/A</v>
          </cell>
          <cell r="F149" t="e">
            <v>#N/A</v>
          </cell>
          <cell r="G149" t="e">
            <v>#N/A</v>
          </cell>
          <cell r="H149" t="e">
            <v>#N/A</v>
          </cell>
          <cell r="I149" t="e">
            <v>#N/A</v>
          </cell>
          <cell r="J149" t="e">
            <v>#N/A</v>
          </cell>
          <cell r="K149" t="e">
            <v>#N/A</v>
          </cell>
          <cell r="L149" t="e">
            <v>#N/A</v>
          </cell>
          <cell r="M149" t="e">
            <v>#N/A</v>
          </cell>
          <cell r="N149" t="e">
            <v>#N/A</v>
          </cell>
          <cell r="O149" t="e">
            <v>#N/A</v>
          </cell>
          <cell r="P149" t="e">
            <v>#N/A</v>
          </cell>
          <cell r="Q149" t="e">
            <v>#N/A</v>
          </cell>
          <cell r="R149" t="e">
            <v>#N/A</v>
          </cell>
          <cell r="S149" t="e">
            <v>#N/A</v>
          </cell>
          <cell r="T149" t="e">
            <v>#N/A</v>
          </cell>
          <cell r="U149" t="e">
            <v>#N/A</v>
          </cell>
          <cell r="V149" t="e">
            <v>#N/A</v>
          </cell>
          <cell r="W149" t="e">
            <v>#N/A</v>
          </cell>
          <cell r="X149" t="e">
            <v>#N/A</v>
          </cell>
          <cell r="Y149" t="e">
            <v>#N/A</v>
          </cell>
          <cell r="Z149" t="e">
            <v>#N/A</v>
          </cell>
          <cell r="AA149" t="e">
            <v>#N/A</v>
          </cell>
          <cell r="AB149" t="e">
            <v>#N/A</v>
          </cell>
          <cell r="AC149" t="e">
            <v>#N/A</v>
          </cell>
          <cell r="AD149" t="e">
            <v>#N/A</v>
          </cell>
          <cell r="AE149" t="e">
            <v>#N/A</v>
          </cell>
          <cell r="AF149" t="e">
            <v>#N/A</v>
          </cell>
          <cell r="AG149" t="e">
            <v>#N/A</v>
          </cell>
          <cell r="AH149" t="e">
            <v>#N/A</v>
          </cell>
          <cell r="AI149" t="e">
            <v>#N/A</v>
          </cell>
          <cell r="AJ149" t="e">
            <v>#N/A</v>
          </cell>
          <cell r="AK149" t="e">
            <v>#N/A</v>
          </cell>
          <cell r="AL149" t="e">
            <v>#N/A</v>
          </cell>
          <cell r="AM149" t="e">
            <v>#N/A</v>
          </cell>
          <cell r="AN149" t="e">
            <v>#N/A</v>
          </cell>
          <cell r="AO149" t="e">
            <v>#N/A</v>
          </cell>
          <cell r="AP149" t="e">
            <v>#N/A</v>
          </cell>
          <cell r="AQ149" t="e">
            <v>#N/A</v>
          </cell>
          <cell r="AR149" t="e">
            <v>#N/A</v>
          </cell>
          <cell r="AS149" t="e">
            <v>#N/A</v>
          </cell>
          <cell r="AT149" t="e">
            <v>#N/A</v>
          </cell>
          <cell r="AU149" t="e">
            <v>#N/A</v>
          </cell>
          <cell r="AV149" t="e">
            <v>#N/A</v>
          </cell>
          <cell r="AW149" t="e">
            <v>#N/A</v>
          </cell>
          <cell r="AX149" t="e">
            <v>#N/A</v>
          </cell>
          <cell r="AY149" t="e">
            <v>#N/A</v>
          </cell>
          <cell r="AZ149" t="e">
            <v>#N/A</v>
          </cell>
          <cell r="BA149" t="e">
            <v>#N/A</v>
          </cell>
          <cell r="BB149" t="e">
            <v>#N/A</v>
          </cell>
          <cell r="BC149" t="e">
            <v>#N/A</v>
          </cell>
          <cell r="BD149" t="e">
            <v>#N/A</v>
          </cell>
          <cell r="BE149" t="e">
            <v>#N/A</v>
          </cell>
          <cell r="BF149" t="e">
            <v>#N/A</v>
          </cell>
          <cell r="BG149" t="e">
            <v>#N/A</v>
          </cell>
          <cell r="BH149" t="e">
            <v>#N/A</v>
          </cell>
          <cell r="BI149" t="e">
            <v>#N/A</v>
          </cell>
          <cell r="BJ149" t="e">
            <v>#N/A</v>
          </cell>
          <cell r="BK149" t="e">
            <v>#N/A</v>
          </cell>
          <cell r="BL149" t="e">
            <v>#N/A</v>
          </cell>
          <cell r="BM149" t="e">
            <v>#N/A</v>
          </cell>
          <cell r="BN149" t="e">
            <v>#N/A</v>
          </cell>
          <cell r="BO149" t="e">
            <v>#N/A</v>
          </cell>
          <cell r="BP149" t="e">
            <v>#N/A</v>
          </cell>
          <cell r="BQ149" t="e">
            <v>#N/A</v>
          </cell>
          <cell r="BR149" t="e">
            <v>#N/A</v>
          </cell>
          <cell r="BS149" t="e">
            <v>#N/A</v>
          </cell>
          <cell r="BT149" t="e">
            <v>#N/A</v>
          </cell>
          <cell r="BU149" t="e">
            <v>#N/A</v>
          </cell>
          <cell r="BV149" t="e">
            <v>#N/A</v>
          </cell>
          <cell r="BW149" t="e">
            <v>#N/A</v>
          </cell>
          <cell r="BX149" t="e">
            <v>#N/A</v>
          </cell>
          <cell r="BY149" t="e">
            <v>#N/A</v>
          </cell>
          <cell r="BZ149" t="e">
            <v>#N/A</v>
          </cell>
          <cell r="CA149" t="e">
            <v>#N/A</v>
          </cell>
          <cell r="CB149" t="e">
            <v>#N/A</v>
          </cell>
          <cell r="CC149" t="e">
            <v>#N/A</v>
          </cell>
          <cell r="CD149" t="e">
            <v>#N/A</v>
          </cell>
          <cell r="CE149" t="e">
            <v>#N/A</v>
          </cell>
          <cell r="CF149" t="e">
            <v>#N/A</v>
          </cell>
          <cell r="CG149" t="e">
            <v>#N/A</v>
          </cell>
          <cell r="CH149" t="e">
            <v>#N/A</v>
          </cell>
          <cell r="CI149" t="e">
            <v>#N/A</v>
          </cell>
          <cell r="CJ149" t="e">
            <v>#N/A</v>
          </cell>
          <cell r="CK149" t="e">
            <v>#N/A</v>
          </cell>
          <cell r="CL149" t="e">
            <v>#N/A</v>
          </cell>
          <cell r="CM149" t="e">
            <v>#N/A</v>
          </cell>
          <cell r="CN149" t="e">
            <v>#N/A</v>
          </cell>
          <cell r="CO149" t="e">
            <v>#N/A</v>
          </cell>
          <cell r="CP149" t="e">
            <v>#N/A</v>
          </cell>
          <cell r="CQ149" t="e">
            <v>#N/A</v>
          </cell>
          <cell r="CR149" t="e">
            <v>#N/A</v>
          </cell>
          <cell r="CS149" t="e">
            <v>#N/A</v>
          </cell>
          <cell r="CT149" t="e">
            <v>#N/A</v>
          </cell>
          <cell r="CU149" t="e">
            <v>#N/A</v>
          </cell>
          <cell r="CV149" t="e">
            <v>#N/A</v>
          </cell>
          <cell r="CW149" t="e">
            <v>#N/A</v>
          </cell>
          <cell r="CX149" t="e">
            <v>#N/A</v>
          </cell>
          <cell r="CY149" t="e">
            <v>#N/A</v>
          </cell>
          <cell r="CZ149" t="e">
            <v>#N/A</v>
          </cell>
          <cell r="DA149" t="e">
            <v>#N/A</v>
          </cell>
          <cell r="DB149" t="e">
            <v>#N/A</v>
          </cell>
          <cell r="DC149" t="e">
            <v>#N/A</v>
          </cell>
          <cell r="DD149" t="e">
            <v>#N/A</v>
          </cell>
          <cell r="DE149" t="e">
            <v>#N/A</v>
          </cell>
          <cell r="DF149" t="e">
            <v>#N/A</v>
          </cell>
          <cell r="DG149" t="e">
            <v>#N/A</v>
          </cell>
          <cell r="DH149" t="e">
            <v>#N/A</v>
          </cell>
          <cell r="DI149" t="e">
            <v>#N/A</v>
          </cell>
          <cell r="DJ149" t="e">
            <v>#N/A</v>
          </cell>
          <cell r="DK149" t="e">
            <v>#N/A</v>
          </cell>
          <cell r="DL149" t="e">
            <v>#N/A</v>
          </cell>
          <cell r="DM149" t="e">
            <v>#N/A</v>
          </cell>
          <cell r="DN149" t="e">
            <v>#N/A</v>
          </cell>
          <cell r="DO149" t="e">
            <v>#N/A</v>
          </cell>
          <cell r="DP149" t="e">
            <v>#N/A</v>
          </cell>
          <cell r="DQ149" t="e">
            <v>#N/A</v>
          </cell>
          <cell r="DR149" t="e">
            <v>#N/A</v>
          </cell>
          <cell r="DS149" t="e">
            <v>#N/A</v>
          </cell>
          <cell r="DT149" t="e">
            <v>#N/A</v>
          </cell>
          <cell r="DU149" t="e">
            <v>#N/A</v>
          </cell>
          <cell r="DV149" t="e">
            <v>#N/A</v>
          </cell>
          <cell r="DW149" t="e">
            <v>#N/A</v>
          </cell>
          <cell r="DX149" t="e">
            <v>#N/A</v>
          </cell>
          <cell r="DY149" t="e">
            <v>#N/A</v>
          </cell>
          <cell r="DZ149" t="e">
            <v>#N/A</v>
          </cell>
          <cell r="EA149" t="e">
            <v>#N/A</v>
          </cell>
          <cell r="EB149" t="e">
            <v>#N/A</v>
          </cell>
          <cell r="EC149" t="e">
            <v>#N/A</v>
          </cell>
          <cell r="ED149" t="e">
            <v>#N/A</v>
          </cell>
          <cell r="EE149" t="e">
            <v>#N/A</v>
          </cell>
          <cell r="EF149" t="e">
            <v>#N/A</v>
          </cell>
          <cell r="EG149" t="e">
            <v>#N/A</v>
          </cell>
          <cell r="EH149" t="e">
            <v>#N/A</v>
          </cell>
          <cell r="EI149" t="e">
            <v>#N/A</v>
          </cell>
          <cell r="EJ149" t="e">
            <v>#N/A</v>
          </cell>
          <cell r="EK149" t="e">
            <v>#N/A</v>
          </cell>
          <cell r="EL149" t="e">
            <v>#N/A</v>
          </cell>
          <cell r="EM149" t="e">
            <v>#N/A</v>
          </cell>
          <cell r="EN149" t="e">
            <v>#N/A</v>
          </cell>
          <cell r="EO149" t="e">
            <v>#N/A</v>
          </cell>
          <cell r="EP149" t="e">
            <v>#N/A</v>
          </cell>
          <cell r="EQ149" t="e">
            <v>#N/A</v>
          </cell>
          <cell r="ER149" t="e">
            <v>#N/A</v>
          </cell>
          <cell r="ES149" t="e">
            <v>#N/A</v>
          </cell>
          <cell r="ET149" t="e">
            <v>#N/A</v>
          </cell>
          <cell r="EU149" t="e">
            <v>#N/A</v>
          </cell>
          <cell r="EV149" t="e">
            <v>#N/A</v>
          </cell>
          <cell r="EW149" t="e">
            <v>#N/A</v>
          </cell>
          <cell r="EX149" t="e">
            <v>#N/A</v>
          </cell>
          <cell r="EY149" t="e">
            <v>#N/A</v>
          </cell>
          <cell r="EZ149" t="e">
            <v>#N/A</v>
          </cell>
          <cell r="FA149" t="e">
            <v>#N/A</v>
          </cell>
          <cell r="FB149" t="e">
            <v>#N/A</v>
          </cell>
          <cell r="FC149" t="e">
            <v>#N/A</v>
          </cell>
          <cell r="FD149" t="e">
            <v>#N/A</v>
          </cell>
          <cell r="FE149" t="e">
            <v>#N/A</v>
          </cell>
          <cell r="FF149" t="e">
            <v>#N/A</v>
          </cell>
          <cell r="FG149" t="e">
            <v>#N/A</v>
          </cell>
          <cell r="FH149" t="e">
            <v>#N/A</v>
          </cell>
          <cell r="FI149" t="e">
            <v>#N/A</v>
          </cell>
          <cell r="FJ149" t="e">
            <v>#N/A</v>
          </cell>
          <cell r="FK149" t="e">
            <v>#N/A</v>
          </cell>
          <cell r="FL149" t="e">
            <v>#N/A</v>
          </cell>
          <cell r="FM149" t="e">
            <v>#N/A</v>
          </cell>
          <cell r="FN149" t="e">
            <v>#N/A</v>
          </cell>
          <cell r="FO149" t="e">
            <v>#N/A</v>
          </cell>
          <cell r="FP149" t="e">
            <v>#N/A</v>
          </cell>
          <cell r="FQ149" t="e">
            <v>#N/A</v>
          </cell>
          <cell r="FR149" t="e">
            <v>#N/A</v>
          </cell>
          <cell r="FS149" t="e">
            <v>#N/A</v>
          </cell>
          <cell r="FT149" t="e">
            <v>#N/A</v>
          </cell>
          <cell r="FU149" t="e">
            <v>#N/A</v>
          </cell>
          <cell r="FV149" t="e">
            <v>#N/A</v>
          </cell>
          <cell r="FW149" t="e">
            <v>#N/A</v>
          </cell>
          <cell r="FX149" t="e">
            <v>#N/A</v>
          </cell>
          <cell r="FY149" t="e">
            <v>#N/A</v>
          </cell>
          <cell r="FZ149" t="e">
            <v>#N/A</v>
          </cell>
          <cell r="GA149" t="e">
            <v>#N/A</v>
          </cell>
          <cell r="GB149" t="e">
            <v>#N/A</v>
          </cell>
          <cell r="GC149" t="e">
            <v>#N/A</v>
          </cell>
          <cell r="GD149" t="e">
            <v>#N/A</v>
          </cell>
          <cell r="GE149" t="e">
            <v>#N/A</v>
          </cell>
          <cell r="GF149" t="e">
            <v>#N/A</v>
          </cell>
          <cell r="GG149" t="e">
            <v>#N/A</v>
          </cell>
          <cell r="GH149" t="e">
            <v>#N/A</v>
          </cell>
          <cell r="GI149" t="e">
            <v>#N/A</v>
          </cell>
          <cell r="GJ149" t="e">
            <v>#N/A</v>
          </cell>
          <cell r="GK149" t="e">
            <v>#N/A</v>
          </cell>
          <cell r="GL149" t="e">
            <v>#N/A</v>
          </cell>
          <cell r="GM149" t="e">
            <v>#N/A</v>
          </cell>
          <cell r="GN149" t="e">
            <v>#N/A</v>
          </cell>
          <cell r="GO149" t="e">
            <v>#N/A</v>
          </cell>
          <cell r="GP149" t="e">
            <v>#N/A</v>
          </cell>
          <cell r="GQ149" t="e">
            <v>#N/A</v>
          </cell>
          <cell r="GR149" t="e">
            <v>#N/A</v>
          </cell>
          <cell r="GS149" t="e">
            <v>#N/A</v>
          </cell>
          <cell r="GT149" t="e">
            <v>#N/A</v>
          </cell>
          <cell r="GU149" t="e">
            <v>#N/A</v>
          </cell>
          <cell r="GV149" t="e">
            <v>#N/A</v>
          </cell>
          <cell r="GW149" t="e">
            <v>#N/A</v>
          </cell>
          <cell r="GX149" t="e">
            <v>#N/A</v>
          </cell>
        </row>
        <row r="150">
          <cell r="A150" t="str">
            <v>2026 Q2</v>
          </cell>
          <cell r="B150" t="e">
            <v>#N/A</v>
          </cell>
          <cell r="C150" t="e">
            <v>#N/A</v>
          </cell>
          <cell r="D150" t="e">
            <v>#N/A</v>
          </cell>
          <cell r="E150" t="e">
            <v>#N/A</v>
          </cell>
          <cell r="F150" t="e">
            <v>#N/A</v>
          </cell>
          <cell r="G150" t="e">
            <v>#N/A</v>
          </cell>
          <cell r="H150" t="e">
            <v>#N/A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  <cell r="N150" t="e">
            <v>#N/A</v>
          </cell>
          <cell r="O150" t="e">
            <v>#N/A</v>
          </cell>
          <cell r="P150" t="e">
            <v>#N/A</v>
          </cell>
          <cell r="Q150" t="e">
            <v>#N/A</v>
          </cell>
          <cell r="R150" t="e">
            <v>#N/A</v>
          </cell>
          <cell r="S150" t="e">
            <v>#N/A</v>
          </cell>
          <cell r="T150" t="e">
            <v>#N/A</v>
          </cell>
          <cell r="U150" t="e">
            <v>#N/A</v>
          </cell>
          <cell r="V150" t="e">
            <v>#N/A</v>
          </cell>
          <cell r="W150" t="e">
            <v>#N/A</v>
          </cell>
          <cell r="X150" t="e">
            <v>#N/A</v>
          </cell>
          <cell r="Y150" t="e">
            <v>#N/A</v>
          </cell>
          <cell r="Z150" t="e">
            <v>#N/A</v>
          </cell>
          <cell r="AA150" t="e">
            <v>#N/A</v>
          </cell>
          <cell r="AB150" t="e">
            <v>#N/A</v>
          </cell>
          <cell r="AC150" t="e">
            <v>#N/A</v>
          </cell>
          <cell r="AD150" t="e">
            <v>#N/A</v>
          </cell>
          <cell r="AE150" t="e">
            <v>#N/A</v>
          </cell>
          <cell r="AF150" t="e">
            <v>#N/A</v>
          </cell>
          <cell r="AG150" t="e">
            <v>#N/A</v>
          </cell>
          <cell r="AH150" t="e">
            <v>#N/A</v>
          </cell>
          <cell r="AI150" t="e">
            <v>#N/A</v>
          </cell>
          <cell r="AJ150" t="e">
            <v>#N/A</v>
          </cell>
          <cell r="AK150" t="e">
            <v>#N/A</v>
          </cell>
          <cell r="AL150" t="e">
            <v>#N/A</v>
          </cell>
          <cell r="AM150" t="e">
            <v>#N/A</v>
          </cell>
          <cell r="AN150" t="e">
            <v>#N/A</v>
          </cell>
          <cell r="AO150" t="e">
            <v>#N/A</v>
          </cell>
          <cell r="AP150" t="e">
            <v>#N/A</v>
          </cell>
          <cell r="AQ150" t="e">
            <v>#N/A</v>
          </cell>
          <cell r="AR150" t="e">
            <v>#N/A</v>
          </cell>
          <cell r="AS150" t="e">
            <v>#N/A</v>
          </cell>
          <cell r="AT150" t="e">
            <v>#N/A</v>
          </cell>
          <cell r="AU150" t="e">
            <v>#N/A</v>
          </cell>
          <cell r="AV150" t="e">
            <v>#N/A</v>
          </cell>
          <cell r="AW150" t="e">
            <v>#N/A</v>
          </cell>
          <cell r="AX150" t="e">
            <v>#N/A</v>
          </cell>
          <cell r="AY150" t="e">
            <v>#N/A</v>
          </cell>
          <cell r="AZ150" t="e">
            <v>#N/A</v>
          </cell>
          <cell r="BA150" t="e">
            <v>#N/A</v>
          </cell>
          <cell r="BB150" t="e">
            <v>#N/A</v>
          </cell>
          <cell r="BC150" t="e">
            <v>#N/A</v>
          </cell>
          <cell r="BD150" t="e">
            <v>#N/A</v>
          </cell>
          <cell r="BE150" t="e">
            <v>#N/A</v>
          </cell>
          <cell r="BF150" t="e">
            <v>#N/A</v>
          </cell>
          <cell r="BG150" t="e">
            <v>#N/A</v>
          </cell>
          <cell r="BH150" t="e">
            <v>#N/A</v>
          </cell>
          <cell r="BI150" t="e">
            <v>#N/A</v>
          </cell>
          <cell r="BJ150" t="e">
            <v>#N/A</v>
          </cell>
          <cell r="BK150" t="e">
            <v>#N/A</v>
          </cell>
          <cell r="BL150" t="e">
            <v>#N/A</v>
          </cell>
          <cell r="BM150" t="e">
            <v>#N/A</v>
          </cell>
          <cell r="BN150" t="e">
            <v>#N/A</v>
          </cell>
          <cell r="BO150" t="e">
            <v>#N/A</v>
          </cell>
          <cell r="BP150" t="e">
            <v>#N/A</v>
          </cell>
          <cell r="BQ150" t="e">
            <v>#N/A</v>
          </cell>
          <cell r="BR150" t="e">
            <v>#N/A</v>
          </cell>
          <cell r="BS150" t="e">
            <v>#N/A</v>
          </cell>
          <cell r="BT150" t="e">
            <v>#N/A</v>
          </cell>
          <cell r="BU150" t="e">
            <v>#N/A</v>
          </cell>
          <cell r="BV150" t="e">
            <v>#N/A</v>
          </cell>
          <cell r="BW150" t="e">
            <v>#N/A</v>
          </cell>
          <cell r="BX150" t="e">
            <v>#N/A</v>
          </cell>
          <cell r="BY150" t="e">
            <v>#N/A</v>
          </cell>
          <cell r="BZ150" t="e">
            <v>#N/A</v>
          </cell>
          <cell r="CA150" t="e">
            <v>#N/A</v>
          </cell>
          <cell r="CB150" t="e">
            <v>#N/A</v>
          </cell>
          <cell r="CC150" t="e">
            <v>#N/A</v>
          </cell>
          <cell r="CD150" t="e">
            <v>#N/A</v>
          </cell>
          <cell r="CE150" t="e">
            <v>#N/A</v>
          </cell>
          <cell r="CF150" t="e">
            <v>#N/A</v>
          </cell>
          <cell r="CG150" t="e">
            <v>#N/A</v>
          </cell>
          <cell r="CH150" t="e">
            <v>#N/A</v>
          </cell>
          <cell r="CI150" t="e">
            <v>#N/A</v>
          </cell>
          <cell r="CJ150" t="e">
            <v>#N/A</v>
          </cell>
          <cell r="CK150" t="e">
            <v>#N/A</v>
          </cell>
          <cell r="CL150" t="e">
            <v>#N/A</v>
          </cell>
          <cell r="CM150" t="e">
            <v>#N/A</v>
          </cell>
          <cell r="CN150" t="e">
            <v>#N/A</v>
          </cell>
          <cell r="CO150" t="e">
            <v>#N/A</v>
          </cell>
          <cell r="CP150" t="e">
            <v>#N/A</v>
          </cell>
          <cell r="CQ150" t="e">
            <v>#N/A</v>
          </cell>
          <cell r="CR150" t="e">
            <v>#N/A</v>
          </cell>
          <cell r="CS150" t="e">
            <v>#N/A</v>
          </cell>
          <cell r="CT150" t="e">
            <v>#N/A</v>
          </cell>
          <cell r="CU150" t="e">
            <v>#N/A</v>
          </cell>
          <cell r="CV150" t="e">
            <v>#N/A</v>
          </cell>
          <cell r="CW150" t="e">
            <v>#N/A</v>
          </cell>
          <cell r="CX150" t="e">
            <v>#N/A</v>
          </cell>
          <cell r="CY150" t="e">
            <v>#N/A</v>
          </cell>
          <cell r="CZ150" t="e">
            <v>#N/A</v>
          </cell>
          <cell r="DA150" t="e">
            <v>#N/A</v>
          </cell>
          <cell r="DB150" t="e">
            <v>#N/A</v>
          </cell>
          <cell r="DC150" t="e">
            <v>#N/A</v>
          </cell>
          <cell r="DD150" t="e">
            <v>#N/A</v>
          </cell>
          <cell r="DE150" t="e">
            <v>#N/A</v>
          </cell>
          <cell r="DF150" t="e">
            <v>#N/A</v>
          </cell>
          <cell r="DG150" t="e">
            <v>#N/A</v>
          </cell>
          <cell r="DH150" t="e">
            <v>#N/A</v>
          </cell>
          <cell r="DI150" t="e">
            <v>#N/A</v>
          </cell>
          <cell r="DJ150" t="e">
            <v>#N/A</v>
          </cell>
          <cell r="DK150" t="e">
            <v>#N/A</v>
          </cell>
          <cell r="DL150" t="e">
            <v>#N/A</v>
          </cell>
          <cell r="DM150" t="e">
            <v>#N/A</v>
          </cell>
          <cell r="DN150" t="e">
            <v>#N/A</v>
          </cell>
          <cell r="DO150" t="e">
            <v>#N/A</v>
          </cell>
          <cell r="DP150" t="e">
            <v>#N/A</v>
          </cell>
          <cell r="DQ150" t="e">
            <v>#N/A</v>
          </cell>
          <cell r="DR150" t="e">
            <v>#N/A</v>
          </cell>
          <cell r="DS150" t="e">
            <v>#N/A</v>
          </cell>
          <cell r="DT150" t="e">
            <v>#N/A</v>
          </cell>
          <cell r="DU150" t="e">
            <v>#N/A</v>
          </cell>
          <cell r="DV150" t="e">
            <v>#N/A</v>
          </cell>
          <cell r="DW150" t="e">
            <v>#N/A</v>
          </cell>
          <cell r="DX150" t="e">
            <v>#N/A</v>
          </cell>
          <cell r="DY150" t="e">
            <v>#N/A</v>
          </cell>
          <cell r="DZ150" t="e">
            <v>#N/A</v>
          </cell>
          <cell r="EA150" t="e">
            <v>#N/A</v>
          </cell>
          <cell r="EB150" t="e">
            <v>#N/A</v>
          </cell>
          <cell r="EC150" t="e">
            <v>#N/A</v>
          </cell>
          <cell r="ED150" t="e">
            <v>#N/A</v>
          </cell>
          <cell r="EE150" t="e">
            <v>#N/A</v>
          </cell>
          <cell r="EF150" t="e">
            <v>#N/A</v>
          </cell>
          <cell r="EG150" t="e">
            <v>#N/A</v>
          </cell>
          <cell r="EH150" t="e">
            <v>#N/A</v>
          </cell>
          <cell r="EI150" t="e">
            <v>#N/A</v>
          </cell>
          <cell r="EJ150" t="e">
            <v>#N/A</v>
          </cell>
          <cell r="EK150" t="e">
            <v>#N/A</v>
          </cell>
          <cell r="EL150" t="e">
            <v>#N/A</v>
          </cell>
          <cell r="EM150" t="e">
            <v>#N/A</v>
          </cell>
          <cell r="EN150" t="e">
            <v>#N/A</v>
          </cell>
          <cell r="EO150" t="e">
            <v>#N/A</v>
          </cell>
          <cell r="EP150" t="e">
            <v>#N/A</v>
          </cell>
          <cell r="EQ150" t="e">
            <v>#N/A</v>
          </cell>
          <cell r="ER150" t="e">
            <v>#N/A</v>
          </cell>
          <cell r="ES150" t="e">
            <v>#N/A</v>
          </cell>
          <cell r="ET150" t="e">
            <v>#N/A</v>
          </cell>
          <cell r="EU150" t="e">
            <v>#N/A</v>
          </cell>
          <cell r="EV150" t="e">
            <v>#N/A</v>
          </cell>
          <cell r="EW150" t="e">
            <v>#N/A</v>
          </cell>
          <cell r="EX150" t="e">
            <v>#N/A</v>
          </cell>
          <cell r="EY150" t="e">
            <v>#N/A</v>
          </cell>
          <cell r="EZ150" t="e">
            <v>#N/A</v>
          </cell>
          <cell r="FA150" t="e">
            <v>#N/A</v>
          </cell>
          <cell r="FB150" t="e">
            <v>#N/A</v>
          </cell>
          <cell r="FC150" t="e">
            <v>#N/A</v>
          </cell>
          <cell r="FD150" t="e">
            <v>#N/A</v>
          </cell>
          <cell r="FE150" t="e">
            <v>#N/A</v>
          </cell>
          <cell r="FF150" t="e">
            <v>#N/A</v>
          </cell>
          <cell r="FG150" t="e">
            <v>#N/A</v>
          </cell>
          <cell r="FH150" t="e">
            <v>#N/A</v>
          </cell>
          <cell r="FI150" t="e">
            <v>#N/A</v>
          </cell>
          <cell r="FJ150" t="e">
            <v>#N/A</v>
          </cell>
          <cell r="FK150" t="e">
            <v>#N/A</v>
          </cell>
          <cell r="FL150" t="e">
            <v>#N/A</v>
          </cell>
          <cell r="FM150" t="e">
            <v>#N/A</v>
          </cell>
          <cell r="FN150" t="e">
            <v>#N/A</v>
          </cell>
          <cell r="FO150" t="e">
            <v>#N/A</v>
          </cell>
          <cell r="FP150" t="e">
            <v>#N/A</v>
          </cell>
          <cell r="FQ150" t="e">
            <v>#N/A</v>
          </cell>
          <cell r="FR150" t="e">
            <v>#N/A</v>
          </cell>
          <cell r="FS150" t="e">
            <v>#N/A</v>
          </cell>
          <cell r="FT150" t="e">
            <v>#N/A</v>
          </cell>
          <cell r="FU150" t="e">
            <v>#N/A</v>
          </cell>
          <cell r="FV150" t="e">
            <v>#N/A</v>
          </cell>
          <cell r="FW150" t="e">
            <v>#N/A</v>
          </cell>
          <cell r="FX150" t="e">
            <v>#N/A</v>
          </cell>
          <cell r="FY150" t="e">
            <v>#N/A</v>
          </cell>
          <cell r="FZ150" t="e">
            <v>#N/A</v>
          </cell>
          <cell r="GA150" t="e">
            <v>#N/A</v>
          </cell>
          <cell r="GB150" t="e">
            <v>#N/A</v>
          </cell>
          <cell r="GC150" t="e">
            <v>#N/A</v>
          </cell>
          <cell r="GD150" t="e">
            <v>#N/A</v>
          </cell>
          <cell r="GE150" t="e">
            <v>#N/A</v>
          </cell>
          <cell r="GF150" t="e">
            <v>#N/A</v>
          </cell>
          <cell r="GG150" t="e">
            <v>#N/A</v>
          </cell>
          <cell r="GH150" t="e">
            <v>#N/A</v>
          </cell>
          <cell r="GI150" t="e">
            <v>#N/A</v>
          </cell>
          <cell r="GJ150" t="e">
            <v>#N/A</v>
          </cell>
          <cell r="GK150" t="e">
            <v>#N/A</v>
          </cell>
          <cell r="GL150" t="e">
            <v>#N/A</v>
          </cell>
          <cell r="GM150" t="e">
            <v>#N/A</v>
          </cell>
          <cell r="GN150" t="e">
            <v>#N/A</v>
          </cell>
          <cell r="GO150" t="e">
            <v>#N/A</v>
          </cell>
          <cell r="GP150" t="e">
            <v>#N/A</v>
          </cell>
          <cell r="GQ150" t="e">
            <v>#N/A</v>
          </cell>
          <cell r="GR150" t="e">
            <v>#N/A</v>
          </cell>
          <cell r="GS150" t="e">
            <v>#N/A</v>
          </cell>
          <cell r="GT150" t="e">
            <v>#N/A</v>
          </cell>
          <cell r="GU150" t="e">
            <v>#N/A</v>
          </cell>
          <cell r="GV150" t="e">
            <v>#N/A</v>
          </cell>
          <cell r="GW150" t="e">
            <v>#N/A</v>
          </cell>
          <cell r="GX150" t="e">
            <v>#N/A</v>
          </cell>
        </row>
        <row r="151">
          <cell r="A151" t="str">
            <v>2026 Q3</v>
          </cell>
          <cell r="B151" t="e">
            <v>#N/A</v>
          </cell>
          <cell r="C151" t="e">
            <v>#N/A</v>
          </cell>
          <cell r="D151" t="e">
            <v>#N/A</v>
          </cell>
          <cell r="E151" t="e">
            <v>#N/A</v>
          </cell>
          <cell r="F151" t="e">
            <v>#N/A</v>
          </cell>
          <cell r="G151" t="e">
            <v>#N/A</v>
          </cell>
          <cell r="H151" t="e">
            <v>#N/A</v>
          </cell>
          <cell r="I151" t="e">
            <v>#N/A</v>
          </cell>
          <cell r="J151" t="e">
            <v>#N/A</v>
          </cell>
          <cell r="K151" t="e">
            <v>#N/A</v>
          </cell>
          <cell r="L151" t="e">
            <v>#N/A</v>
          </cell>
          <cell r="M151" t="e">
            <v>#N/A</v>
          </cell>
          <cell r="N151" t="e">
            <v>#N/A</v>
          </cell>
          <cell r="O151" t="e">
            <v>#N/A</v>
          </cell>
          <cell r="P151" t="e">
            <v>#N/A</v>
          </cell>
          <cell r="Q151" t="e">
            <v>#N/A</v>
          </cell>
          <cell r="R151" t="e">
            <v>#N/A</v>
          </cell>
          <cell r="S151" t="e">
            <v>#N/A</v>
          </cell>
          <cell r="T151" t="e">
            <v>#N/A</v>
          </cell>
          <cell r="U151" t="e">
            <v>#N/A</v>
          </cell>
          <cell r="V151" t="e">
            <v>#N/A</v>
          </cell>
          <cell r="W151" t="e">
            <v>#N/A</v>
          </cell>
          <cell r="X151" t="e">
            <v>#N/A</v>
          </cell>
          <cell r="Y151" t="e">
            <v>#N/A</v>
          </cell>
          <cell r="Z151" t="e">
            <v>#N/A</v>
          </cell>
          <cell r="AA151" t="e">
            <v>#N/A</v>
          </cell>
          <cell r="AB151" t="e">
            <v>#N/A</v>
          </cell>
          <cell r="AC151" t="e">
            <v>#N/A</v>
          </cell>
          <cell r="AD151" t="e">
            <v>#N/A</v>
          </cell>
          <cell r="AE151" t="e">
            <v>#N/A</v>
          </cell>
          <cell r="AF151" t="e">
            <v>#N/A</v>
          </cell>
          <cell r="AG151" t="e">
            <v>#N/A</v>
          </cell>
          <cell r="AH151" t="e">
            <v>#N/A</v>
          </cell>
          <cell r="AI151" t="e">
            <v>#N/A</v>
          </cell>
          <cell r="AJ151" t="e">
            <v>#N/A</v>
          </cell>
          <cell r="AK151" t="e">
            <v>#N/A</v>
          </cell>
          <cell r="AL151" t="e">
            <v>#N/A</v>
          </cell>
          <cell r="AM151" t="e">
            <v>#N/A</v>
          </cell>
          <cell r="AN151" t="e">
            <v>#N/A</v>
          </cell>
          <cell r="AO151" t="e">
            <v>#N/A</v>
          </cell>
          <cell r="AP151" t="e">
            <v>#N/A</v>
          </cell>
          <cell r="AQ151" t="e">
            <v>#N/A</v>
          </cell>
          <cell r="AR151" t="e">
            <v>#N/A</v>
          </cell>
          <cell r="AS151" t="e">
            <v>#N/A</v>
          </cell>
          <cell r="AT151" t="e">
            <v>#N/A</v>
          </cell>
          <cell r="AU151" t="e">
            <v>#N/A</v>
          </cell>
          <cell r="AV151" t="e">
            <v>#N/A</v>
          </cell>
          <cell r="AW151" t="e">
            <v>#N/A</v>
          </cell>
          <cell r="AX151" t="e">
            <v>#N/A</v>
          </cell>
          <cell r="AY151" t="e">
            <v>#N/A</v>
          </cell>
          <cell r="AZ151" t="e">
            <v>#N/A</v>
          </cell>
          <cell r="BA151" t="e">
            <v>#N/A</v>
          </cell>
          <cell r="BB151" t="e">
            <v>#N/A</v>
          </cell>
          <cell r="BC151" t="e">
            <v>#N/A</v>
          </cell>
          <cell r="BD151" t="e">
            <v>#N/A</v>
          </cell>
          <cell r="BE151" t="e">
            <v>#N/A</v>
          </cell>
          <cell r="BF151" t="e">
            <v>#N/A</v>
          </cell>
          <cell r="BG151" t="e">
            <v>#N/A</v>
          </cell>
          <cell r="BH151" t="e">
            <v>#N/A</v>
          </cell>
          <cell r="BI151" t="e">
            <v>#N/A</v>
          </cell>
          <cell r="BJ151" t="e">
            <v>#N/A</v>
          </cell>
          <cell r="BK151" t="e">
            <v>#N/A</v>
          </cell>
          <cell r="BL151" t="e">
            <v>#N/A</v>
          </cell>
          <cell r="BM151" t="e">
            <v>#N/A</v>
          </cell>
          <cell r="BN151" t="e">
            <v>#N/A</v>
          </cell>
          <cell r="BO151" t="e">
            <v>#N/A</v>
          </cell>
          <cell r="BP151" t="e">
            <v>#N/A</v>
          </cell>
          <cell r="BQ151" t="e">
            <v>#N/A</v>
          </cell>
          <cell r="BR151" t="e">
            <v>#N/A</v>
          </cell>
          <cell r="BS151" t="e">
            <v>#N/A</v>
          </cell>
          <cell r="BT151" t="e">
            <v>#N/A</v>
          </cell>
          <cell r="BU151" t="e">
            <v>#N/A</v>
          </cell>
          <cell r="BV151" t="e">
            <v>#N/A</v>
          </cell>
          <cell r="BW151" t="e">
            <v>#N/A</v>
          </cell>
          <cell r="BX151" t="e">
            <v>#N/A</v>
          </cell>
          <cell r="BY151" t="e">
            <v>#N/A</v>
          </cell>
          <cell r="BZ151" t="e">
            <v>#N/A</v>
          </cell>
          <cell r="CA151" t="e">
            <v>#N/A</v>
          </cell>
          <cell r="CB151" t="e">
            <v>#N/A</v>
          </cell>
          <cell r="CC151" t="e">
            <v>#N/A</v>
          </cell>
          <cell r="CD151" t="e">
            <v>#N/A</v>
          </cell>
          <cell r="CE151" t="e">
            <v>#N/A</v>
          </cell>
          <cell r="CF151" t="e">
            <v>#N/A</v>
          </cell>
          <cell r="CG151" t="e">
            <v>#N/A</v>
          </cell>
          <cell r="CH151" t="e">
            <v>#N/A</v>
          </cell>
          <cell r="CI151" t="e">
            <v>#N/A</v>
          </cell>
          <cell r="CJ151" t="e">
            <v>#N/A</v>
          </cell>
          <cell r="CK151" t="e">
            <v>#N/A</v>
          </cell>
          <cell r="CL151" t="e">
            <v>#N/A</v>
          </cell>
          <cell r="CM151" t="e">
            <v>#N/A</v>
          </cell>
          <cell r="CN151" t="e">
            <v>#N/A</v>
          </cell>
          <cell r="CO151" t="e">
            <v>#N/A</v>
          </cell>
          <cell r="CP151" t="e">
            <v>#N/A</v>
          </cell>
          <cell r="CQ151" t="e">
            <v>#N/A</v>
          </cell>
          <cell r="CR151" t="e">
            <v>#N/A</v>
          </cell>
          <cell r="CS151" t="e">
            <v>#N/A</v>
          </cell>
          <cell r="CT151" t="e">
            <v>#N/A</v>
          </cell>
          <cell r="CU151" t="e">
            <v>#N/A</v>
          </cell>
          <cell r="CV151" t="e">
            <v>#N/A</v>
          </cell>
          <cell r="CW151" t="e">
            <v>#N/A</v>
          </cell>
          <cell r="CX151" t="e">
            <v>#N/A</v>
          </cell>
          <cell r="CY151" t="e">
            <v>#N/A</v>
          </cell>
          <cell r="CZ151" t="e">
            <v>#N/A</v>
          </cell>
          <cell r="DA151" t="e">
            <v>#N/A</v>
          </cell>
          <cell r="DB151" t="e">
            <v>#N/A</v>
          </cell>
          <cell r="DC151" t="e">
            <v>#N/A</v>
          </cell>
          <cell r="DD151" t="e">
            <v>#N/A</v>
          </cell>
          <cell r="DE151" t="e">
            <v>#N/A</v>
          </cell>
          <cell r="DF151" t="e">
            <v>#N/A</v>
          </cell>
          <cell r="DG151" t="e">
            <v>#N/A</v>
          </cell>
          <cell r="DH151" t="e">
            <v>#N/A</v>
          </cell>
          <cell r="DI151" t="e">
            <v>#N/A</v>
          </cell>
          <cell r="DJ151" t="e">
            <v>#N/A</v>
          </cell>
          <cell r="DK151" t="e">
            <v>#N/A</v>
          </cell>
          <cell r="DL151" t="e">
            <v>#N/A</v>
          </cell>
          <cell r="DM151" t="e">
            <v>#N/A</v>
          </cell>
          <cell r="DN151" t="e">
            <v>#N/A</v>
          </cell>
          <cell r="DO151" t="e">
            <v>#N/A</v>
          </cell>
          <cell r="DP151" t="e">
            <v>#N/A</v>
          </cell>
          <cell r="DQ151" t="e">
            <v>#N/A</v>
          </cell>
          <cell r="DR151" t="e">
            <v>#N/A</v>
          </cell>
          <cell r="DS151" t="e">
            <v>#N/A</v>
          </cell>
          <cell r="DT151" t="e">
            <v>#N/A</v>
          </cell>
          <cell r="DU151" t="e">
            <v>#N/A</v>
          </cell>
          <cell r="DV151" t="e">
            <v>#N/A</v>
          </cell>
          <cell r="DW151" t="e">
            <v>#N/A</v>
          </cell>
          <cell r="DX151" t="e">
            <v>#N/A</v>
          </cell>
          <cell r="DY151" t="e">
            <v>#N/A</v>
          </cell>
          <cell r="DZ151" t="e">
            <v>#N/A</v>
          </cell>
          <cell r="EA151" t="e">
            <v>#N/A</v>
          </cell>
          <cell r="EB151" t="e">
            <v>#N/A</v>
          </cell>
          <cell r="EC151" t="e">
            <v>#N/A</v>
          </cell>
          <cell r="ED151" t="e">
            <v>#N/A</v>
          </cell>
          <cell r="EE151" t="e">
            <v>#N/A</v>
          </cell>
          <cell r="EF151" t="e">
            <v>#N/A</v>
          </cell>
          <cell r="EG151" t="e">
            <v>#N/A</v>
          </cell>
          <cell r="EH151" t="e">
            <v>#N/A</v>
          </cell>
          <cell r="EI151" t="e">
            <v>#N/A</v>
          </cell>
          <cell r="EJ151" t="e">
            <v>#N/A</v>
          </cell>
          <cell r="EK151" t="e">
            <v>#N/A</v>
          </cell>
          <cell r="EL151" t="e">
            <v>#N/A</v>
          </cell>
          <cell r="EM151" t="e">
            <v>#N/A</v>
          </cell>
          <cell r="EN151" t="e">
            <v>#N/A</v>
          </cell>
          <cell r="EO151" t="e">
            <v>#N/A</v>
          </cell>
          <cell r="EP151" t="e">
            <v>#N/A</v>
          </cell>
          <cell r="EQ151" t="e">
            <v>#N/A</v>
          </cell>
          <cell r="ER151" t="e">
            <v>#N/A</v>
          </cell>
          <cell r="ES151" t="e">
            <v>#N/A</v>
          </cell>
          <cell r="ET151" t="e">
            <v>#N/A</v>
          </cell>
          <cell r="EU151" t="e">
            <v>#N/A</v>
          </cell>
          <cell r="EV151" t="e">
            <v>#N/A</v>
          </cell>
          <cell r="EW151" t="e">
            <v>#N/A</v>
          </cell>
          <cell r="EX151" t="e">
            <v>#N/A</v>
          </cell>
          <cell r="EY151" t="e">
            <v>#N/A</v>
          </cell>
          <cell r="EZ151" t="e">
            <v>#N/A</v>
          </cell>
          <cell r="FA151" t="e">
            <v>#N/A</v>
          </cell>
          <cell r="FB151" t="e">
            <v>#N/A</v>
          </cell>
          <cell r="FC151" t="e">
            <v>#N/A</v>
          </cell>
          <cell r="FD151" t="e">
            <v>#N/A</v>
          </cell>
          <cell r="FE151" t="e">
            <v>#N/A</v>
          </cell>
          <cell r="FF151" t="e">
            <v>#N/A</v>
          </cell>
          <cell r="FG151" t="e">
            <v>#N/A</v>
          </cell>
          <cell r="FH151" t="e">
            <v>#N/A</v>
          </cell>
          <cell r="FI151" t="e">
            <v>#N/A</v>
          </cell>
          <cell r="FJ151" t="e">
            <v>#N/A</v>
          </cell>
          <cell r="FK151" t="e">
            <v>#N/A</v>
          </cell>
          <cell r="FL151" t="e">
            <v>#N/A</v>
          </cell>
          <cell r="FM151" t="e">
            <v>#N/A</v>
          </cell>
          <cell r="FN151" t="e">
            <v>#N/A</v>
          </cell>
          <cell r="FO151" t="e">
            <v>#N/A</v>
          </cell>
          <cell r="FP151" t="e">
            <v>#N/A</v>
          </cell>
          <cell r="FQ151" t="e">
            <v>#N/A</v>
          </cell>
          <cell r="FR151" t="e">
            <v>#N/A</v>
          </cell>
          <cell r="FS151" t="e">
            <v>#N/A</v>
          </cell>
          <cell r="FT151" t="e">
            <v>#N/A</v>
          </cell>
          <cell r="FU151" t="e">
            <v>#N/A</v>
          </cell>
          <cell r="FV151" t="e">
            <v>#N/A</v>
          </cell>
          <cell r="FW151" t="e">
            <v>#N/A</v>
          </cell>
          <cell r="FX151" t="e">
            <v>#N/A</v>
          </cell>
          <cell r="FY151" t="e">
            <v>#N/A</v>
          </cell>
          <cell r="FZ151" t="e">
            <v>#N/A</v>
          </cell>
          <cell r="GA151" t="e">
            <v>#N/A</v>
          </cell>
          <cell r="GB151" t="e">
            <v>#N/A</v>
          </cell>
          <cell r="GC151" t="e">
            <v>#N/A</v>
          </cell>
          <cell r="GD151" t="e">
            <v>#N/A</v>
          </cell>
          <cell r="GE151" t="e">
            <v>#N/A</v>
          </cell>
          <cell r="GF151" t="e">
            <v>#N/A</v>
          </cell>
          <cell r="GG151" t="e">
            <v>#N/A</v>
          </cell>
          <cell r="GH151" t="e">
            <v>#N/A</v>
          </cell>
          <cell r="GI151" t="e">
            <v>#N/A</v>
          </cell>
          <cell r="GJ151" t="e">
            <v>#N/A</v>
          </cell>
          <cell r="GK151" t="e">
            <v>#N/A</v>
          </cell>
          <cell r="GL151" t="e">
            <v>#N/A</v>
          </cell>
          <cell r="GM151" t="e">
            <v>#N/A</v>
          </cell>
          <cell r="GN151" t="e">
            <v>#N/A</v>
          </cell>
          <cell r="GO151" t="e">
            <v>#N/A</v>
          </cell>
          <cell r="GP151" t="e">
            <v>#N/A</v>
          </cell>
          <cell r="GQ151" t="e">
            <v>#N/A</v>
          </cell>
          <cell r="GR151" t="e">
            <v>#N/A</v>
          </cell>
          <cell r="GS151" t="e">
            <v>#N/A</v>
          </cell>
          <cell r="GT151" t="e">
            <v>#N/A</v>
          </cell>
          <cell r="GU151" t="e">
            <v>#N/A</v>
          </cell>
          <cell r="GV151" t="e">
            <v>#N/A</v>
          </cell>
          <cell r="GW151" t="e">
            <v>#N/A</v>
          </cell>
          <cell r="GX151" t="e">
            <v>#N/A</v>
          </cell>
        </row>
        <row r="152">
          <cell r="A152" t="str">
            <v>2026 Q4</v>
          </cell>
          <cell r="B152" t="e">
            <v>#N/A</v>
          </cell>
          <cell r="C152" t="e">
            <v>#N/A</v>
          </cell>
          <cell r="D152" t="e">
            <v>#N/A</v>
          </cell>
          <cell r="E152" t="e">
            <v>#N/A</v>
          </cell>
          <cell r="F152" t="e">
            <v>#N/A</v>
          </cell>
          <cell r="G152" t="e">
            <v>#N/A</v>
          </cell>
          <cell r="H152" t="e">
            <v>#N/A</v>
          </cell>
          <cell r="I152" t="e">
            <v>#N/A</v>
          </cell>
          <cell r="J152" t="e">
            <v>#N/A</v>
          </cell>
          <cell r="K152" t="e">
            <v>#N/A</v>
          </cell>
          <cell r="L152" t="e">
            <v>#N/A</v>
          </cell>
          <cell r="M152" t="e">
            <v>#N/A</v>
          </cell>
          <cell r="N152" t="e">
            <v>#N/A</v>
          </cell>
          <cell r="O152" t="e">
            <v>#N/A</v>
          </cell>
          <cell r="P152" t="e">
            <v>#N/A</v>
          </cell>
          <cell r="Q152" t="e">
            <v>#N/A</v>
          </cell>
          <cell r="R152" t="e">
            <v>#N/A</v>
          </cell>
          <cell r="S152" t="e">
            <v>#N/A</v>
          </cell>
          <cell r="T152" t="e">
            <v>#N/A</v>
          </cell>
          <cell r="U152" t="e">
            <v>#N/A</v>
          </cell>
          <cell r="V152" t="e">
            <v>#N/A</v>
          </cell>
          <cell r="W152" t="e">
            <v>#N/A</v>
          </cell>
          <cell r="X152" t="e">
            <v>#N/A</v>
          </cell>
          <cell r="Y152" t="e">
            <v>#N/A</v>
          </cell>
          <cell r="Z152" t="e">
            <v>#N/A</v>
          </cell>
          <cell r="AA152" t="e">
            <v>#N/A</v>
          </cell>
          <cell r="AB152" t="e">
            <v>#N/A</v>
          </cell>
          <cell r="AC152" t="e">
            <v>#N/A</v>
          </cell>
          <cell r="AD152" t="e">
            <v>#N/A</v>
          </cell>
          <cell r="AE152" t="e">
            <v>#N/A</v>
          </cell>
          <cell r="AF152" t="e">
            <v>#N/A</v>
          </cell>
          <cell r="AG152" t="e">
            <v>#N/A</v>
          </cell>
          <cell r="AH152" t="e">
            <v>#N/A</v>
          </cell>
          <cell r="AI152" t="e">
            <v>#N/A</v>
          </cell>
          <cell r="AJ152" t="e">
            <v>#N/A</v>
          </cell>
          <cell r="AK152" t="e">
            <v>#N/A</v>
          </cell>
          <cell r="AL152" t="e">
            <v>#N/A</v>
          </cell>
          <cell r="AM152" t="e">
            <v>#N/A</v>
          </cell>
          <cell r="AN152" t="e">
            <v>#N/A</v>
          </cell>
          <cell r="AO152" t="e">
            <v>#N/A</v>
          </cell>
          <cell r="AP152" t="e">
            <v>#N/A</v>
          </cell>
          <cell r="AQ152" t="e">
            <v>#N/A</v>
          </cell>
          <cell r="AR152" t="e">
            <v>#N/A</v>
          </cell>
          <cell r="AS152" t="e">
            <v>#N/A</v>
          </cell>
          <cell r="AT152" t="e">
            <v>#N/A</v>
          </cell>
          <cell r="AU152" t="e">
            <v>#N/A</v>
          </cell>
          <cell r="AV152" t="e">
            <v>#N/A</v>
          </cell>
          <cell r="AW152" t="e">
            <v>#N/A</v>
          </cell>
          <cell r="AX152" t="e">
            <v>#N/A</v>
          </cell>
          <cell r="AY152" t="e">
            <v>#N/A</v>
          </cell>
          <cell r="AZ152" t="e">
            <v>#N/A</v>
          </cell>
          <cell r="BA152" t="e">
            <v>#N/A</v>
          </cell>
          <cell r="BB152" t="e">
            <v>#N/A</v>
          </cell>
          <cell r="BC152" t="e">
            <v>#N/A</v>
          </cell>
          <cell r="BD152" t="e">
            <v>#N/A</v>
          </cell>
          <cell r="BE152" t="e">
            <v>#N/A</v>
          </cell>
          <cell r="BF152" t="e">
            <v>#N/A</v>
          </cell>
          <cell r="BG152" t="e">
            <v>#N/A</v>
          </cell>
          <cell r="BH152" t="e">
            <v>#N/A</v>
          </cell>
          <cell r="BI152" t="e">
            <v>#N/A</v>
          </cell>
          <cell r="BJ152" t="e">
            <v>#N/A</v>
          </cell>
          <cell r="BK152" t="e">
            <v>#N/A</v>
          </cell>
          <cell r="BL152" t="e">
            <v>#N/A</v>
          </cell>
          <cell r="BM152" t="e">
            <v>#N/A</v>
          </cell>
          <cell r="BN152" t="e">
            <v>#N/A</v>
          </cell>
          <cell r="BO152" t="e">
            <v>#N/A</v>
          </cell>
          <cell r="BP152" t="e">
            <v>#N/A</v>
          </cell>
          <cell r="BQ152" t="e">
            <v>#N/A</v>
          </cell>
          <cell r="BR152" t="e">
            <v>#N/A</v>
          </cell>
          <cell r="BS152" t="e">
            <v>#N/A</v>
          </cell>
          <cell r="BT152" t="e">
            <v>#N/A</v>
          </cell>
          <cell r="BU152" t="e">
            <v>#N/A</v>
          </cell>
          <cell r="BV152" t="e">
            <v>#N/A</v>
          </cell>
          <cell r="BW152" t="e">
            <v>#N/A</v>
          </cell>
          <cell r="BX152" t="e">
            <v>#N/A</v>
          </cell>
          <cell r="BY152" t="e">
            <v>#N/A</v>
          </cell>
          <cell r="BZ152" t="e">
            <v>#N/A</v>
          </cell>
          <cell r="CA152" t="e">
            <v>#N/A</v>
          </cell>
          <cell r="CB152" t="e">
            <v>#N/A</v>
          </cell>
          <cell r="CC152" t="e">
            <v>#N/A</v>
          </cell>
          <cell r="CD152" t="e">
            <v>#N/A</v>
          </cell>
          <cell r="CE152" t="e">
            <v>#N/A</v>
          </cell>
          <cell r="CF152" t="e">
            <v>#N/A</v>
          </cell>
          <cell r="CG152" t="e">
            <v>#N/A</v>
          </cell>
          <cell r="CH152" t="e">
            <v>#N/A</v>
          </cell>
          <cell r="CI152" t="e">
            <v>#N/A</v>
          </cell>
          <cell r="CJ152" t="e">
            <v>#N/A</v>
          </cell>
          <cell r="CK152" t="e">
            <v>#N/A</v>
          </cell>
          <cell r="CL152" t="e">
            <v>#N/A</v>
          </cell>
          <cell r="CM152" t="e">
            <v>#N/A</v>
          </cell>
          <cell r="CN152" t="e">
            <v>#N/A</v>
          </cell>
          <cell r="CO152" t="e">
            <v>#N/A</v>
          </cell>
          <cell r="CP152" t="e">
            <v>#N/A</v>
          </cell>
          <cell r="CQ152" t="e">
            <v>#N/A</v>
          </cell>
          <cell r="CR152" t="e">
            <v>#N/A</v>
          </cell>
          <cell r="CS152" t="e">
            <v>#N/A</v>
          </cell>
          <cell r="CT152" t="e">
            <v>#N/A</v>
          </cell>
          <cell r="CU152" t="e">
            <v>#N/A</v>
          </cell>
          <cell r="CV152" t="e">
            <v>#N/A</v>
          </cell>
          <cell r="CW152" t="e">
            <v>#N/A</v>
          </cell>
          <cell r="CX152" t="e">
            <v>#N/A</v>
          </cell>
          <cell r="CY152" t="e">
            <v>#N/A</v>
          </cell>
          <cell r="CZ152" t="e">
            <v>#N/A</v>
          </cell>
          <cell r="DA152" t="e">
            <v>#N/A</v>
          </cell>
          <cell r="DB152" t="e">
            <v>#N/A</v>
          </cell>
          <cell r="DC152" t="e">
            <v>#N/A</v>
          </cell>
          <cell r="DD152" t="e">
            <v>#N/A</v>
          </cell>
          <cell r="DE152" t="e">
            <v>#N/A</v>
          </cell>
          <cell r="DF152" t="e">
            <v>#N/A</v>
          </cell>
          <cell r="DG152" t="e">
            <v>#N/A</v>
          </cell>
          <cell r="DH152" t="e">
            <v>#N/A</v>
          </cell>
          <cell r="DI152" t="e">
            <v>#N/A</v>
          </cell>
          <cell r="DJ152" t="e">
            <v>#N/A</v>
          </cell>
          <cell r="DK152" t="e">
            <v>#N/A</v>
          </cell>
          <cell r="DL152" t="e">
            <v>#N/A</v>
          </cell>
          <cell r="DM152" t="e">
            <v>#N/A</v>
          </cell>
          <cell r="DN152" t="e">
            <v>#N/A</v>
          </cell>
          <cell r="DO152" t="e">
            <v>#N/A</v>
          </cell>
          <cell r="DP152" t="e">
            <v>#N/A</v>
          </cell>
          <cell r="DQ152" t="e">
            <v>#N/A</v>
          </cell>
          <cell r="DR152" t="e">
            <v>#N/A</v>
          </cell>
          <cell r="DS152" t="e">
            <v>#N/A</v>
          </cell>
          <cell r="DT152" t="e">
            <v>#N/A</v>
          </cell>
          <cell r="DU152" t="e">
            <v>#N/A</v>
          </cell>
          <cell r="DV152" t="e">
            <v>#N/A</v>
          </cell>
          <cell r="DW152" t="e">
            <v>#N/A</v>
          </cell>
          <cell r="DX152" t="e">
            <v>#N/A</v>
          </cell>
          <cell r="DY152" t="e">
            <v>#N/A</v>
          </cell>
          <cell r="DZ152" t="e">
            <v>#N/A</v>
          </cell>
          <cell r="EA152" t="e">
            <v>#N/A</v>
          </cell>
          <cell r="EB152" t="e">
            <v>#N/A</v>
          </cell>
          <cell r="EC152" t="e">
            <v>#N/A</v>
          </cell>
          <cell r="ED152" t="e">
            <v>#N/A</v>
          </cell>
          <cell r="EE152" t="e">
            <v>#N/A</v>
          </cell>
          <cell r="EF152" t="e">
            <v>#N/A</v>
          </cell>
          <cell r="EG152" t="e">
            <v>#N/A</v>
          </cell>
          <cell r="EH152" t="e">
            <v>#N/A</v>
          </cell>
          <cell r="EI152" t="e">
            <v>#N/A</v>
          </cell>
          <cell r="EJ152" t="e">
            <v>#N/A</v>
          </cell>
          <cell r="EK152" t="e">
            <v>#N/A</v>
          </cell>
          <cell r="EL152" t="e">
            <v>#N/A</v>
          </cell>
          <cell r="EM152" t="e">
            <v>#N/A</v>
          </cell>
          <cell r="EN152" t="e">
            <v>#N/A</v>
          </cell>
          <cell r="EO152" t="e">
            <v>#N/A</v>
          </cell>
          <cell r="EP152" t="e">
            <v>#N/A</v>
          </cell>
          <cell r="EQ152" t="e">
            <v>#N/A</v>
          </cell>
          <cell r="ER152" t="e">
            <v>#N/A</v>
          </cell>
          <cell r="ES152" t="e">
            <v>#N/A</v>
          </cell>
          <cell r="ET152" t="e">
            <v>#N/A</v>
          </cell>
          <cell r="EU152" t="e">
            <v>#N/A</v>
          </cell>
          <cell r="EV152" t="e">
            <v>#N/A</v>
          </cell>
          <cell r="EW152" t="e">
            <v>#N/A</v>
          </cell>
          <cell r="EX152" t="e">
            <v>#N/A</v>
          </cell>
          <cell r="EY152" t="e">
            <v>#N/A</v>
          </cell>
          <cell r="EZ152" t="e">
            <v>#N/A</v>
          </cell>
          <cell r="FA152" t="e">
            <v>#N/A</v>
          </cell>
          <cell r="FB152" t="e">
            <v>#N/A</v>
          </cell>
          <cell r="FC152" t="e">
            <v>#N/A</v>
          </cell>
          <cell r="FD152" t="e">
            <v>#N/A</v>
          </cell>
          <cell r="FE152" t="e">
            <v>#N/A</v>
          </cell>
          <cell r="FF152" t="e">
            <v>#N/A</v>
          </cell>
          <cell r="FG152" t="e">
            <v>#N/A</v>
          </cell>
          <cell r="FH152" t="e">
            <v>#N/A</v>
          </cell>
          <cell r="FI152" t="e">
            <v>#N/A</v>
          </cell>
          <cell r="FJ152" t="e">
            <v>#N/A</v>
          </cell>
          <cell r="FK152" t="e">
            <v>#N/A</v>
          </cell>
          <cell r="FL152" t="e">
            <v>#N/A</v>
          </cell>
          <cell r="FM152" t="e">
            <v>#N/A</v>
          </cell>
          <cell r="FN152" t="e">
            <v>#N/A</v>
          </cell>
          <cell r="FO152" t="e">
            <v>#N/A</v>
          </cell>
          <cell r="FP152" t="e">
            <v>#N/A</v>
          </cell>
          <cell r="FQ152" t="e">
            <v>#N/A</v>
          </cell>
          <cell r="FR152" t="e">
            <v>#N/A</v>
          </cell>
          <cell r="FS152" t="e">
            <v>#N/A</v>
          </cell>
          <cell r="FT152" t="e">
            <v>#N/A</v>
          </cell>
          <cell r="FU152" t="e">
            <v>#N/A</v>
          </cell>
          <cell r="FV152" t="e">
            <v>#N/A</v>
          </cell>
          <cell r="FW152" t="e">
            <v>#N/A</v>
          </cell>
          <cell r="FX152" t="e">
            <v>#N/A</v>
          </cell>
          <cell r="FY152" t="e">
            <v>#N/A</v>
          </cell>
          <cell r="FZ152" t="e">
            <v>#N/A</v>
          </cell>
          <cell r="GA152" t="e">
            <v>#N/A</v>
          </cell>
          <cell r="GB152" t="e">
            <v>#N/A</v>
          </cell>
          <cell r="GC152" t="e">
            <v>#N/A</v>
          </cell>
          <cell r="GD152" t="e">
            <v>#N/A</v>
          </cell>
          <cell r="GE152" t="e">
            <v>#N/A</v>
          </cell>
          <cell r="GF152" t="e">
            <v>#N/A</v>
          </cell>
          <cell r="GG152" t="e">
            <v>#N/A</v>
          </cell>
          <cell r="GH152" t="e">
            <v>#N/A</v>
          </cell>
          <cell r="GI152" t="e">
            <v>#N/A</v>
          </cell>
          <cell r="GJ152" t="e">
            <v>#N/A</v>
          </cell>
          <cell r="GK152" t="e">
            <v>#N/A</v>
          </cell>
          <cell r="GL152" t="e">
            <v>#N/A</v>
          </cell>
          <cell r="GM152" t="e">
            <v>#N/A</v>
          </cell>
          <cell r="GN152" t="e">
            <v>#N/A</v>
          </cell>
          <cell r="GO152" t="e">
            <v>#N/A</v>
          </cell>
          <cell r="GP152" t="e">
            <v>#N/A</v>
          </cell>
          <cell r="GQ152" t="e">
            <v>#N/A</v>
          </cell>
          <cell r="GR152" t="e">
            <v>#N/A</v>
          </cell>
          <cell r="GS152" t="e">
            <v>#N/A</v>
          </cell>
          <cell r="GT152" t="e">
            <v>#N/A</v>
          </cell>
          <cell r="GU152" t="e">
            <v>#N/A</v>
          </cell>
          <cell r="GV152" t="e">
            <v>#N/A</v>
          </cell>
          <cell r="GW152" t="e">
            <v>#N/A</v>
          </cell>
          <cell r="GX152" t="e">
            <v>#N/A</v>
          </cell>
        </row>
        <row r="153">
          <cell r="A153" t="str">
            <v>2027 Q1</v>
          </cell>
          <cell r="B153" t="e">
            <v>#N/A</v>
          </cell>
          <cell r="C153" t="e">
            <v>#N/A</v>
          </cell>
          <cell r="D153" t="e">
            <v>#N/A</v>
          </cell>
          <cell r="E153" t="e">
            <v>#N/A</v>
          </cell>
          <cell r="F153" t="e">
            <v>#N/A</v>
          </cell>
          <cell r="G153" t="e">
            <v>#N/A</v>
          </cell>
          <cell r="H153" t="e">
            <v>#N/A</v>
          </cell>
          <cell r="I153" t="e">
            <v>#N/A</v>
          </cell>
          <cell r="J153" t="e">
            <v>#N/A</v>
          </cell>
          <cell r="K153" t="e">
            <v>#N/A</v>
          </cell>
          <cell r="L153" t="e">
            <v>#N/A</v>
          </cell>
          <cell r="M153" t="e">
            <v>#N/A</v>
          </cell>
          <cell r="N153" t="e">
            <v>#N/A</v>
          </cell>
          <cell r="O153" t="e">
            <v>#N/A</v>
          </cell>
          <cell r="P153" t="e">
            <v>#N/A</v>
          </cell>
          <cell r="Q153" t="e">
            <v>#N/A</v>
          </cell>
          <cell r="R153" t="e">
            <v>#N/A</v>
          </cell>
          <cell r="S153" t="e">
            <v>#N/A</v>
          </cell>
          <cell r="T153" t="e">
            <v>#N/A</v>
          </cell>
          <cell r="U153" t="e">
            <v>#N/A</v>
          </cell>
          <cell r="V153" t="e">
            <v>#N/A</v>
          </cell>
          <cell r="W153" t="e">
            <v>#N/A</v>
          </cell>
          <cell r="X153" t="e">
            <v>#N/A</v>
          </cell>
          <cell r="Y153" t="e">
            <v>#N/A</v>
          </cell>
          <cell r="Z153" t="e">
            <v>#N/A</v>
          </cell>
          <cell r="AA153" t="e">
            <v>#N/A</v>
          </cell>
          <cell r="AB153" t="e">
            <v>#N/A</v>
          </cell>
          <cell r="AC153" t="e">
            <v>#N/A</v>
          </cell>
          <cell r="AD153" t="e">
            <v>#N/A</v>
          </cell>
          <cell r="AE153" t="e">
            <v>#N/A</v>
          </cell>
          <cell r="AF153" t="e">
            <v>#N/A</v>
          </cell>
          <cell r="AG153" t="e">
            <v>#N/A</v>
          </cell>
          <cell r="AH153" t="e">
            <v>#N/A</v>
          </cell>
          <cell r="AI153" t="e">
            <v>#N/A</v>
          </cell>
          <cell r="AJ153" t="e">
            <v>#N/A</v>
          </cell>
          <cell r="AK153" t="e">
            <v>#N/A</v>
          </cell>
          <cell r="AL153" t="e">
            <v>#N/A</v>
          </cell>
          <cell r="AM153" t="e">
            <v>#N/A</v>
          </cell>
          <cell r="AN153" t="e">
            <v>#N/A</v>
          </cell>
          <cell r="AO153" t="e">
            <v>#N/A</v>
          </cell>
          <cell r="AP153" t="e">
            <v>#N/A</v>
          </cell>
          <cell r="AQ153" t="e">
            <v>#N/A</v>
          </cell>
          <cell r="AR153" t="e">
            <v>#N/A</v>
          </cell>
          <cell r="AS153" t="e">
            <v>#N/A</v>
          </cell>
          <cell r="AT153" t="e">
            <v>#N/A</v>
          </cell>
          <cell r="AU153" t="e">
            <v>#N/A</v>
          </cell>
          <cell r="AV153" t="e">
            <v>#N/A</v>
          </cell>
          <cell r="AW153" t="e">
            <v>#N/A</v>
          </cell>
          <cell r="AX153" t="e">
            <v>#N/A</v>
          </cell>
          <cell r="AY153" t="e">
            <v>#N/A</v>
          </cell>
          <cell r="AZ153" t="e">
            <v>#N/A</v>
          </cell>
          <cell r="BA153" t="e">
            <v>#N/A</v>
          </cell>
          <cell r="BB153" t="e">
            <v>#N/A</v>
          </cell>
          <cell r="BC153" t="e">
            <v>#N/A</v>
          </cell>
          <cell r="BD153" t="e">
            <v>#N/A</v>
          </cell>
          <cell r="BE153" t="e">
            <v>#N/A</v>
          </cell>
          <cell r="BF153" t="e">
            <v>#N/A</v>
          </cell>
          <cell r="BG153" t="e">
            <v>#N/A</v>
          </cell>
          <cell r="BH153" t="e">
            <v>#N/A</v>
          </cell>
          <cell r="BI153" t="e">
            <v>#N/A</v>
          </cell>
          <cell r="BJ153" t="e">
            <v>#N/A</v>
          </cell>
          <cell r="BK153" t="e">
            <v>#N/A</v>
          </cell>
          <cell r="BL153" t="e">
            <v>#N/A</v>
          </cell>
          <cell r="BM153" t="e">
            <v>#N/A</v>
          </cell>
          <cell r="BN153" t="e">
            <v>#N/A</v>
          </cell>
          <cell r="BO153" t="e">
            <v>#N/A</v>
          </cell>
          <cell r="BP153" t="e">
            <v>#N/A</v>
          </cell>
          <cell r="BQ153" t="e">
            <v>#N/A</v>
          </cell>
          <cell r="BR153" t="e">
            <v>#N/A</v>
          </cell>
          <cell r="BS153" t="e">
            <v>#N/A</v>
          </cell>
          <cell r="BT153" t="e">
            <v>#N/A</v>
          </cell>
          <cell r="BU153" t="e">
            <v>#N/A</v>
          </cell>
          <cell r="BV153" t="e">
            <v>#N/A</v>
          </cell>
          <cell r="BW153" t="e">
            <v>#N/A</v>
          </cell>
          <cell r="BX153" t="e">
            <v>#N/A</v>
          </cell>
          <cell r="BY153" t="e">
            <v>#N/A</v>
          </cell>
          <cell r="BZ153" t="e">
            <v>#N/A</v>
          </cell>
          <cell r="CA153" t="e">
            <v>#N/A</v>
          </cell>
          <cell r="CB153" t="e">
            <v>#N/A</v>
          </cell>
          <cell r="CC153" t="e">
            <v>#N/A</v>
          </cell>
          <cell r="CD153" t="e">
            <v>#N/A</v>
          </cell>
          <cell r="CE153" t="e">
            <v>#N/A</v>
          </cell>
          <cell r="CF153" t="e">
            <v>#N/A</v>
          </cell>
          <cell r="CG153" t="e">
            <v>#N/A</v>
          </cell>
          <cell r="CH153" t="e">
            <v>#N/A</v>
          </cell>
          <cell r="CI153" t="e">
            <v>#N/A</v>
          </cell>
          <cell r="CJ153" t="e">
            <v>#N/A</v>
          </cell>
          <cell r="CK153" t="e">
            <v>#N/A</v>
          </cell>
          <cell r="CL153" t="e">
            <v>#N/A</v>
          </cell>
          <cell r="CM153" t="e">
            <v>#N/A</v>
          </cell>
          <cell r="CN153" t="e">
            <v>#N/A</v>
          </cell>
          <cell r="CO153" t="e">
            <v>#N/A</v>
          </cell>
          <cell r="CP153" t="e">
            <v>#N/A</v>
          </cell>
          <cell r="CQ153" t="e">
            <v>#N/A</v>
          </cell>
          <cell r="CR153" t="e">
            <v>#N/A</v>
          </cell>
          <cell r="CS153" t="e">
            <v>#N/A</v>
          </cell>
          <cell r="CT153" t="e">
            <v>#N/A</v>
          </cell>
          <cell r="CU153" t="e">
            <v>#N/A</v>
          </cell>
          <cell r="CV153" t="e">
            <v>#N/A</v>
          </cell>
          <cell r="CW153" t="e">
            <v>#N/A</v>
          </cell>
          <cell r="CX153" t="e">
            <v>#N/A</v>
          </cell>
          <cell r="CY153" t="e">
            <v>#N/A</v>
          </cell>
          <cell r="CZ153" t="e">
            <v>#N/A</v>
          </cell>
          <cell r="DA153" t="e">
            <v>#N/A</v>
          </cell>
          <cell r="DB153" t="e">
            <v>#N/A</v>
          </cell>
          <cell r="DC153" t="e">
            <v>#N/A</v>
          </cell>
          <cell r="DD153" t="e">
            <v>#N/A</v>
          </cell>
          <cell r="DE153" t="e">
            <v>#N/A</v>
          </cell>
          <cell r="DF153" t="e">
            <v>#N/A</v>
          </cell>
          <cell r="DG153" t="e">
            <v>#N/A</v>
          </cell>
          <cell r="DH153" t="e">
            <v>#N/A</v>
          </cell>
          <cell r="DI153" t="e">
            <v>#N/A</v>
          </cell>
          <cell r="DJ153" t="e">
            <v>#N/A</v>
          </cell>
          <cell r="DK153" t="e">
            <v>#N/A</v>
          </cell>
          <cell r="DL153" t="e">
            <v>#N/A</v>
          </cell>
          <cell r="DM153" t="e">
            <v>#N/A</v>
          </cell>
          <cell r="DN153" t="e">
            <v>#N/A</v>
          </cell>
          <cell r="DO153" t="e">
            <v>#N/A</v>
          </cell>
          <cell r="DP153" t="e">
            <v>#N/A</v>
          </cell>
          <cell r="DQ153" t="e">
            <v>#N/A</v>
          </cell>
          <cell r="DR153" t="e">
            <v>#N/A</v>
          </cell>
          <cell r="DS153" t="e">
            <v>#N/A</v>
          </cell>
          <cell r="DT153" t="e">
            <v>#N/A</v>
          </cell>
          <cell r="DU153" t="e">
            <v>#N/A</v>
          </cell>
          <cell r="DV153" t="e">
            <v>#N/A</v>
          </cell>
          <cell r="DW153" t="e">
            <v>#N/A</v>
          </cell>
          <cell r="DX153" t="e">
            <v>#N/A</v>
          </cell>
          <cell r="DY153" t="e">
            <v>#N/A</v>
          </cell>
          <cell r="DZ153" t="e">
            <v>#N/A</v>
          </cell>
          <cell r="EA153" t="e">
            <v>#N/A</v>
          </cell>
          <cell r="EB153" t="e">
            <v>#N/A</v>
          </cell>
          <cell r="EC153" t="e">
            <v>#N/A</v>
          </cell>
          <cell r="ED153" t="e">
            <v>#N/A</v>
          </cell>
          <cell r="EE153" t="e">
            <v>#N/A</v>
          </cell>
          <cell r="EF153" t="e">
            <v>#N/A</v>
          </cell>
          <cell r="EG153" t="e">
            <v>#N/A</v>
          </cell>
          <cell r="EH153" t="e">
            <v>#N/A</v>
          </cell>
          <cell r="EI153" t="e">
            <v>#N/A</v>
          </cell>
          <cell r="EJ153" t="e">
            <v>#N/A</v>
          </cell>
          <cell r="EK153" t="e">
            <v>#N/A</v>
          </cell>
          <cell r="EL153" t="e">
            <v>#N/A</v>
          </cell>
          <cell r="EM153" t="e">
            <v>#N/A</v>
          </cell>
          <cell r="EN153" t="e">
            <v>#N/A</v>
          </cell>
          <cell r="EO153" t="e">
            <v>#N/A</v>
          </cell>
          <cell r="EP153" t="e">
            <v>#N/A</v>
          </cell>
          <cell r="EQ153" t="e">
            <v>#N/A</v>
          </cell>
          <cell r="ER153" t="e">
            <v>#N/A</v>
          </cell>
          <cell r="ES153" t="e">
            <v>#N/A</v>
          </cell>
          <cell r="ET153" t="e">
            <v>#N/A</v>
          </cell>
          <cell r="EU153" t="e">
            <v>#N/A</v>
          </cell>
          <cell r="EV153" t="e">
            <v>#N/A</v>
          </cell>
          <cell r="EW153" t="e">
            <v>#N/A</v>
          </cell>
          <cell r="EX153" t="e">
            <v>#N/A</v>
          </cell>
          <cell r="EY153" t="e">
            <v>#N/A</v>
          </cell>
          <cell r="EZ153" t="e">
            <v>#N/A</v>
          </cell>
          <cell r="FA153" t="e">
            <v>#N/A</v>
          </cell>
          <cell r="FB153" t="e">
            <v>#N/A</v>
          </cell>
          <cell r="FC153" t="e">
            <v>#N/A</v>
          </cell>
          <cell r="FD153" t="e">
            <v>#N/A</v>
          </cell>
          <cell r="FE153" t="e">
            <v>#N/A</v>
          </cell>
          <cell r="FF153" t="e">
            <v>#N/A</v>
          </cell>
          <cell r="FG153" t="e">
            <v>#N/A</v>
          </cell>
          <cell r="FH153" t="e">
            <v>#N/A</v>
          </cell>
          <cell r="FI153" t="e">
            <v>#N/A</v>
          </cell>
          <cell r="FJ153" t="e">
            <v>#N/A</v>
          </cell>
          <cell r="FK153" t="e">
            <v>#N/A</v>
          </cell>
          <cell r="FL153" t="e">
            <v>#N/A</v>
          </cell>
          <cell r="FM153" t="e">
            <v>#N/A</v>
          </cell>
          <cell r="FN153" t="e">
            <v>#N/A</v>
          </cell>
          <cell r="FO153" t="e">
            <v>#N/A</v>
          </cell>
          <cell r="FP153" t="e">
            <v>#N/A</v>
          </cell>
          <cell r="FQ153" t="e">
            <v>#N/A</v>
          </cell>
          <cell r="FR153" t="e">
            <v>#N/A</v>
          </cell>
          <cell r="FS153" t="e">
            <v>#N/A</v>
          </cell>
          <cell r="FT153" t="e">
            <v>#N/A</v>
          </cell>
          <cell r="FU153" t="e">
            <v>#N/A</v>
          </cell>
          <cell r="FV153" t="e">
            <v>#N/A</v>
          </cell>
          <cell r="FW153" t="e">
            <v>#N/A</v>
          </cell>
          <cell r="FX153" t="e">
            <v>#N/A</v>
          </cell>
          <cell r="FY153" t="e">
            <v>#N/A</v>
          </cell>
          <cell r="FZ153" t="e">
            <v>#N/A</v>
          </cell>
          <cell r="GA153" t="e">
            <v>#N/A</v>
          </cell>
          <cell r="GB153" t="e">
            <v>#N/A</v>
          </cell>
          <cell r="GC153" t="e">
            <v>#N/A</v>
          </cell>
          <cell r="GD153" t="e">
            <v>#N/A</v>
          </cell>
          <cell r="GE153" t="e">
            <v>#N/A</v>
          </cell>
          <cell r="GF153" t="e">
            <v>#N/A</v>
          </cell>
          <cell r="GG153" t="e">
            <v>#N/A</v>
          </cell>
          <cell r="GH153" t="e">
            <v>#N/A</v>
          </cell>
          <cell r="GI153" t="e">
            <v>#N/A</v>
          </cell>
          <cell r="GJ153" t="e">
            <v>#N/A</v>
          </cell>
          <cell r="GK153" t="e">
            <v>#N/A</v>
          </cell>
          <cell r="GL153" t="e">
            <v>#N/A</v>
          </cell>
          <cell r="GM153" t="e">
            <v>#N/A</v>
          </cell>
          <cell r="GN153" t="e">
            <v>#N/A</v>
          </cell>
          <cell r="GO153" t="e">
            <v>#N/A</v>
          </cell>
          <cell r="GP153" t="e">
            <v>#N/A</v>
          </cell>
          <cell r="GQ153" t="e">
            <v>#N/A</v>
          </cell>
          <cell r="GR153" t="e">
            <v>#N/A</v>
          </cell>
          <cell r="GS153" t="e">
            <v>#N/A</v>
          </cell>
          <cell r="GT153" t="e">
            <v>#N/A</v>
          </cell>
          <cell r="GU153" t="e">
            <v>#N/A</v>
          </cell>
          <cell r="GV153" t="e">
            <v>#N/A</v>
          </cell>
          <cell r="GW153" t="e">
            <v>#N/A</v>
          </cell>
          <cell r="GX153" t="e">
            <v>#N/A</v>
          </cell>
        </row>
        <row r="154">
          <cell r="A154" t="str">
            <v>2027 Q2</v>
          </cell>
          <cell r="B154" t="e">
            <v>#N/A</v>
          </cell>
          <cell r="C154" t="e">
            <v>#N/A</v>
          </cell>
          <cell r="D154" t="e">
            <v>#N/A</v>
          </cell>
          <cell r="E154" t="e">
            <v>#N/A</v>
          </cell>
          <cell r="F154" t="e">
            <v>#N/A</v>
          </cell>
          <cell r="G154" t="e">
            <v>#N/A</v>
          </cell>
          <cell r="H154" t="e">
            <v>#N/A</v>
          </cell>
          <cell r="I154" t="e">
            <v>#N/A</v>
          </cell>
          <cell r="J154" t="e">
            <v>#N/A</v>
          </cell>
          <cell r="K154" t="e">
            <v>#N/A</v>
          </cell>
          <cell r="L154" t="e">
            <v>#N/A</v>
          </cell>
          <cell r="M154" t="e">
            <v>#N/A</v>
          </cell>
          <cell r="N154" t="e">
            <v>#N/A</v>
          </cell>
          <cell r="O154" t="e">
            <v>#N/A</v>
          </cell>
          <cell r="P154" t="e">
            <v>#N/A</v>
          </cell>
          <cell r="Q154" t="e">
            <v>#N/A</v>
          </cell>
          <cell r="R154" t="e">
            <v>#N/A</v>
          </cell>
          <cell r="S154" t="e">
            <v>#N/A</v>
          </cell>
          <cell r="T154" t="e">
            <v>#N/A</v>
          </cell>
          <cell r="U154" t="e">
            <v>#N/A</v>
          </cell>
          <cell r="V154" t="e">
            <v>#N/A</v>
          </cell>
          <cell r="W154" t="e">
            <v>#N/A</v>
          </cell>
          <cell r="X154" t="e">
            <v>#N/A</v>
          </cell>
          <cell r="Y154" t="e">
            <v>#N/A</v>
          </cell>
          <cell r="Z154" t="e">
            <v>#N/A</v>
          </cell>
          <cell r="AA154" t="e">
            <v>#N/A</v>
          </cell>
          <cell r="AB154" t="e">
            <v>#N/A</v>
          </cell>
          <cell r="AC154" t="e">
            <v>#N/A</v>
          </cell>
          <cell r="AD154" t="e">
            <v>#N/A</v>
          </cell>
          <cell r="AE154" t="e">
            <v>#N/A</v>
          </cell>
          <cell r="AF154" t="e">
            <v>#N/A</v>
          </cell>
          <cell r="AG154" t="e">
            <v>#N/A</v>
          </cell>
          <cell r="AH154" t="e">
            <v>#N/A</v>
          </cell>
          <cell r="AI154" t="e">
            <v>#N/A</v>
          </cell>
          <cell r="AJ154" t="e">
            <v>#N/A</v>
          </cell>
          <cell r="AK154" t="e">
            <v>#N/A</v>
          </cell>
          <cell r="AL154" t="e">
            <v>#N/A</v>
          </cell>
          <cell r="AM154" t="e">
            <v>#N/A</v>
          </cell>
          <cell r="AN154" t="e">
            <v>#N/A</v>
          </cell>
          <cell r="AO154" t="e">
            <v>#N/A</v>
          </cell>
          <cell r="AP154" t="e">
            <v>#N/A</v>
          </cell>
          <cell r="AQ154" t="e">
            <v>#N/A</v>
          </cell>
          <cell r="AR154" t="e">
            <v>#N/A</v>
          </cell>
          <cell r="AS154" t="e">
            <v>#N/A</v>
          </cell>
          <cell r="AT154" t="e">
            <v>#N/A</v>
          </cell>
          <cell r="AU154" t="e">
            <v>#N/A</v>
          </cell>
          <cell r="AV154" t="e">
            <v>#N/A</v>
          </cell>
          <cell r="AW154" t="e">
            <v>#N/A</v>
          </cell>
          <cell r="AX154" t="e">
            <v>#N/A</v>
          </cell>
          <cell r="AY154" t="e">
            <v>#N/A</v>
          </cell>
          <cell r="AZ154" t="e">
            <v>#N/A</v>
          </cell>
          <cell r="BA154" t="e">
            <v>#N/A</v>
          </cell>
          <cell r="BB154" t="e">
            <v>#N/A</v>
          </cell>
          <cell r="BC154" t="e">
            <v>#N/A</v>
          </cell>
          <cell r="BD154" t="e">
            <v>#N/A</v>
          </cell>
          <cell r="BE154" t="e">
            <v>#N/A</v>
          </cell>
          <cell r="BF154" t="e">
            <v>#N/A</v>
          </cell>
          <cell r="BG154" t="e">
            <v>#N/A</v>
          </cell>
          <cell r="BH154" t="e">
            <v>#N/A</v>
          </cell>
          <cell r="BI154" t="e">
            <v>#N/A</v>
          </cell>
          <cell r="BJ154" t="e">
            <v>#N/A</v>
          </cell>
          <cell r="BK154" t="e">
            <v>#N/A</v>
          </cell>
          <cell r="BL154" t="e">
            <v>#N/A</v>
          </cell>
          <cell r="BM154" t="e">
            <v>#N/A</v>
          </cell>
          <cell r="BN154" t="e">
            <v>#N/A</v>
          </cell>
          <cell r="BO154" t="e">
            <v>#N/A</v>
          </cell>
          <cell r="BP154" t="e">
            <v>#N/A</v>
          </cell>
          <cell r="BQ154" t="e">
            <v>#N/A</v>
          </cell>
          <cell r="BR154" t="e">
            <v>#N/A</v>
          </cell>
          <cell r="BS154" t="e">
            <v>#N/A</v>
          </cell>
          <cell r="BT154" t="e">
            <v>#N/A</v>
          </cell>
          <cell r="BU154" t="e">
            <v>#N/A</v>
          </cell>
          <cell r="BV154" t="e">
            <v>#N/A</v>
          </cell>
          <cell r="BW154" t="e">
            <v>#N/A</v>
          </cell>
          <cell r="BX154" t="e">
            <v>#N/A</v>
          </cell>
          <cell r="BY154" t="e">
            <v>#N/A</v>
          </cell>
          <cell r="BZ154" t="e">
            <v>#N/A</v>
          </cell>
          <cell r="CA154" t="e">
            <v>#N/A</v>
          </cell>
          <cell r="CB154" t="e">
            <v>#N/A</v>
          </cell>
          <cell r="CC154" t="e">
            <v>#N/A</v>
          </cell>
          <cell r="CD154" t="e">
            <v>#N/A</v>
          </cell>
          <cell r="CE154" t="e">
            <v>#N/A</v>
          </cell>
          <cell r="CF154" t="e">
            <v>#N/A</v>
          </cell>
          <cell r="CG154" t="e">
            <v>#N/A</v>
          </cell>
          <cell r="CH154" t="e">
            <v>#N/A</v>
          </cell>
          <cell r="CI154" t="e">
            <v>#N/A</v>
          </cell>
          <cell r="CJ154" t="e">
            <v>#N/A</v>
          </cell>
          <cell r="CK154" t="e">
            <v>#N/A</v>
          </cell>
          <cell r="CL154" t="e">
            <v>#N/A</v>
          </cell>
          <cell r="CM154" t="e">
            <v>#N/A</v>
          </cell>
          <cell r="CN154" t="e">
            <v>#N/A</v>
          </cell>
          <cell r="CO154" t="e">
            <v>#N/A</v>
          </cell>
          <cell r="CP154" t="e">
            <v>#N/A</v>
          </cell>
          <cell r="CQ154" t="e">
            <v>#N/A</v>
          </cell>
          <cell r="CR154" t="e">
            <v>#N/A</v>
          </cell>
          <cell r="CS154" t="e">
            <v>#N/A</v>
          </cell>
          <cell r="CT154" t="e">
            <v>#N/A</v>
          </cell>
          <cell r="CU154" t="e">
            <v>#N/A</v>
          </cell>
          <cell r="CV154" t="e">
            <v>#N/A</v>
          </cell>
          <cell r="CW154" t="e">
            <v>#N/A</v>
          </cell>
          <cell r="CX154" t="e">
            <v>#N/A</v>
          </cell>
          <cell r="CY154" t="e">
            <v>#N/A</v>
          </cell>
          <cell r="CZ154" t="e">
            <v>#N/A</v>
          </cell>
          <cell r="DA154" t="e">
            <v>#N/A</v>
          </cell>
          <cell r="DB154" t="e">
            <v>#N/A</v>
          </cell>
          <cell r="DC154" t="e">
            <v>#N/A</v>
          </cell>
          <cell r="DD154" t="e">
            <v>#N/A</v>
          </cell>
          <cell r="DE154" t="e">
            <v>#N/A</v>
          </cell>
          <cell r="DF154" t="e">
            <v>#N/A</v>
          </cell>
          <cell r="DG154" t="e">
            <v>#N/A</v>
          </cell>
          <cell r="DH154" t="e">
            <v>#N/A</v>
          </cell>
          <cell r="DI154" t="e">
            <v>#N/A</v>
          </cell>
          <cell r="DJ154" t="e">
            <v>#N/A</v>
          </cell>
          <cell r="DK154" t="e">
            <v>#N/A</v>
          </cell>
          <cell r="DL154" t="e">
            <v>#N/A</v>
          </cell>
          <cell r="DM154" t="e">
            <v>#N/A</v>
          </cell>
          <cell r="DN154" t="e">
            <v>#N/A</v>
          </cell>
          <cell r="DO154" t="e">
            <v>#N/A</v>
          </cell>
          <cell r="DP154" t="e">
            <v>#N/A</v>
          </cell>
          <cell r="DQ154" t="e">
            <v>#N/A</v>
          </cell>
          <cell r="DR154" t="e">
            <v>#N/A</v>
          </cell>
          <cell r="DS154" t="e">
            <v>#N/A</v>
          </cell>
          <cell r="DT154" t="e">
            <v>#N/A</v>
          </cell>
          <cell r="DU154" t="e">
            <v>#N/A</v>
          </cell>
          <cell r="DV154" t="e">
            <v>#N/A</v>
          </cell>
          <cell r="DW154" t="e">
            <v>#N/A</v>
          </cell>
          <cell r="DX154" t="e">
            <v>#N/A</v>
          </cell>
          <cell r="DY154" t="e">
            <v>#N/A</v>
          </cell>
          <cell r="DZ154" t="e">
            <v>#N/A</v>
          </cell>
          <cell r="EA154" t="e">
            <v>#N/A</v>
          </cell>
          <cell r="EB154" t="e">
            <v>#N/A</v>
          </cell>
          <cell r="EC154" t="e">
            <v>#N/A</v>
          </cell>
          <cell r="ED154" t="e">
            <v>#N/A</v>
          </cell>
          <cell r="EE154" t="e">
            <v>#N/A</v>
          </cell>
          <cell r="EF154" t="e">
            <v>#N/A</v>
          </cell>
          <cell r="EG154" t="e">
            <v>#N/A</v>
          </cell>
          <cell r="EH154" t="e">
            <v>#N/A</v>
          </cell>
          <cell r="EI154" t="e">
            <v>#N/A</v>
          </cell>
          <cell r="EJ154" t="e">
            <v>#N/A</v>
          </cell>
          <cell r="EK154" t="e">
            <v>#N/A</v>
          </cell>
          <cell r="EL154" t="e">
            <v>#N/A</v>
          </cell>
          <cell r="EM154" t="e">
            <v>#N/A</v>
          </cell>
          <cell r="EN154" t="e">
            <v>#N/A</v>
          </cell>
          <cell r="EO154" t="e">
            <v>#N/A</v>
          </cell>
          <cell r="EP154" t="e">
            <v>#N/A</v>
          </cell>
          <cell r="EQ154" t="e">
            <v>#N/A</v>
          </cell>
          <cell r="ER154" t="e">
            <v>#N/A</v>
          </cell>
          <cell r="ES154" t="e">
            <v>#N/A</v>
          </cell>
          <cell r="ET154" t="e">
            <v>#N/A</v>
          </cell>
          <cell r="EU154" t="e">
            <v>#N/A</v>
          </cell>
          <cell r="EV154" t="e">
            <v>#N/A</v>
          </cell>
          <cell r="EW154" t="e">
            <v>#N/A</v>
          </cell>
          <cell r="EX154" t="e">
            <v>#N/A</v>
          </cell>
          <cell r="EY154" t="e">
            <v>#N/A</v>
          </cell>
          <cell r="EZ154" t="e">
            <v>#N/A</v>
          </cell>
          <cell r="FA154" t="e">
            <v>#N/A</v>
          </cell>
          <cell r="FB154" t="e">
            <v>#N/A</v>
          </cell>
          <cell r="FC154" t="e">
            <v>#N/A</v>
          </cell>
          <cell r="FD154" t="e">
            <v>#N/A</v>
          </cell>
          <cell r="FE154" t="e">
            <v>#N/A</v>
          </cell>
          <cell r="FF154" t="e">
            <v>#N/A</v>
          </cell>
          <cell r="FG154" t="e">
            <v>#N/A</v>
          </cell>
          <cell r="FH154" t="e">
            <v>#N/A</v>
          </cell>
          <cell r="FI154" t="e">
            <v>#N/A</v>
          </cell>
          <cell r="FJ154" t="e">
            <v>#N/A</v>
          </cell>
          <cell r="FK154" t="e">
            <v>#N/A</v>
          </cell>
          <cell r="FL154" t="e">
            <v>#N/A</v>
          </cell>
          <cell r="FM154" t="e">
            <v>#N/A</v>
          </cell>
          <cell r="FN154" t="e">
            <v>#N/A</v>
          </cell>
          <cell r="FO154" t="e">
            <v>#N/A</v>
          </cell>
          <cell r="FP154" t="e">
            <v>#N/A</v>
          </cell>
          <cell r="FQ154" t="e">
            <v>#N/A</v>
          </cell>
          <cell r="FR154" t="e">
            <v>#N/A</v>
          </cell>
          <cell r="FS154" t="e">
            <v>#N/A</v>
          </cell>
          <cell r="FT154" t="e">
            <v>#N/A</v>
          </cell>
          <cell r="FU154" t="e">
            <v>#N/A</v>
          </cell>
          <cell r="FV154" t="e">
            <v>#N/A</v>
          </cell>
          <cell r="FW154" t="e">
            <v>#N/A</v>
          </cell>
          <cell r="FX154" t="e">
            <v>#N/A</v>
          </cell>
          <cell r="FY154" t="e">
            <v>#N/A</v>
          </cell>
          <cell r="FZ154" t="e">
            <v>#N/A</v>
          </cell>
          <cell r="GA154" t="e">
            <v>#N/A</v>
          </cell>
          <cell r="GB154" t="e">
            <v>#N/A</v>
          </cell>
          <cell r="GC154" t="e">
            <v>#N/A</v>
          </cell>
          <cell r="GD154" t="e">
            <v>#N/A</v>
          </cell>
          <cell r="GE154" t="e">
            <v>#N/A</v>
          </cell>
          <cell r="GF154" t="e">
            <v>#N/A</v>
          </cell>
          <cell r="GG154" t="e">
            <v>#N/A</v>
          </cell>
          <cell r="GH154" t="e">
            <v>#N/A</v>
          </cell>
          <cell r="GI154" t="e">
            <v>#N/A</v>
          </cell>
          <cell r="GJ154" t="e">
            <v>#N/A</v>
          </cell>
          <cell r="GK154" t="e">
            <v>#N/A</v>
          </cell>
          <cell r="GL154" t="e">
            <v>#N/A</v>
          </cell>
          <cell r="GM154" t="e">
            <v>#N/A</v>
          </cell>
          <cell r="GN154" t="e">
            <v>#N/A</v>
          </cell>
          <cell r="GO154" t="e">
            <v>#N/A</v>
          </cell>
          <cell r="GP154" t="e">
            <v>#N/A</v>
          </cell>
          <cell r="GQ154" t="e">
            <v>#N/A</v>
          </cell>
          <cell r="GR154" t="e">
            <v>#N/A</v>
          </cell>
          <cell r="GS154" t="e">
            <v>#N/A</v>
          </cell>
          <cell r="GT154" t="e">
            <v>#N/A</v>
          </cell>
          <cell r="GU154" t="e">
            <v>#N/A</v>
          </cell>
          <cell r="GV154" t="e">
            <v>#N/A</v>
          </cell>
          <cell r="GW154" t="e">
            <v>#N/A</v>
          </cell>
          <cell r="GX154" t="e">
            <v>#N/A</v>
          </cell>
        </row>
        <row r="155">
          <cell r="A155" t="str">
            <v>2027 Q3</v>
          </cell>
          <cell r="B155" t="e">
            <v>#N/A</v>
          </cell>
          <cell r="C155" t="e">
            <v>#N/A</v>
          </cell>
          <cell r="D155" t="e">
            <v>#N/A</v>
          </cell>
          <cell r="E155" t="e">
            <v>#N/A</v>
          </cell>
          <cell r="F155" t="e">
            <v>#N/A</v>
          </cell>
          <cell r="G155" t="e">
            <v>#N/A</v>
          </cell>
          <cell r="H155" t="e">
            <v>#N/A</v>
          </cell>
          <cell r="I155" t="e">
            <v>#N/A</v>
          </cell>
          <cell r="J155" t="e">
            <v>#N/A</v>
          </cell>
          <cell r="K155" t="e">
            <v>#N/A</v>
          </cell>
          <cell r="L155" t="e">
            <v>#N/A</v>
          </cell>
          <cell r="M155" t="e">
            <v>#N/A</v>
          </cell>
          <cell r="N155" t="e">
            <v>#N/A</v>
          </cell>
          <cell r="O155" t="e">
            <v>#N/A</v>
          </cell>
          <cell r="P155" t="e">
            <v>#N/A</v>
          </cell>
          <cell r="Q155" t="e">
            <v>#N/A</v>
          </cell>
          <cell r="R155" t="e">
            <v>#N/A</v>
          </cell>
          <cell r="S155" t="e">
            <v>#N/A</v>
          </cell>
          <cell r="T155" t="e">
            <v>#N/A</v>
          </cell>
          <cell r="U155" t="e">
            <v>#N/A</v>
          </cell>
          <cell r="V155" t="e">
            <v>#N/A</v>
          </cell>
          <cell r="W155" t="e">
            <v>#N/A</v>
          </cell>
          <cell r="X155" t="e">
            <v>#N/A</v>
          </cell>
          <cell r="Y155" t="e">
            <v>#N/A</v>
          </cell>
          <cell r="Z155" t="e">
            <v>#N/A</v>
          </cell>
          <cell r="AA155" t="e">
            <v>#N/A</v>
          </cell>
          <cell r="AB155" t="e">
            <v>#N/A</v>
          </cell>
          <cell r="AC155" t="e">
            <v>#N/A</v>
          </cell>
          <cell r="AD155" t="e">
            <v>#N/A</v>
          </cell>
          <cell r="AE155" t="e">
            <v>#N/A</v>
          </cell>
          <cell r="AF155" t="e">
            <v>#N/A</v>
          </cell>
          <cell r="AG155" t="e">
            <v>#N/A</v>
          </cell>
          <cell r="AH155" t="e">
            <v>#N/A</v>
          </cell>
          <cell r="AI155" t="e">
            <v>#N/A</v>
          </cell>
          <cell r="AJ155" t="e">
            <v>#N/A</v>
          </cell>
          <cell r="AK155" t="e">
            <v>#N/A</v>
          </cell>
          <cell r="AL155" t="e">
            <v>#N/A</v>
          </cell>
          <cell r="AM155" t="e">
            <v>#N/A</v>
          </cell>
          <cell r="AN155" t="e">
            <v>#N/A</v>
          </cell>
          <cell r="AO155" t="e">
            <v>#N/A</v>
          </cell>
          <cell r="AP155" t="e">
            <v>#N/A</v>
          </cell>
          <cell r="AQ155" t="e">
            <v>#N/A</v>
          </cell>
          <cell r="AR155" t="e">
            <v>#N/A</v>
          </cell>
          <cell r="AS155" t="e">
            <v>#N/A</v>
          </cell>
          <cell r="AT155" t="e">
            <v>#N/A</v>
          </cell>
          <cell r="AU155" t="e">
            <v>#N/A</v>
          </cell>
          <cell r="AV155" t="e">
            <v>#N/A</v>
          </cell>
          <cell r="AW155" t="e">
            <v>#N/A</v>
          </cell>
          <cell r="AX155" t="e">
            <v>#N/A</v>
          </cell>
          <cell r="AY155" t="e">
            <v>#N/A</v>
          </cell>
          <cell r="AZ155" t="e">
            <v>#N/A</v>
          </cell>
          <cell r="BA155" t="e">
            <v>#N/A</v>
          </cell>
          <cell r="BB155" t="e">
            <v>#N/A</v>
          </cell>
          <cell r="BC155" t="e">
            <v>#N/A</v>
          </cell>
          <cell r="BD155" t="e">
            <v>#N/A</v>
          </cell>
          <cell r="BE155" t="e">
            <v>#N/A</v>
          </cell>
          <cell r="BF155" t="e">
            <v>#N/A</v>
          </cell>
          <cell r="BG155" t="e">
            <v>#N/A</v>
          </cell>
          <cell r="BH155" t="e">
            <v>#N/A</v>
          </cell>
          <cell r="BI155" t="e">
            <v>#N/A</v>
          </cell>
          <cell r="BJ155" t="e">
            <v>#N/A</v>
          </cell>
          <cell r="BK155" t="e">
            <v>#N/A</v>
          </cell>
          <cell r="BL155" t="e">
            <v>#N/A</v>
          </cell>
          <cell r="BM155" t="e">
            <v>#N/A</v>
          </cell>
          <cell r="BN155" t="e">
            <v>#N/A</v>
          </cell>
          <cell r="BO155" t="e">
            <v>#N/A</v>
          </cell>
          <cell r="BP155" t="e">
            <v>#N/A</v>
          </cell>
          <cell r="BQ155" t="e">
            <v>#N/A</v>
          </cell>
          <cell r="BR155" t="e">
            <v>#N/A</v>
          </cell>
          <cell r="BS155" t="e">
            <v>#N/A</v>
          </cell>
          <cell r="BT155" t="e">
            <v>#N/A</v>
          </cell>
          <cell r="BU155" t="e">
            <v>#N/A</v>
          </cell>
          <cell r="BV155" t="e">
            <v>#N/A</v>
          </cell>
          <cell r="BW155" t="e">
            <v>#N/A</v>
          </cell>
          <cell r="BX155" t="e">
            <v>#N/A</v>
          </cell>
          <cell r="BY155" t="e">
            <v>#N/A</v>
          </cell>
          <cell r="BZ155" t="e">
            <v>#N/A</v>
          </cell>
          <cell r="CA155" t="e">
            <v>#N/A</v>
          </cell>
          <cell r="CB155" t="e">
            <v>#N/A</v>
          </cell>
          <cell r="CC155" t="e">
            <v>#N/A</v>
          </cell>
          <cell r="CD155" t="e">
            <v>#N/A</v>
          </cell>
          <cell r="CE155" t="e">
            <v>#N/A</v>
          </cell>
          <cell r="CF155" t="e">
            <v>#N/A</v>
          </cell>
          <cell r="CG155" t="e">
            <v>#N/A</v>
          </cell>
          <cell r="CH155" t="e">
            <v>#N/A</v>
          </cell>
          <cell r="CI155" t="e">
            <v>#N/A</v>
          </cell>
          <cell r="CJ155" t="e">
            <v>#N/A</v>
          </cell>
          <cell r="CK155" t="e">
            <v>#N/A</v>
          </cell>
          <cell r="CL155" t="e">
            <v>#N/A</v>
          </cell>
          <cell r="CM155" t="e">
            <v>#N/A</v>
          </cell>
          <cell r="CN155" t="e">
            <v>#N/A</v>
          </cell>
          <cell r="CO155" t="e">
            <v>#N/A</v>
          </cell>
          <cell r="CP155" t="e">
            <v>#N/A</v>
          </cell>
          <cell r="CQ155" t="e">
            <v>#N/A</v>
          </cell>
          <cell r="CR155" t="e">
            <v>#N/A</v>
          </cell>
          <cell r="CS155" t="e">
            <v>#N/A</v>
          </cell>
          <cell r="CT155" t="e">
            <v>#N/A</v>
          </cell>
          <cell r="CU155" t="e">
            <v>#N/A</v>
          </cell>
          <cell r="CV155" t="e">
            <v>#N/A</v>
          </cell>
          <cell r="CW155" t="e">
            <v>#N/A</v>
          </cell>
          <cell r="CX155" t="e">
            <v>#N/A</v>
          </cell>
          <cell r="CY155" t="e">
            <v>#N/A</v>
          </cell>
          <cell r="CZ155" t="e">
            <v>#N/A</v>
          </cell>
          <cell r="DA155" t="e">
            <v>#N/A</v>
          </cell>
          <cell r="DB155" t="e">
            <v>#N/A</v>
          </cell>
          <cell r="DC155" t="e">
            <v>#N/A</v>
          </cell>
          <cell r="DD155" t="e">
            <v>#N/A</v>
          </cell>
          <cell r="DE155" t="e">
            <v>#N/A</v>
          </cell>
          <cell r="DF155" t="e">
            <v>#N/A</v>
          </cell>
          <cell r="DG155" t="e">
            <v>#N/A</v>
          </cell>
          <cell r="DH155" t="e">
            <v>#N/A</v>
          </cell>
          <cell r="DI155" t="e">
            <v>#N/A</v>
          </cell>
          <cell r="DJ155" t="e">
            <v>#N/A</v>
          </cell>
          <cell r="DK155" t="e">
            <v>#N/A</v>
          </cell>
          <cell r="DL155" t="e">
            <v>#N/A</v>
          </cell>
          <cell r="DM155" t="e">
            <v>#N/A</v>
          </cell>
          <cell r="DN155" t="e">
            <v>#N/A</v>
          </cell>
          <cell r="DO155" t="e">
            <v>#N/A</v>
          </cell>
          <cell r="DP155" t="e">
            <v>#N/A</v>
          </cell>
          <cell r="DQ155" t="e">
            <v>#N/A</v>
          </cell>
          <cell r="DR155" t="e">
            <v>#N/A</v>
          </cell>
          <cell r="DS155" t="e">
            <v>#N/A</v>
          </cell>
          <cell r="DT155" t="e">
            <v>#N/A</v>
          </cell>
          <cell r="DU155" t="e">
            <v>#N/A</v>
          </cell>
          <cell r="DV155" t="e">
            <v>#N/A</v>
          </cell>
          <cell r="DW155" t="e">
            <v>#N/A</v>
          </cell>
          <cell r="DX155" t="e">
            <v>#N/A</v>
          </cell>
          <cell r="DY155" t="e">
            <v>#N/A</v>
          </cell>
          <cell r="DZ155" t="e">
            <v>#N/A</v>
          </cell>
          <cell r="EA155" t="e">
            <v>#N/A</v>
          </cell>
          <cell r="EB155" t="e">
            <v>#N/A</v>
          </cell>
          <cell r="EC155" t="e">
            <v>#N/A</v>
          </cell>
          <cell r="ED155" t="e">
            <v>#N/A</v>
          </cell>
          <cell r="EE155" t="e">
            <v>#N/A</v>
          </cell>
          <cell r="EF155" t="e">
            <v>#N/A</v>
          </cell>
          <cell r="EG155" t="e">
            <v>#N/A</v>
          </cell>
          <cell r="EH155" t="e">
            <v>#N/A</v>
          </cell>
          <cell r="EI155" t="e">
            <v>#N/A</v>
          </cell>
          <cell r="EJ155" t="e">
            <v>#N/A</v>
          </cell>
          <cell r="EK155" t="e">
            <v>#N/A</v>
          </cell>
          <cell r="EL155" t="e">
            <v>#N/A</v>
          </cell>
          <cell r="EM155" t="e">
            <v>#N/A</v>
          </cell>
          <cell r="EN155" t="e">
            <v>#N/A</v>
          </cell>
          <cell r="EO155" t="e">
            <v>#N/A</v>
          </cell>
          <cell r="EP155" t="e">
            <v>#N/A</v>
          </cell>
          <cell r="EQ155" t="e">
            <v>#N/A</v>
          </cell>
          <cell r="ER155" t="e">
            <v>#N/A</v>
          </cell>
          <cell r="ES155" t="e">
            <v>#N/A</v>
          </cell>
          <cell r="ET155" t="e">
            <v>#N/A</v>
          </cell>
          <cell r="EU155" t="e">
            <v>#N/A</v>
          </cell>
          <cell r="EV155" t="e">
            <v>#N/A</v>
          </cell>
          <cell r="EW155" t="e">
            <v>#N/A</v>
          </cell>
          <cell r="EX155" t="e">
            <v>#N/A</v>
          </cell>
          <cell r="EY155" t="e">
            <v>#N/A</v>
          </cell>
          <cell r="EZ155" t="e">
            <v>#N/A</v>
          </cell>
          <cell r="FA155" t="e">
            <v>#N/A</v>
          </cell>
          <cell r="FB155" t="e">
            <v>#N/A</v>
          </cell>
          <cell r="FC155" t="e">
            <v>#N/A</v>
          </cell>
          <cell r="FD155" t="e">
            <v>#N/A</v>
          </cell>
          <cell r="FE155" t="e">
            <v>#N/A</v>
          </cell>
          <cell r="FF155" t="e">
            <v>#N/A</v>
          </cell>
          <cell r="FG155" t="e">
            <v>#N/A</v>
          </cell>
          <cell r="FH155" t="e">
            <v>#N/A</v>
          </cell>
          <cell r="FI155" t="e">
            <v>#N/A</v>
          </cell>
          <cell r="FJ155" t="e">
            <v>#N/A</v>
          </cell>
          <cell r="FK155" t="e">
            <v>#N/A</v>
          </cell>
          <cell r="FL155" t="e">
            <v>#N/A</v>
          </cell>
          <cell r="FM155" t="e">
            <v>#N/A</v>
          </cell>
          <cell r="FN155" t="e">
            <v>#N/A</v>
          </cell>
          <cell r="FO155" t="e">
            <v>#N/A</v>
          </cell>
          <cell r="FP155" t="e">
            <v>#N/A</v>
          </cell>
          <cell r="FQ155" t="e">
            <v>#N/A</v>
          </cell>
          <cell r="FR155" t="e">
            <v>#N/A</v>
          </cell>
          <cell r="FS155" t="e">
            <v>#N/A</v>
          </cell>
          <cell r="FT155" t="e">
            <v>#N/A</v>
          </cell>
          <cell r="FU155" t="e">
            <v>#N/A</v>
          </cell>
          <cell r="FV155" t="e">
            <v>#N/A</v>
          </cell>
          <cell r="FW155" t="e">
            <v>#N/A</v>
          </cell>
          <cell r="FX155" t="e">
            <v>#N/A</v>
          </cell>
          <cell r="FY155" t="e">
            <v>#N/A</v>
          </cell>
          <cell r="FZ155" t="e">
            <v>#N/A</v>
          </cell>
          <cell r="GA155" t="e">
            <v>#N/A</v>
          </cell>
          <cell r="GB155" t="e">
            <v>#N/A</v>
          </cell>
          <cell r="GC155" t="e">
            <v>#N/A</v>
          </cell>
          <cell r="GD155" t="e">
            <v>#N/A</v>
          </cell>
          <cell r="GE155" t="e">
            <v>#N/A</v>
          </cell>
          <cell r="GF155" t="e">
            <v>#N/A</v>
          </cell>
          <cell r="GG155" t="e">
            <v>#N/A</v>
          </cell>
          <cell r="GH155" t="e">
            <v>#N/A</v>
          </cell>
          <cell r="GI155" t="e">
            <v>#N/A</v>
          </cell>
          <cell r="GJ155" t="e">
            <v>#N/A</v>
          </cell>
          <cell r="GK155" t="e">
            <v>#N/A</v>
          </cell>
          <cell r="GL155" t="e">
            <v>#N/A</v>
          </cell>
          <cell r="GM155" t="e">
            <v>#N/A</v>
          </cell>
          <cell r="GN155" t="e">
            <v>#N/A</v>
          </cell>
          <cell r="GO155" t="e">
            <v>#N/A</v>
          </cell>
          <cell r="GP155" t="e">
            <v>#N/A</v>
          </cell>
          <cell r="GQ155" t="e">
            <v>#N/A</v>
          </cell>
          <cell r="GR155" t="e">
            <v>#N/A</v>
          </cell>
          <cell r="GS155" t="e">
            <v>#N/A</v>
          </cell>
          <cell r="GT155" t="e">
            <v>#N/A</v>
          </cell>
          <cell r="GU155" t="e">
            <v>#N/A</v>
          </cell>
          <cell r="GV155" t="e">
            <v>#N/A</v>
          </cell>
          <cell r="GW155" t="e">
            <v>#N/A</v>
          </cell>
          <cell r="GX155" t="e">
            <v>#N/A</v>
          </cell>
        </row>
        <row r="156">
          <cell r="A156" t="str">
            <v>2027 Q4</v>
          </cell>
          <cell r="B156" t="e">
            <v>#N/A</v>
          </cell>
          <cell r="C156" t="e">
            <v>#N/A</v>
          </cell>
          <cell r="D156" t="e">
            <v>#N/A</v>
          </cell>
          <cell r="E156" t="e">
            <v>#N/A</v>
          </cell>
          <cell r="F156" t="e">
            <v>#N/A</v>
          </cell>
          <cell r="G156" t="e">
            <v>#N/A</v>
          </cell>
          <cell r="H156" t="e">
            <v>#N/A</v>
          </cell>
          <cell r="I156" t="e">
            <v>#N/A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  <cell r="N156" t="e">
            <v>#N/A</v>
          </cell>
          <cell r="O156" t="e">
            <v>#N/A</v>
          </cell>
          <cell r="P156" t="e">
            <v>#N/A</v>
          </cell>
          <cell r="Q156" t="e">
            <v>#N/A</v>
          </cell>
          <cell r="R156" t="e">
            <v>#N/A</v>
          </cell>
          <cell r="S156" t="e">
            <v>#N/A</v>
          </cell>
          <cell r="T156" t="e">
            <v>#N/A</v>
          </cell>
          <cell r="U156" t="e">
            <v>#N/A</v>
          </cell>
          <cell r="V156" t="e">
            <v>#N/A</v>
          </cell>
          <cell r="W156" t="e">
            <v>#N/A</v>
          </cell>
          <cell r="X156" t="e">
            <v>#N/A</v>
          </cell>
          <cell r="Y156" t="e">
            <v>#N/A</v>
          </cell>
          <cell r="Z156" t="e">
            <v>#N/A</v>
          </cell>
          <cell r="AA156" t="e">
            <v>#N/A</v>
          </cell>
          <cell r="AB156" t="e">
            <v>#N/A</v>
          </cell>
          <cell r="AC156" t="e">
            <v>#N/A</v>
          </cell>
          <cell r="AD156" t="e">
            <v>#N/A</v>
          </cell>
          <cell r="AE156" t="e">
            <v>#N/A</v>
          </cell>
          <cell r="AF156" t="e">
            <v>#N/A</v>
          </cell>
          <cell r="AG156" t="e">
            <v>#N/A</v>
          </cell>
          <cell r="AH156" t="e">
            <v>#N/A</v>
          </cell>
          <cell r="AI156" t="e">
            <v>#N/A</v>
          </cell>
          <cell r="AJ156" t="e">
            <v>#N/A</v>
          </cell>
          <cell r="AK156" t="e">
            <v>#N/A</v>
          </cell>
          <cell r="AL156" t="e">
            <v>#N/A</v>
          </cell>
          <cell r="AM156" t="e">
            <v>#N/A</v>
          </cell>
          <cell r="AN156" t="e">
            <v>#N/A</v>
          </cell>
          <cell r="AO156" t="e">
            <v>#N/A</v>
          </cell>
          <cell r="AP156" t="e">
            <v>#N/A</v>
          </cell>
          <cell r="AQ156" t="e">
            <v>#N/A</v>
          </cell>
          <cell r="AR156" t="e">
            <v>#N/A</v>
          </cell>
          <cell r="AS156" t="e">
            <v>#N/A</v>
          </cell>
          <cell r="AT156" t="e">
            <v>#N/A</v>
          </cell>
          <cell r="AU156" t="e">
            <v>#N/A</v>
          </cell>
          <cell r="AV156" t="e">
            <v>#N/A</v>
          </cell>
          <cell r="AW156" t="e">
            <v>#N/A</v>
          </cell>
          <cell r="AX156" t="e">
            <v>#N/A</v>
          </cell>
          <cell r="AY156" t="e">
            <v>#N/A</v>
          </cell>
          <cell r="AZ156" t="e">
            <v>#N/A</v>
          </cell>
          <cell r="BA156" t="e">
            <v>#N/A</v>
          </cell>
          <cell r="BB156" t="e">
            <v>#N/A</v>
          </cell>
          <cell r="BC156" t="e">
            <v>#N/A</v>
          </cell>
          <cell r="BD156" t="e">
            <v>#N/A</v>
          </cell>
          <cell r="BE156" t="e">
            <v>#N/A</v>
          </cell>
          <cell r="BF156" t="e">
            <v>#N/A</v>
          </cell>
          <cell r="BG156" t="e">
            <v>#N/A</v>
          </cell>
          <cell r="BH156" t="e">
            <v>#N/A</v>
          </cell>
          <cell r="BI156" t="e">
            <v>#N/A</v>
          </cell>
          <cell r="BJ156" t="e">
            <v>#N/A</v>
          </cell>
          <cell r="BK156" t="e">
            <v>#N/A</v>
          </cell>
          <cell r="BL156" t="e">
            <v>#N/A</v>
          </cell>
          <cell r="BM156" t="e">
            <v>#N/A</v>
          </cell>
          <cell r="BN156" t="e">
            <v>#N/A</v>
          </cell>
          <cell r="BO156" t="e">
            <v>#N/A</v>
          </cell>
          <cell r="BP156" t="e">
            <v>#N/A</v>
          </cell>
          <cell r="BQ156" t="e">
            <v>#N/A</v>
          </cell>
          <cell r="BR156" t="e">
            <v>#N/A</v>
          </cell>
          <cell r="BS156" t="e">
            <v>#N/A</v>
          </cell>
          <cell r="BT156" t="e">
            <v>#N/A</v>
          </cell>
          <cell r="BU156" t="e">
            <v>#N/A</v>
          </cell>
          <cell r="BV156" t="e">
            <v>#N/A</v>
          </cell>
          <cell r="BW156" t="e">
            <v>#N/A</v>
          </cell>
          <cell r="BX156" t="e">
            <v>#N/A</v>
          </cell>
          <cell r="BY156" t="e">
            <v>#N/A</v>
          </cell>
          <cell r="BZ156" t="e">
            <v>#N/A</v>
          </cell>
          <cell r="CA156" t="e">
            <v>#N/A</v>
          </cell>
          <cell r="CB156" t="e">
            <v>#N/A</v>
          </cell>
          <cell r="CC156" t="e">
            <v>#N/A</v>
          </cell>
          <cell r="CD156" t="e">
            <v>#N/A</v>
          </cell>
          <cell r="CE156" t="e">
            <v>#N/A</v>
          </cell>
          <cell r="CF156" t="e">
            <v>#N/A</v>
          </cell>
          <cell r="CG156" t="e">
            <v>#N/A</v>
          </cell>
          <cell r="CH156" t="e">
            <v>#N/A</v>
          </cell>
          <cell r="CI156" t="e">
            <v>#N/A</v>
          </cell>
          <cell r="CJ156" t="e">
            <v>#N/A</v>
          </cell>
          <cell r="CK156" t="e">
            <v>#N/A</v>
          </cell>
          <cell r="CL156" t="e">
            <v>#N/A</v>
          </cell>
          <cell r="CM156" t="e">
            <v>#N/A</v>
          </cell>
          <cell r="CN156" t="e">
            <v>#N/A</v>
          </cell>
          <cell r="CO156" t="e">
            <v>#N/A</v>
          </cell>
          <cell r="CP156" t="e">
            <v>#N/A</v>
          </cell>
          <cell r="CQ156" t="e">
            <v>#N/A</v>
          </cell>
          <cell r="CR156" t="e">
            <v>#N/A</v>
          </cell>
          <cell r="CS156" t="e">
            <v>#N/A</v>
          </cell>
          <cell r="CT156" t="e">
            <v>#N/A</v>
          </cell>
          <cell r="CU156" t="e">
            <v>#N/A</v>
          </cell>
          <cell r="CV156" t="e">
            <v>#N/A</v>
          </cell>
          <cell r="CW156" t="e">
            <v>#N/A</v>
          </cell>
          <cell r="CX156" t="e">
            <v>#N/A</v>
          </cell>
          <cell r="CY156" t="e">
            <v>#N/A</v>
          </cell>
          <cell r="CZ156" t="e">
            <v>#N/A</v>
          </cell>
          <cell r="DA156" t="e">
            <v>#N/A</v>
          </cell>
          <cell r="DB156" t="e">
            <v>#N/A</v>
          </cell>
          <cell r="DC156" t="e">
            <v>#N/A</v>
          </cell>
          <cell r="DD156" t="e">
            <v>#N/A</v>
          </cell>
          <cell r="DE156" t="e">
            <v>#N/A</v>
          </cell>
          <cell r="DF156" t="e">
            <v>#N/A</v>
          </cell>
          <cell r="DG156" t="e">
            <v>#N/A</v>
          </cell>
          <cell r="DH156" t="e">
            <v>#N/A</v>
          </cell>
          <cell r="DI156" t="e">
            <v>#N/A</v>
          </cell>
          <cell r="DJ156" t="e">
            <v>#N/A</v>
          </cell>
          <cell r="DK156" t="e">
            <v>#N/A</v>
          </cell>
          <cell r="DL156" t="e">
            <v>#N/A</v>
          </cell>
          <cell r="DM156" t="e">
            <v>#N/A</v>
          </cell>
          <cell r="DN156" t="e">
            <v>#N/A</v>
          </cell>
          <cell r="DO156" t="e">
            <v>#N/A</v>
          </cell>
          <cell r="DP156" t="e">
            <v>#N/A</v>
          </cell>
          <cell r="DQ156" t="e">
            <v>#N/A</v>
          </cell>
          <cell r="DR156" t="e">
            <v>#N/A</v>
          </cell>
          <cell r="DS156" t="e">
            <v>#N/A</v>
          </cell>
          <cell r="DT156" t="e">
            <v>#N/A</v>
          </cell>
          <cell r="DU156" t="e">
            <v>#N/A</v>
          </cell>
          <cell r="DV156" t="e">
            <v>#N/A</v>
          </cell>
          <cell r="DW156" t="e">
            <v>#N/A</v>
          </cell>
          <cell r="DX156" t="e">
            <v>#N/A</v>
          </cell>
          <cell r="DY156" t="e">
            <v>#N/A</v>
          </cell>
          <cell r="DZ156" t="e">
            <v>#N/A</v>
          </cell>
          <cell r="EA156" t="e">
            <v>#N/A</v>
          </cell>
          <cell r="EB156" t="e">
            <v>#N/A</v>
          </cell>
          <cell r="EC156" t="e">
            <v>#N/A</v>
          </cell>
          <cell r="ED156" t="e">
            <v>#N/A</v>
          </cell>
          <cell r="EE156" t="e">
            <v>#N/A</v>
          </cell>
          <cell r="EF156" t="e">
            <v>#N/A</v>
          </cell>
          <cell r="EG156" t="e">
            <v>#N/A</v>
          </cell>
          <cell r="EH156" t="e">
            <v>#N/A</v>
          </cell>
          <cell r="EI156" t="e">
            <v>#N/A</v>
          </cell>
          <cell r="EJ156" t="e">
            <v>#N/A</v>
          </cell>
          <cell r="EK156" t="e">
            <v>#N/A</v>
          </cell>
          <cell r="EL156" t="e">
            <v>#N/A</v>
          </cell>
          <cell r="EM156" t="e">
            <v>#N/A</v>
          </cell>
          <cell r="EN156" t="e">
            <v>#N/A</v>
          </cell>
          <cell r="EO156" t="e">
            <v>#N/A</v>
          </cell>
          <cell r="EP156" t="e">
            <v>#N/A</v>
          </cell>
          <cell r="EQ156" t="e">
            <v>#N/A</v>
          </cell>
          <cell r="ER156" t="e">
            <v>#N/A</v>
          </cell>
          <cell r="ES156" t="e">
            <v>#N/A</v>
          </cell>
          <cell r="ET156" t="e">
            <v>#N/A</v>
          </cell>
          <cell r="EU156" t="e">
            <v>#N/A</v>
          </cell>
          <cell r="EV156" t="e">
            <v>#N/A</v>
          </cell>
          <cell r="EW156" t="e">
            <v>#N/A</v>
          </cell>
          <cell r="EX156" t="e">
            <v>#N/A</v>
          </cell>
          <cell r="EY156" t="e">
            <v>#N/A</v>
          </cell>
          <cell r="EZ156" t="e">
            <v>#N/A</v>
          </cell>
          <cell r="FA156" t="e">
            <v>#N/A</v>
          </cell>
          <cell r="FB156" t="e">
            <v>#N/A</v>
          </cell>
          <cell r="FC156" t="e">
            <v>#N/A</v>
          </cell>
          <cell r="FD156" t="e">
            <v>#N/A</v>
          </cell>
          <cell r="FE156" t="e">
            <v>#N/A</v>
          </cell>
          <cell r="FF156" t="e">
            <v>#N/A</v>
          </cell>
          <cell r="FG156" t="e">
            <v>#N/A</v>
          </cell>
          <cell r="FH156" t="e">
            <v>#N/A</v>
          </cell>
          <cell r="FI156" t="e">
            <v>#N/A</v>
          </cell>
          <cell r="FJ156" t="e">
            <v>#N/A</v>
          </cell>
          <cell r="FK156" t="e">
            <v>#N/A</v>
          </cell>
          <cell r="FL156" t="e">
            <v>#N/A</v>
          </cell>
          <cell r="FM156" t="e">
            <v>#N/A</v>
          </cell>
          <cell r="FN156" t="e">
            <v>#N/A</v>
          </cell>
          <cell r="FO156" t="e">
            <v>#N/A</v>
          </cell>
          <cell r="FP156" t="e">
            <v>#N/A</v>
          </cell>
          <cell r="FQ156" t="e">
            <v>#N/A</v>
          </cell>
          <cell r="FR156" t="e">
            <v>#N/A</v>
          </cell>
          <cell r="FS156" t="e">
            <v>#N/A</v>
          </cell>
          <cell r="FT156" t="e">
            <v>#N/A</v>
          </cell>
          <cell r="FU156" t="e">
            <v>#N/A</v>
          </cell>
          <cell r="FV156" t="e">
            <v>#N/A</v>
          </cell>
          <cell r="FW156" t="e">
            <v>#N/A</v>
          </cell>
          <cell r="FX156" t="e">
            <v>#N/A</v>
          </cell>
          <cell r="FY156" t="e">
            <v>#N/A</v>
          </cell>
          <cell r="FZ156" t="e">
            <v>#N/A</v>
          </cell>
          <cell r="GA156" t="e">
            <v>#N/A</v>
          </cell>
          <cell r="GB156" t="e">
            <v>#N/A</v>
          </cell>
          <cell r="GC156" t="e">
            <v>#N/A</v>
          </cell>
          <cell r="GD156" t="e">
            <v>#N/A</v>
          </cell>
          <cell r="GE156" t="e">
            <v>#N/A</v>
          </cell>
          <cell r="GF156" t="e">
            <v>#N/A</v>
          </cell>
          <cell r="GG156" t="e">
            <v>#N/A</v>
          </cell>
          <cell r="GH156" t="e">
            <v>#N/A</v>
          </cell>
          <cell r="GI156" t="e">
            <v>#N/A</v>
          </cell>
          <cell r="GJ156" t="e">
            <v>#N/A</v>
          </cell>
          <cell r="GK156" t="e">
            <v>#N/A</v>
          </cell>
          <cell r="GL156" t="e">
            <v>#N/A</v>
          </cell>
          <cell r="GM156" t="e">
            <v>#N/A</v>
          </cell>
          <cell r="GN156" t="e">
            <v>#N/A</v>
          </cell>
          <cell r="GO156" t="e">
            <v>#N/A</v>
          </cell>
          <cell r="GP156" t="e">
            <v>#N/A</v>
          </cell>
          <cell r="GQ156" t="e">
            <v>#N/A</v>
          </cell>
          <cell r="GR156" t="e">
            <v>#N/A</v>
          </cell>
          <cell r="GS156" t="e">
            <v>#N/A</v>
          </cell>
          <cell r="GT156" t="e">
            <v>#N/A</v>
          </cell>
          <cell r="GU156" t="e">
            <v>#N/A</v>
          </cell>
          <cell r="GV156" t="e">
            <v>#N/A</v>
          </cell>
          <cell r="GW156" t="e">
            <v>#N/A</v>
          </cell>
          <cell r="GX156" t="e">
            <v>#N/A</v>
          </cell>
        </row>
        <row r="157">
          <cell r="A157" t="str">
            <v>2028 Q1</v>
          </cell>
          <cell r="B157" t="e">
            <v>#N/A</v>
          </cell>
          <cell r="C157" t="e">
            <v>#N/A</v>
          </cell>
          <cell r="D157" t="e">
            <v>#N/A</v>
          </cell>
          <cell r="E157" t="e">
            <v>#N/A</v>
          </cell>
          <cell r="F157" t="e">
            <v>#N/A</v>
          </cell>
          <cell r="G157" t="e">
            <v>#N/A</v>
          </cell>
          <cell r="H157" t="e">
            <v>#N/A</v>
          </cell>
          <cell r="I157" t="e">
            <v>#N/A</v>
          </cell>
          <cell r="J157" t="e">
            <v>#N/A</v>
          </cell>
          <cell r="K157" t="e">
            <v>#N/A</v>
          </cell>
          <cell r="L157" t="e">
            <v>#N/A</v>
          </cell>
          <cell r="M157" t="e">
            <v>#N/A</v>
          </cell>
          <cell r="N157" t="e">
            <v>#N/A</v>
          </cell>
          <cell r="O157" t="e">
            <v>#N/A</v>
          </cell>
          <cell r="P157" t="e">
            <v>#N/A</v>
          </cell>
          <cell r="Q157" t="e">
            <v>#N/A</v>
          </cell>
          <cell r="R157" t="e">
            <v>#N/A</v>
          </cell>
          <cell r="S157" t="e">
            <v>#N/A</v>
          </cell>
          <cell r="T157" t="e">
            <v>#N/A</v>
          </cell>
          <cell r="U157" t="e">
            <v>#N/A</v>
          </cell>
          <cell r="V157" t="e">
            <v>#N/A</v>
          </cell>
          <cell r="W157" t="e">
            <v>#N/A</v>
          </cell>
          <cell r="X157" t="e">
            <v>#N/A</v>
          </cell>
          <cell r="Y157" t="e">
            <v>#N/A</v>
          </cell>
          <cell r="Z157" t="e">
            <v>#N/A</v>
          </cell>
          <cell r="AA157" t="e">
            <v>#N/A</v>
          </cell>
          <cell r="AB157" t="e">
            <v>#N/A</v>
          </cell>
          <cell r="AC157" t="e">
            <v>#N/A</v>
          </cell>
          <cell r="AD157" t="e">
            <v>#N/A</v>
          </cell>
          <cell r="AE157" t="e">
            <v>#N/A</v>
          </cell>
          <cell r="AF157" t="e">
            <v>#N/A</v>
          </cell>
          <cell r="AG157" t="e">
            <v>#N/A</v>
          </cell>
          <cell r="AH157" t="e">
            <v>#N/A</v>
          </cell>
          <cell r="AI157" t="e">
            <v>#N/A</v>
          </cell>
          <cell r="AJ157" t="e">
            <v>#N/A</v>
          </cell>
          <cell r="AK157" t="e">
            <v>#N/A</v>
          </cell>
          <cell r="AL157" t="e">
            <v>#N/A</v>
          </cell>
          <cell r="AM157" t="e">
            <v>#N/A</v>
          </cell>
          <cell r="AN157" t="e">
            <v>#N/A</v>
          </cell>
          <cell r="AO157" t="e">
            <v>#N/A</v>
          </cell>
          <cell r="AP157" t="e">
            <v>#N/A</v>
          </cell>
          <cell r="AQ157" t="e">
            <v>#N/A</v>
          </cell>
          <cell r="AR157" t="e">
            <v>#N/A</v>
          </cell>
          <cell r="AS157" t="e">
            <v>#N/A</v>
          </cell>
          <cell r="AT157" t="e">
            <v>#N/A</v>
          </cell>
          <cell r="AU157" t="e">
            <v>#N/A</v>
          </cell>
          <cell r="AV157" t="e">
            <v>#N/A</v>
          </cell>
          <cell r="AW157" t="e">
            <v>#N/A</v>
          </cell>
          <cell r="AX157" t="e">
            <v>#N/A</v>
          </cell>
          <cell r="AY157" t="e">
            <v>#N/A</v>
          </cell>
          <cell r="AZ157" t="e">
            <v>#N/A</v>
          </cell>
          <cell r="BA157" t="e">
            <v>#N/A</v>
          </cell>
          <cell r="BB157" t="e">
            <v>#N/A</v>
          </cell>
          <cell r="BC157" t="e">
            <v>#N/A</v>
          </cell>
          <cell r="BD157" t="e">
            <v>#N/A</v>
          </cell>
          <cell r="BE157" t="e">
            <v>#N/A</v>
          </cell>
          <cell r="BF157" t="e">
            <v>#N/A</v>
          </cell>
          <cell r="BG157" t="e">
            <v>#N/A</v>
          </cell>
          <cell r="BH157" t="e">
            <v>#N/A</v>
          </cell>
          <cell r="BI157" t="e">
            <v>#N/A</v>
          </cell>
          <cell r="BJ157" t="e">
            <v>#N/A</v>
          </cell>
          <cell r="BK157" t="e">
            <v>#N/A</v>
          </cell>
          <cell r="BL157" t="e">
            <v>#N/A</v>
          </cell>
          <cell r="BM157" t="e">
            <v>#N/A</v>
          </cell>
          <cell r="BN157" t="e">
            <v>#N/A</v>
          </cell>
          <cell r="BO157" t="e">
            <v>#N/A</v>
          </cell>
          <cell r="BP157" t="e">
            <v>#N/A</v>
          </cell>
          <cell r="BQ157" t="e">
            <v>#N/A</v>
          </cell>
          <cell r="BR157" t="e">
            <v>#N/A</v>
          </cell>
          <cell r="BS157" t="e">
            <v>#N/A</v>
          </cell>
          <cell r="BT157" t="e">
            <v>#N/A</v>
          </cell>
          <cell r="BU157" t="e">
            <v>#N/A</v>
          </cell>
          <cell r="BV157" t="e">
            <v>#N/A</v>
          </cell>
          <cell r="BW157" t="e">
            <v>#N/A</v>
          </cell>
          <cell r="BX157" t="e">
            <v>#N/A</v>
          </cell>
          <cell r="BY157" t="e">
            <v>#N/A</v>
          </cell>
          <cell r="BZ157" t="e">
            <v>#N/A</v>
          </cell>
          <cell r="CA157" t="e">
            <v>#N/A</v>
          </cell>
          <cell r="CB157" t="e">
            <v>#N/A</v>
          </cell>
          <cell r="CC157" t="e">
            <v>#N/A</v>
          </cell>
          <cell r="CD157" t="e">
            <v>#N/A</v>
          </cell>
          <cell r="CE157" t="e">
            <v>#N/A</v>
          </cell>
          <cell r="CF157" t="e">
            <v>#N/A</v>
          </cell>
          <cell r="CG157" t="e">
            <v>#N/A</v>
          </cell>
          <cell r="CH157" t="e">
            <v>#N/A</v>
          </cell>
          <cell r="CI157" t="e">
            <v>#N/A</v>
          </cell>
          <cell r="CJ157" t="e">
            <v>#N/A</v>
          </cell>
          <cell r="CK157" t="e">
            <v>#N/A</v>
          </cell>
          <cell r="CL157" t="e">
            <v>#N/A</v>
          </cell>
          <cell r="CM157" t="e">
            <v>#N/A</v>
          </cell>
          <cell r="CN157" t="e">
            <v>#N/A</v>
          </cell>
          <cell r="CO157" t="e">
            <v>#N/A</v>
          </cell>
          <cell r="CP157" t="e">
            <v>#N/A</v>
          </cell>
          <cell r="CQ157" t="e">
            <v>#N/A</v>
          </cell>
          <cell r="CR157" t="e">
            <v>#N/A</v>
          </cell>
          <cell r="CS157" t="e">
            <v>#N/A</v>
          </cell>
          <cell r="CT157" t="e">
            <v>#N/A</v>
          </cell>
          <cell r="CU157" t="e">
            <v>#N/A</v>
          </cell>
          <cell r="CV157" t="e">
            <v>#N/A</v>
          </cell>
          <cell r="CW157" t="e">
            <v>#N/A</v>
          </cell>
          <cell r="CX157" t="e">
            <v>#N/A</v>
          </cell>
          <cell r="CY157" t="e">
            <v>#N/A</v>
          </cell>
          <cell r="CZ157" t="e">
            <v>#N/A</v>
          </cell>
          <cell r="DA157" t="e">
            <v>#N/A</v>
          </cell>
          <cell r="DB157" t="e">
            <v>#N/A</v>
          </cell>
          <cell r="DC157" t="e">
            <v>#N/A</v>
          </cell>
          <cell r="DD157" t="e">
            <v>#N/A</v>
          </cell>
          <cell r="DE157" t="e">
            <v>#N/A</v>
          </cell>
          <cell r="DF157" t="e">
            <v>#N/A</v>
          </cell>
          <cell r="DG157" t="e">
            <v>#N/A</v>
          </cell>
          <cell r="DH157" t="e">
            <v>#N/A</v>
          </cell>
          <cell r="DI157" t="e">
            <v>#N/A</v>
          </cell>
          <cell r="DJ157" t="e">
            <v>#N/A</v>
          </cell>
          <cell r="DK157" t="e">
            <v>#N/A</v>
          </cell>
          <cell r="DL157" t="e">
            <v>#N/A</v>
          </cell>
          <cell r="DM157" t="e">
            <v>#N/A</v>
          </cell>
          <cell r="DN157" t="e">
            <v>#N/A</v>
          </cell>
          <cell r="DO157" t="e">
            <v>#N/A</v>
          </cell>
          <cell r="DP157" t="e">
            <v>#N/A</v>
          </cell>
          <cell r="DQ157" t="e">
            <v>#N/A</v>
          </cell>
          <cell r="DR157" t="e">
            <v>#N/A</v>
          </cell>
          <cell r="DS157" t="e">
            <v>#N/A</v>
          </cell>
          <cell r="DT157" t="e">
            <v>#N/A</v>
          </cell>
          <cell r="DU157" t="e">
            <v>#N/A</v>
          </cell>
          <cell r="DV157" t="e">
            <v>#N/A</v>
          </cell>
          <cell r="DW157" t="e">
            <v>#N/A</v>
          </cell>
          <cell r="DX157" t="e">
            <v>#N/A</v>
          </cell>
          <cell r="DY157" t="e">
            <v>#N/A</v>
          </cell>
          <cell r="DZ157" t="e">
            <v>#N/A</v>
          </cell>
          <cell r="EA157" t="e">
            <v>#N/A</v>
          </cell>
          <cell r="EB157" t="e">
            <v>#N/A</v>
          </cell>
          <cell r="EC157" t="e">
            <v>#N/A</v>
          </cell>
          <cell r="ED157" t="e">
            <v>#N/A</v>
          </cell>
          <cell r="EE157" t="e">
            <v>#N/A</v>
          </cell>
          <cell r="EF157" t="e">
            <v>#N/A</v>
          </cell>
          <cell r="EG157" t="e">
            <v>#N/A</v>
          </cell>
          <cell r="EH157" t="e">
            <v>#N/A</v>
          </cell>
          <cell r="EI157" t="e">
            <v>#N/A</v>
          </cell>
          <cell r="EJ157" t="e">
            <v>#N/A</v>
          </cell>
          <cell r="EK157" t="e">
            <v>#N/A</v>
          </cell>
          <cell r="EL157" t="e">
            <v>#N/A</v>
          </cell>
          <cell r="EM157" t="e">
            <v>#N/A</v>
          </cell>
          <cell r="EN157" t="e">
            <v>#N/A</v>
          </cell>
          <cell r="EO157" t="e">
            <v>#N/A</v>
          </cell>
          <cell r="EP157" t="e">
            <v>#N/A</v>
          </cell>
          <cell r="EQ157" t="e">
            <v>#N/A</v>
          </cell>
          <cell r="ER157" t="e">
            <v>#N/A</v>
          </cell>
          <cell r="ES157" t="e">
            <v>#N/A</v>
          </cell>
          <cell r="ET157" t="e">
            <v>#N/A</v>
          </cell>
          <cell r="EU157" t="e">
            <v>#N/A</v>
          </cell>
          <cell r="EV157" t="e">
            <v>#N/A</v>
          </cell>
          <cell r="EW157" t="e">
            <v>#N/A</v>
          </cell>
          <cell r="EX157" t="e">
            <v>#N/A</v>
          </cell>
          <cell r="EY157" t="e">
            <v>#N/A</v>
          </cell>
          <cell r="EZ157" t="e">
            <v>#N/A</v>
          </cell>
          <cell r="FA157" t="e">
            <v>#N/A</v>
          </cell>
          <cell r="FB157" t="e">
            <v>#N/A</v>
          </cell>
          <cell r="FC157" t="e">
            <v>#N/A</v>
          </cell>
          <cell r="FD157" t="e">
            <v>#N/A</v>
          </cell>
          <cell r="FE157" t="e">
            <v>#N/A</v>
          </cell>
          <cell r="FF157" t="e">
            <v>#N/A</v>
          </cell>
          <cell r="FG157" t="e">
            <v>#N/A</v>
          </cell>
          <cell r="FH157" t="e">
            <v>#N/A</v>
          </cell>
          <cell r="FI157" t="e">
            <v>#N/A</v>
          </cell>
          <cell r="FJ157" t="e">
            <v>#N/A</v>
          </cell>
          <cell r="FK157" t="e">
            <v>#N/A</v>
          </cell>
          <cell r="FL157" t="e">
            <v>#N/A</v>
          </cell>
          <cell r="FM157" t="e">
            <v>#N/A</v>
          </cell>
          <cell r="FN157" t="e">
            <v>#N/A</v>
          </cell>
          <cell r="FO157" t="e">
            <v>#N/A</v>
          </cell>
          <cell r="FP157" t="e">
            <v>#N/A</v>
          </cell>
          <cell r="FQ157" t="e">
            <v>#N/A</v>
          </cell>
          <cell r="FR157" t="e">
            <v>#N/A</v>
          </cell>
          <cell r="FS157" t="e">
            <v>#N/A</v>
          </cell>
          <cell r="FT157" t="e">
            <v>#N/A</v>
          </cell>
          <cell r="FU157" t="e">
            <v>#N/A</v>
          </cell>
          <cell r="FV157" t="e">
            <v>#N/A</v>
          </cell>
          <cell r="FW157" t="e">
            <v>#N/A</v>
          </cell>
          <cell r="FX157" t="e">
            <v>#N/A</v>
          </cell>
          <cell r="FY157" t="e">
            <v>#N/A</v>
          </cell>
          <cell r="FZ157" t="e">
            <v>#N/A</v>
          </cell>
          <cell r="GA157" t="e">
            <v>#N/A</v>
          </cell>
          <cell r="GB157" t="e">
            <v>#N/A</v>
          </cell>
          <cell r="GC157" t="e">
            <v>#N/A</v>
          </cell>
          <cell r="GD157" t="e">
            <v>#N/A</v>
          </cell>
          <cell r="GE157" t="e">
            <v>#N/A</v>
          </cell>
          <cell r="GF157" t="e">
            <v>#N/A</v>
          </cell>
          <cell r="GG157" t="e">
            <v>#N/A</v>
          </cell>
          <cell r="GH157" t="e">
            <v>#N/A</v>
          </cell>
          <cell r="GI157" t="e">
            <v>#N/A</v>
          </cell>
          <cell r="GJ157" t="e">
            <v>#N/A</v>
          </cell>
          <cell r="GK157" t="e">
            <v>#N/A</v>
          </cell>
          <cell r="GL157" t="e">
            <v>#N/A</v>
          </cell>
          <cell r="GM157" t="e">
            <v>#N/A</v>
          </cell>
          <cell r="GN157" t="e">
            <v>#N/A</v>
          </cell>
          <cell r="GO157" t="e">
            <v>#N/A</v>
          </cell>
          <cell r="GP157" t="e">
            <v>#N/A</v>
          </cell>
          <cell r="GQ157" t="e">
            <v>#N/A</v>
          </cell>
          <cell r="GR157" t="e">
            <v>#N/A</v>
          </cell>
          <cell r="GS157" t="e">
            <v>#N/A</v>
          </cell>
          <cell r="GT157" t="e">
            <v>#N/A</v>
          </cell>
          <cell r="GU157" t="e">
            <v>#N/A</v>
          </cell>
          <cell r="GV157" t="e">
            <v>#N/A</v>
          </cell>
          <cell r="GW157" t="e">
            <v>#N/A</v>
          </cell>
          <cell r="GX157" t="e">
            <v>#N/A</v>
          </cell>
        </row>
        <row r="158">
          <cell r="A158" t="str">
            <v>2028 Q2</v>
          </cell>
          <cell r="B158" t="e">
            <v>#N/A</v>
          </cell>
          <cell r="C158" t="e">
            <v>#N/A</v>
          </cell>
          <cell r="D158" t="e">
            <v>#N/A</v>
          </cell>
          <cell r="E158" t="e">
            <v>#N/A</v>
          </cell>
          <cell r="F158" t="e">
            <v>#N/A</v>
          </cell>
          <cell r="G158" t="e">
            <v>#N/A</v>
          </cell>
          <cell r="H158" t="e">
            <v>#N/A</v>
          </cell>
          <cell r="I158" t="e">
            <v>#N/A</v>
          </cell>
          <cell r="J158" t="e">
            <v>#N/A</v>
          </cell>
          <cell r="K158" t="e">
            <v>#N/A</v>
          </cell>
          <cell r="L158" t="e">
            <v>#N/A</v>
          </cell>
          <cell r="M158" t="e">
            <v>#N/A</v>
          </cell>
          <cell r="N158" t="e">
            <v>#N/A</v>
          </cell>
          <cell r="O158" t="e">
            <v>#N/A</v>
          </cell>
          <cell r="P158" t="e">
            <v>#N/A</v>
          </cell>
          <cell r="Q158" t="e">
            <v>#N/A</v>
          </cell>
          <cell r="R158" t="e">
            <v>#N/A</v>
          </cell>
          <cell r="S158" t="e">
            <v>#N/A</v>
          </cell>
          <cell r="T158" t="e">
            <v>#N/A</v>
          </cell>
          <cell r="U158" t="e">
            <v>#N/A</v>
          </cell>
          <cell r="V158" t="e">
            <v>#N/A</v>
          </cell>
          <cell r="W158" t="e">
            <v>#N/A</v>
          </cell>
          <cell r="X158" t="e">
            <v>#N/A</v>
          </cell>
          <cell r="Y158" t="e">
            <v>#N/A</v>
          </cell>
          <cell r="Z158" t="e">
            <v>#N/A</v>
          </cell>
          <cell r="AA158" t="e">
            <v>#N/A</v>
          </cell>
          <cell r="AB158" t="e">
            <v>#N/A</v>
          </cell>
          <cell r="AC158" t="e">
            <v>#N/A</v>
          </cell>
          <cell r="AD158" t="e">
            <v>#N/A</v>
          </cell>
          <cell r="AE158" t="e">
            <v>#N/A</v>
          </cell>
          <cell r="AF158" t="e">
            <v>#N/A</v>
          </cell>
          <cell r="AG158" t="e">
            <v>#N/A</v>
          </cell>
          <cell r="AH158" t="e">
            <v>#N/A</v>
          </cell>
          <cell r="AI158" t="e">
            <v>#N/A</v>
          </cell>
          <cell r="AJ158" t="e">
            <v>#N/A</v>
          </cell>
          <cell r="AK158" t="e">
            <v>#N/A</v>
          </cell>
          <cell r="AL158" t="e">
            <v>#N/A</v>
          </cell>
          <cell r="AM158" t="e">
            <v>#N/A</v>
          </cell>
          <cell r="AN158" t="e">
            <v>#N/A</v>
          </cell>
          <cell r="AO158" t="e">
            <v>#N/A</v>
          </cell>
          <cell r="AP158" t="e">
            <v>#N/A</v>
          </cell>
          <cell r="AQ158" t="e">
            <v>#N/A</v>
          </cell>
          <cell r="AR158" t="e">
            <v>#N/A</v>
          </cell>
          <cell r="AS158" t="e">
            <v>#N/A</v>
          </cell>
          <cell r="AT158" t="e">
            <v>#N/A</v>
          </cell>
          <cell r="AU158" t="e">
            <v>#N/A</v>
          </cell>
          <cell r="AV158" t="e">
            <v>#N/A</v>
          </cell>
          <cell r="AW158" t="e">
            <v>#N/A</v>
          </cell>
          <cell r="AX158" t="e">
            <v>#N/A</v>
          </cell>
          <cell r="AY158" t="e">
            <v>#N/A</v>
          </cell>
          <cell r="AZ158" t="e">
            <v>#N/A</v>
          </cell>
          <cell r="BA158" t="e">
            <v>#N/A</v>
          </cell>
          <cell r="BB158" t="e">
            <v>#N/A</v>
          </cell>
          <cell r="BC158" t="e">
            <v>#N/A</v>
          </cell>
          <cell r="BD158" t="e">
            <v>#N/A</v>
          </cell>
          <cell r="BE158" t="e">
            <v>#N/A</v>
          </cell>
          <cell r="BF158" t="e">
            <v>#N/A</v>
          </cell>
          <cell r="BG158" t="e">
            <v>#N/A</v>
          </cell>
          <cell r="BH158" t="e">
            <v>#N/A</v>
          </cell>
          <cell r="BI158" t="e">
            <v>#N/A</v>
          </cell>
          <cell r="BJ158" t="e">
            <v>#N/A</v>
          </cell>
          <cell r="BK158" t="e">
            <v>#N/A</v>
          </cell>
          <cell r="BL158" t="e">
            <v>#N/A</v>
          </cell>
          <cell r="BM158" t="e">
            <v>#N/A</v>
          </cell>
          <cell r="BN158" t="e">
            <v>#N/A</v>
          </cell>
          <cell r="BO158" t="e">
            <v>#N/A</v>
          </cell>
          <cell r="BP158" t="e">
            <v>#N/A</v>
          </cell>
          <cell r="BQ158" t="e">
            <v>#N/A</v>
          </cell>
          <cell r="BR158" t="e">
            <v>#N/A</v>
          </cell>
          <cell r="BS158" t="e">
            <v>#N/A</v>
          </cell>
          <cell r="BT158" t="e">
            <v>#N/A</v>
          </cell>
          <cell r="BU158" t="e">
            <v>#N/A</v>
          </cell>
          <cell r="BV158" t="e">
            <v>#N/A</v>
          </cell>
          <cell r="BW158" t="e">
            <v>#N/A</v>
          </cell>
          <cell r="BX158" t="e">
            <v>#N/A</v>
          </cell>
          <cell r="BY158" t="e">
            <v>#N/A</v>
          </cell>
          <cell r="BZ158" t="e">
            <v>#N/A</v>
          </cell>
          <cell r="CA158" t="e">
            <v>#N/A</v>
          </cell>
          <cell r="CB158" t="e">
            <v>#N/A</v>
          </cell>
          <cell r="CC158" t="e">
            <v>#N/A</v>
          </cell>
          <cell r="CD158" t="e">
            <v>#N/A</v>
          </cell>
          <cell r="CE158" t="e">
            <v>#N/A</v>
          </cell>
          <cell r="CF158" t="e">
            <v>#N/A</v>
          </cell>
          <cell r="CG158" t="e">
            <v>#N/A</v>
          </cell>
          <cell r="CH158" t="e">
            <v>#N/A</v>
          </cell>
          <cell r="CI158" t="e">
            <v>#N/A</v>
          </cell>
          <cell r="CJ158" t="e">
            <v>#N/A</v>
          </cell>
          <cell r="CK158" t="e">
            <v>#N/A</v>
          </cell>
          <cell r="CL158" t="e">
            <v>#N/A</v>
          </cell>
          <cell r="CM158" t="e">
            <v>#N/A</v>
          </cell>
          <cell r="CN158" t="e">
            <v>#N/A</v>
          </cell>
          <cell r="CO158" t="e">
            <v>#N/A</v>
          </cell>
          <cell r="CP158" t="e">
            <v>#N/A</v>
          </cell>
          <cell r="CQ158" t="e">
            <v>#N/A</v>
          </cell>
          <cell r="CR158" t="e">
            <v>#N/A</v>
          </cell>
          <cell r="CS158" t="e">
            <v>#N/A</v>
          </cell>
          <cell r="CT158" t="e">
            <v>#N/A</v>
          </cell>
          <cell r="CU158" t="e">
            <v>#N/A</v>
          </cell>
          <cell r="CV158" t="e">
            <v>#N/A</v>
          </cell>
          <cell r="CW158" t="e">
            <v>#N/A</v>
          </cell>
          <cell r="CX158" t="e">
            <v>#N/A</v>
          </cell>
          <cell r="CY158" t="e">
            <v>#N/A</v>
          </cell>
          <cell r="CZ158" t="e">
            <v>#N/A</v>
          </cell>
          <cell r="DA158" t="e">
            <v>#N/A</v>
          </cell>
          <cell r="DB158" t="e">
            <v>#N/A</v>
          </cell>
          <cell r="DC158" t="e">
            <v>#N/A</v>
          </cell>
          <cell r="DD158" t="e">
            <v>#N/A</v>
          </cell>
          <cell r="DE158" t="e">
            <v>#N/A</v>
          </cell>
          <cell r="DF158" t="e">
            <v>#N/A</v>
          </cell>
          <cell r="DG158" t="e">
            <v>#N/A</v>
          </cell>
          <cell r="DH158" t="e">
            <v>#N/A</v>
          </cell>
          <cell r="DI158" t="e">
            <v>#N/A</v>
          </cell>
          <cell r="DJ158" t="e">
            <v>#N/A</v>
          </cell>
          <cell r="DK158" t="e">
            <v>#N/A</v>
          </cell>
          <cell r="DL158" t="e">
            <v>#N/A</v>
          </cell>
          <cell r="DM158" t="e">
            <v>#N/A</v>
          </cell>
          <cell r="DN158" t="e">
            <v>#N/A</v>
          </cell>
          <cell r="DO158" t="e">
            <v>#N/A</v>
          </cell>
          <cell r="DP158" t="e">
            <v>#N/A</v>
          </cell>
          <cell r="DQ158" t="e">
            <v>#N/A</v>
          </cell>
          <cell r="DR158" t="e">
            <v>#N/A</v>
          </cell>
          <cell r="DS158" t="e">
            <v>#N/A</v>
          </cell>
          <cell r="DT158" t="e">
            <v>#N/A</v>
          </cell>
          <cell r="DU158" t="e">
            <v>#N/A</v>
          </cell>
          <cell r="DV158" t="e">
            <v>#N/A</v>
          </cell>
          <cell r="DW158" t="e">
            <v>#N/A</v>
          </cell>
          <cell r="DX158" t="e">
            <v>#N/A</v>
          </cell>
          <cell r="DY158" t="e">
            <v>#N/A</v>
          </cell>
          <cell r="DZ158" t="e">
            <v>#N/A</v>
          </cell>
          <cell r="EA158" t="e">
            <v>#N/A</v>
          </cell>
          <cell r="EB158" t="e">
            <v>#N/A</v>
          </cell>
          <cell r="EC158" t="e">
            <v>#N/A</v>
          </cell>
          <cell r="ED158" t="e">
            <v>#N/A</v>
          </cell>
          <cell r="EE158" t="e">
            <v>#N/A</v>
          </cell>
          <cell r="EF158" t="e">
            <v>#N/A</v>
          </cell>
          <cell r="EG158" t="e">
            <v>#N/A</v>
          </cell>
          <cell r="EH158" t="e">
            <v>#N/A</v>
          </cell>
          <cell r="EI158" t="e">
            <v>#N/A</v>
          </cell>
          <cell r="EJ158" t="e">
            <v>#N/A</v>
          </cell>
          <cell r="EK158" t="e">
            <v>#N/A</v>
          </cell>
          <cell r="EL158" t="e">
            <v>#N/A</v>
          </cell>
          <cell r="EM158" t="e">
            <v>#N/A</v>
          </cell>
          <cell r="EN158" t="e">
            <v>#N/A</v>
          </cell>
          <cell r="EO158" t="e">
            <v>#N/A</v>
          </cell>
          <cell r="EP158" t="e">
            <v>#N/A</v>
          </cell>
          <cell r="EQ158" t="e">
            <v>#N/A</v>
          </cell>
          <cell r="ER158" t="e">
            <v>#N/A</v>
          </cell>
          <cell r="ES158" t="e">
            <v>#N/A</v>
          </cell>
          <cell r="ET158" t="e">
            <v>#N/A</v>
          </cell>
          <cell r="EU158" t="e">
            <v>#N/A</v>
          </cell>
          <cell r="EV158" t="e">
            <v>#N/A</v>
          </cell>
          <cell r="EW158" t="e">
            <v>#N/A</v>
          </cell>
          <cell r="EX158" t="e">
            <v>#N/A</v>
          </cell>
          <cell r="EY158" t="e">
            <v>#N/A</v>
          </cell>
          <cell r="EZ158" t="e">
            <v>#N/A</v>
          </cell>
          <cell r="FA158" t="e">
            <v>#N/A</v>
          </cell>
          <cell r="FB158" t="e">
            <v>#N/A</v>
          </cell>
          <cell r="FC158" t="e">
            <v>#N/A</v>
          </cell>
          <cell r="FD158" t="e">
            <v>#N/A</v>
          </cell>
          <cell r="FE158" t="e">
            <v>#N/A</v>
          </cell>
          <cell r="FF158" t="e">
            <v>#N/A</v>
          </cell>
          <cell r="FG158" t="e">
            <v>#N/A</v>
          </cell>
          <cell r="FH158" t="e">
            <v>#N/A</v>
          </cell>
          <cell r="FI158" t="e">
            <v>#N/A</v>
          </cell>
          <cell r="FJ158" t="e">
            <v>#N/A</v>
          </cell>
          <cell r="FK158" t="e">
            <v>#N/A</v>
          </cell>
          <cell r="FL158" t="e">
            <v>#N/A</v>
          </cell>
          <cell r="FM158" t="e">
            <v>#N/A</v>
          </cell>
          <cell r="FN158" t="e">
            <v>#N/A</v>
          </cell>
          <cell r="FO158" t="e">
            <v>#N/A</v>
          </cell>
          <cell r="FP158" t="e">
            <v>#N/A</v>
          </cell>
          <cell r="FQ158" t="e">
            <v>#N/A</v>
          </cell>
          <cell r="FR158" t="e">
            <v>#N/A</v>
          </cell>
          <cell r="FS158" t="e">
            <v>#N/A</v>
          </cell>
          <cell r="FT158" t="e">
            <v>#N/A</v>
          </cell>
          <cell r="FU158" t="e">
            <v>#N/A</v>
          </cell>
          <cell r="FV158" t="e">
            <v>#N/A</v>
          </cell>
          <cell r="FW158" t="e">
            <v>#N/A</v>
          </cell>
          <cell r="FX158" t="e">
            <v>#N/A</v>
          </cell>
          <cell r="FY158" t="e">
            <v>#N/A</v>
          </cell>
          <cell r="FZ158" t="e">
            <v>#N/A</v>
          </cell>
          <cell r="GA158" t="e">
            <v>#N/A</v>
          </cell>
          <cell r="GB158" t="e">
            <v>#N/A</v>
          </cell>
          <cell r="GC158" t="e">
            <v>#N/A</v>
          </cell>
          <cell r="GD158" t="e">
            <v>#N/A</v>
          </cell>
          <cell r="GE158" t="e">
            <v>#N/A</v>
          </cell>
          <cell r="GF158" t="e">
            <v>#N/A</v>
          </cell>
          <cell r="GG158" t="e">
            <v>#N/A</v>
          </cell>
          <cell r="GH158" t="e">
            <v>#N/A</v>
          </cell>
          <cell r="GI158" t="e">
            <v>#N/A</v>
          </cell>
          <cell r="GJ158" t="e">
            <v>#N/A</v>
          </cell>
          <cell r="GK158" t="e">
            <v>#N/A</v>
          </cell>
          <cell r="GL158" t="e">
            <v>#N/A</v>
          </cell>
          <cell r="GM158" t="e">
            <v>#N/A</v>
          </cell>
          <cell r="GN158" t="e">
            <v>#N/A</v>
          </cell>
          <cell r="GO158" t="e">
            <v>#N/A</v>
          </cell>
          <cell r="GP158" t="e">
            <v>#N/A</v>
          </cell>
          <cell r="GQ158" t="e">
            <v>#N/A</v>
          </cell>
          <cell r="GR158" t="e">
            <v>#N/A</v>
          </cell>
          <cell r="GS158" t="e">
            <v>#N/A</v>
          </cell>
          <cell r="GT158" t="e">
            <v>#N/A</v>
          </cell>
          <cell r="GU158" t="e">
            <v>#N/A</v>
          </cell>
          <cell r="GV158" t="e">
            <v>#N/A</v>
          </cell>
          <cell r="GW158" t="e">
            <v>#N/A</v>
          </cell>
          <cell r="GX158" t="e">
            <v>#N/A</v>
          </cell>
        </row>
        <row r="159">
          <cell r="A159" t="str">
            <v>2028 Q3</v>
          </cell>
          <cell r="B159" t="e">
            <v>#N/A</v>
          </cell>
          <cell r="C159" t="e">
            <v>#N/A</v>
          </cell>
          <cell r="D159" t="e">
            <v>#N/A</v>
          </cell>
          <cell r="E159" t="e">
            <v>#N/A</v>
          </cell>
          <cell r="F159" t="e">
            <v>#N/A</v>
          </cell>
          <cell r="G159" t="e">
            <v>#N/A</v>
          </cell>
          <cell r="H159" t="e">
            <v>#N/A</v>
          </cell>
          <cell r="I159" t="e">
            <v>#N/A</v>
          </cell>
          <cell r="J159" t="e">
            <v>#N/A</v>
          </cell>
          <cell r="K159" t="e">
            <v>#N/A</v>
          </cell>
          <cell r="L159" t="e">
            <v>#N/A</v>
          </cell>
          <cell r="M159" t="e">
            <v>#N/A</v>
          </cell>
          <cell r="N159" t="e">
            <v>#N/A</v>
          </cell>
          <cell r="O159" t="e">
            <v>#N/A</v>
          </cell>
          <cell r="P159" t="e">
            <v>#N/A</v>
          </cell>
          <cell r="Q159" t="e">
            <v>#N/A</v>
          </cell>
          <cell r="R159" t="e">
            <v>#N/A</v>
          </cell>
          <cell r="S159" t="e">
            <v>#N/A</v>
          </cell>
          <cell r="T159" t="e">
            <v>#N/A</v>
          </cell>
          <cell r="U159" t="e">
            <v>#N/A</v>
          </cell>
          <cell r="V159" t="e">
            <v>#N/A</v>
          </cell>
          <cell r="W159" t="e">
            <v>#N/A</v>
          </cell>
          <cell r="X159" t="e">
            <v>#N/A</v>
          </cell>
          <cell r="Y159" t="e">
            <v>#N/A</v>
          </cell>
          <cell r="Z159" t="e">
            <v>#N/A</v>
          </cell>
          <cell r="AA159" t="e">
            <v>#N/A</v>
          </cell>
          <cell r="AB159" t="e">
            <v>#N/A</v>
          </cell>
          <cell r="AC159" t="e">
            <v>#N/A</v>
          </cell>
          <cell r="AD159" t="e">
            <v>#N/A</v>
          </cell>
          <cell r="AE159" t="e">
            <v>#N/A</v>
          </cell>
          <cell r="AF159" t="e">
            <v>#N/A</v>
          </cell>
          <cell r="AG159" t="e">
            <v>#N/A</v>
          </cell>
          <cell r="AH159" t="e">
            <v>#N/A</v>
          </cell>
          <cell r="AI159" t="e">
            <v>#N/A</v>
          </cell>
          <cell r="AJ159" t="e">
            <v>#N/A</v>
          </cell>
          <cell r="AK159" t="e">
            <v>#N/A</v>
          </cell>
          <cell r="AL159" t="e">
            <v>#N/A</v>
          </cell>
          <cell r="AM159" t="e">
            <v>#N/A</v>
          </cell>
          <cell r="AN159" t="e">
            <v>#N/A</v>
          </cell>
          <cell r="AO159" t="e">
            <v>#N/A</v>
          </cell>
          <cell r="AP159" t="e">
            <v>#N/A</v>
          </cell>
          <cell r="AQ159" t="e">
            <v>#N/A</v>
          </cell>
          <cell r="AR159" t="e">
            <v>#N/A</v>
          </cell>
          <cell r="AS159" t="e">
            <v>#N/A</v>
          </cell>
          <cell r="AT159" t="e">
            <v>#N/A</v>
          </cell>
          <cell r="AU159" t="e">
            <v>#N/A</v>
          </cell>
          <cell r="AV159" t="e">
            <v>#N/A</v>
          </cell>
          <cell r="AW159" t="e">
            <v>#N/A</v>
          </cell>
          <cell r="AX159" t="e">
            <v>#N/A</v>
          </cell>
          <cell r="AY159" t="e">
            <v>#N/A</v>
          </cell>
          <cell r="AZ159" t="e">
            <v>#N/A</v>
          </cell>
          <cell r="BA159" t="e">
            <v>#N/A</v>
          </cell>
          <cell r="BB159" t="e">
            <v>#N/A</v>
          </cell>
          <cell r="BC159" t="e">
            <v>#N/A</v>
          </cell>
          <cell r="BD159" t="e">
            <v>#N/A</v>
          </cell>
          <cell r="BE159" t="e">
            <v>#N/A</v>
          </cell>
          <cell r="BF159" t="e">
            <v>#N/A</v>
          </cell>
          <cell r="BG159" t="e">
            <v>#N/A</v>
          </cell>
          <cell r="BH159" t="e">
            <v>#N/A</v>
          </cell>
          <cell r="BI159" t="e">
            <v>#N/A</v>
          </cell>
          <cell r="BJ159" t="e">
            <v>#N/A</v>
          </cell>
          <cell r="BK159" t="e">
            <v>#N/A</v>
          </cell>
          <cell r="BL159" t="e">
            <v>#N/A</v>
          </cell>
          <cell r="BM159" t="e">
            <v>#N/A</v>
          </cell>
          <cell r="BN159" t="e">
            <v>#N/A</v>
          </cell>
          <cell r="BO159" t="e">
            <v>#N/A</v>
          </cell>
          <cell r="BP159" t="e">
            <v>#N/A</v>
          </cell>
          <cell r="BQ159" t="e">
            <v>#N/A</v>
          </cell>
          <cell r="BR159" t="e">
            <v>#N/A</v>
          </cell>
          <cell r="BS159" t="e">
            <v>#N/A</v>
          </cell>
          <cell r="BT159" t="e">
            <v>#N/A</v>
          </cell>
          <cell r="BU159" t="e">
            <v>#N/A</v>
          </cell>
          <cell r="BV159" t="e">
            <v>#N/A</v>
          </cell>
          <cell r="BW159" t="e">
            <v>#N/A</v>
          </cell>
          <cell r="BX159" t="e">
            <v>#N/A</v>
          </cell>
          <cell r="BY159" t="e">
            <v>#N/A</v>
          </cell>
          <cell r="BZ159" t="e">
            <v>#N/A</v>
          </cell>
          <cell r="CA159" t="e">
            <v>#N/A</v>
          </cell>
          <cell r="CB159" t="e">
            <v>#N/A</v>
          </cell>
          <cell r="CC159" t="e">
            <v>#N/A</v>
          </cell>
          <cell r="CD159" t="e">
            <v>#N/A</v>
          </cell>
          <cell r="CE159" t="e">
            <v>#N/A</v>
          </cell>
          <cell r="CF159" t="e">
            <v>#N/A</v>
          </cell>
          <cell r="CG159" t="e">
            <v>#N/A</v>
          </cell>
          <cell r="CH159" t="e">
            <v>#N/A</v>
          </cell>
          <cell r="CI159" t="e">
            <v>#N/A</v>
          </cell>
          <cell r="CJ159" t="e">
            <v>#N/A</v>
          </cell>
          <cell r="CK159" t="e">
            <v>#N/A</v>
          </cell>
          <cell r="CL159" t="e">
            <v>#N/A</v>
          </cell>
          <cell r="CM159" t="e">
            <v>#N/A</v>
          </cell>
          <cell r="CN159" t="e">
            <v>#N/A</v>
          </cell>
          <cell r="CO159" t="e">
            <v>#N/A</v>
          </cell>
          <cell r="CP159" t="e">
            <v>#N/A</v>
          </cell>
          <cell r="CQ159" t="e">
            <v>#N/A</v>
          </cell>
          <cell r="CR159" t="e">
            <v>#N/A</v>
          </cell>
          <cell r="CS159" t="e">
            <v>#N/A</v>
          </cell>
          <cell r="CT159" t="e">
            <v>#N/A</v>
          </cell>
          <cell r="CU159" t="e">
            <v>#N/A</v>
          </cell>
          <cell r="CV159" t="e">
            <v>#N/A</v>
          </cell>
          <cell r="CW159" t="e">
            <v>#N/A</v>
          </cell>
          <cell r="CX159" t="e">
            <v>#N/A</v>
          </cell>
          <cell r="CY159" t="e">
            <v>#N/A</v>
          </cell>
          <cell r="CZ159" t="e">
            <v>#N/A</v>
          </cell>
          <cell r="DA159" t="e">
            <v>#N/A</v>
          </cell>
          <cell r="DB159" t="e">
            <v>#N/A</v>
          </cell>
          <cell r="DC159" t="e">
            <v>#N/A</v>
          </cell>
          <cell r="DD159" t="e">
            <v>#N/A</v>
          </cell>
          <cell r="DE159" t="e">
            <v>#N/A</v>
          </cell>
          <cell r="DF159" t="e">
            <v>#N/A</v>
          </cell>
          <cell r="DG159" t="e">
            <v>#N/A</v>
          </cell>
          <cell r="DH159" t="e">
            <v>#N/A</v>
          </cell>
          <cell r="DI159" t="e">
            <v>#N/A</v>
          </cell>
          <cell r="DJ159" t="e">
            <v>#N/A</v>
          </cell>
          <cell r="DK159" t="e">
            <v>#N/A</v>
          </cell>
          <cell r="DL159" t="e">
            <v>#N/A</v>
          </cell>
          <cell r="DM159" t="e">
            <v>#N/A</v>
          </cell>
          <cell r="DN159" t="e">
            <v>#N/A</v>
          </cell>
          <cell r="DO159" t="e">
            <v>#N/A</v>
          </cell>
          <cell r="DP159" t="e">
            <v>#N/A</v>
          </cell>
          <cell r="DQ159" t="e">
            <v>#N/A</v>
          </cell>
          <cell r="DR159" t="e">
            <v>#N/A</v>
          </cell>
          <cell r="DS159" t="e">
            <v>#N/A</v>
          </cell>
          <cell r="DT159" t="e">
            <v>#N/A</v>
          </cell>
          <cell r="DU159" t="e">
            <v>#N/A</v>
          </cell>
          <cell r="DV159" t="e">
            <v>#N/A</v>
          </cell>
          <cell r="DW159" t="e">
            <v>#N/A</v>
          </cell>
          <cell r="DX159" t="e">
            <v>#N/A</v>
          </cell>
          <cell r="DY159" t="e">
            <v>#N/A</v>
          </cell>
          <cell r="DZ159" t="e">
            <v>#N/A</v>
          </cell>
          <cell r="EA159" t="e">
            <v>#N/A</v>
          </cell>
          <cell r="EB159" t="e">
            <v>#N/A</v>
          </cell>
          <cell r="EC159" t="e">
            <v>#N/A</v>
          </cell>
          <cell r="ED159" t="e">
            <v>#N/A</v>
          </cell>
          <cell r="EE159" t="e">
            <v>#N/A</v>
          </cell>
          <cell r="EF159" t="e">
            <v>#N/A</v>
          </cell>
          <cell r="EG159" t="e">
            <v>#N/A</v>
          </cell>
          <cell r="EH159" t="e">
            <v>#N/A</v>
          </cell>
          <cell r="EI159" t="e">
            <v>#N/A</v>
          </cell>
          <cell r="EJ159" t="e">
            <v>#N/A</v>
          </cell>
          <cell r="EK159" t="e">
            <v>#N/A</v>
          </cell>
          <cell r="EL159" t="e">
            <v>#N/A</v>
          </cell>
          <cell r="EM159" t="e">
            <v>#N/A</v>
          </cell>
          <cell r="EN159" t="e">
            <v>#N/A</v>
          </cell>
          <cell r="EO159" t="e">
            <v>#N/A</v>
          </cell>
          <cell r="EP159" t="e">
            <v>#N/A</v>
          </cell>
          <cell r="EQ159" t="e">
            <v>#N/A</v>
          </cell>
          <cell r="ER159" t="e">
            <v>#N/A</v>
          </cell>
          <cell r="ES159" t="e">
            <v>#N/A</v>
          </cell>
          <cell r="ET159" t="e">
            <v>#N/A</v>
          </cell>
          <cell r="EU159" t="e">
            <v>#N/A</v>
          </cell>
          <cell r="EV159" t="e">
            <v>#N/A</v>
          </cell>
          <cell r="EW159" t="e">
            <v>#N/A</v>
          </cell>
          <cell r="EX159" t="e">
            <v>#N/A</v>
          </cell>
          <cell r="EY159" t="e">
            <v>#N/A</v>
          </cell>
          <cell r="EZ159" t="e">
            <v>#N/A</v>
          </cell>
          <cell r="FA159" t="e">
            <v>#N/A</v>
          </cell>
          <cell r="FB159" t="e">
            <v>#N/A</v>
          </cell>
          <cell r="FC159" t="e">
            <v>#N/A</v>
          </cell>
          <cell r="FD159" t="e">
            <v>#N/A</v>
          </cell>
          <cell r="FE159" t="e">
            <v>#N/A</v>
          </cell>
          <cell r="FF159" t="e">
            <v>#N/A</v>
          </cell>
          <cell r="FG159" t="e">
            <v>#N/A</v>
          </cell>
          <cell r="FH159" t="e">
            <v>#N/A</v>
          </cell>
          <cell r="FI159" t="e">
            <v>#N/A</v>
          </cell>
          <cell r="FJ159" t="e">
            <v>#N/A</v>
          </cell>
          <cell r="FK159" t="e">
            <v>#N/A</v>
          </cell>
          <cell r="FL159" t="e">
            <v>#N/A</v>
          </cell>
          <cell r="FM159" t="e">
            <v>#N/A</v>
          </cell>
          <cell r="FN159" t="e">
            <v>#N/A</v>
          </cell>
          <cell r="FO159" t="e">
            <v>#N/A</v>
          </cell>
          <cell r="FP159" t="e">
            <v>#N/A</v>
          </cell>
          <cell r="FQ159" t="e">
            <v>#N/A</v>
          </cell>
          <cell r="FR159" t="e">
            <v>#N/A</v>
          </cell>
          <cell r="FS159" t="e">
            <v>#N/A</v>
          </cell>
          <cell r="FT159" t="e">
            <v>#N/A</v>
          </cell>
          <cell r="FU159" t="e">
            <v>#N/A</v>
          </cell>
          <cell r="FV159" t="e">
            <v>#N/A</v>
          </cell>
          <cell r="FW159" t="e">
            <v>#N/A</v>
          </cell>
          <cell r="FX159" t="e">
            <v>#N/A</v>
          </cell>
          <cell r="FY159" t="e">
            <v>#N/A</v>
          </cell>
          <cell r="FZ159" t="e">
            <v>#N/A</v>
          </cell>
          <cell r="GA159" t="e">
            <v>#N/A</v>
          </cell>
          <cell r="GB159" t="e">
            <v>#N/A</v>
          </cell>
          <cell r="GC159" t="e">
            <v>#N/A</v>
          </cell>
          <cell r="GD159" t="e">
            <v>#N/A</v>
          </cell>
          <cell r="GE159" t="e">
            <v>#N/A</v>
          </cell>
          <cell r="GF159" t="e">
            <v>#N/A</v>
          </cell>
          <cell r="GG159" t="e">
            <v>#N/A</v>
          </cell>
          <cell r="GH159" t="e">
            <v>#N/A</v>
          </cell>
          <cell r="GI159" t="e">
            <v>#N/A</v>
          </cell>
          <cell r="GJ159" t="e">
            <v>#N/A</v>
          </cell>
          <cell r="GK159" t="e">
            <v>#N/A</v>
          </cell>
          <cell r="GL159" t="e">
            <v>#N/A</v>
          </cell>
          <cell r="GM159" t="e">
            <v>#N/A</v>
          </cell>
          <cell r="GN159" t="e">
            <v>#N/A</v>
          </cell>
          <cell r="GO159" t="e">
            <v>#N/A</v>
          </cell>
          <cell r="GP159" t="e">
            <v>#N/A</v>
          </cell>
          <cell r="GQ159" t="e">
            <v>#N/A</v>
          </cell>
          <cell r="GR159" t="e">
            <v>#N/A</v>
          </cell>
          <cell r="GS159" t="e">
            <v>#N/A</v>
          </cell>
          <cell r="GT159" t="e">
            <v>#N/A</v>
          </cell>
          <cell r="GU159" t="e">
            <v>#N/A</v>
          </cell>
          <cell r="GV159" t="e">
            <v>#N/A</v>
          </cell>
          <cell r="GW159" t="e">
            <v>#N/A</v>
          </cell>
          <cell r="GX159" t="e">
            <v>#N/A</v>
          </cell>
        </row>
        <row r="160">
          <cell r="A160" t="str">
            <v>2028 Q4</v>
          </cell>
          <cell r="B160" t="e">
            <v>#N/A</v>
          </cell>
          <cell r="C160" t="e">
            <v>#N/A</v>
          </cell>
          <cell r="D160" t="e">
            <v>#N/A</v>
          </cell>
          <cell r="E160" t="e">
            <v>#N/A</v>
          </cell>
          <cell r="F160" t="e">
            <v>#N/A</v>
          </cell>
          <cell r="G160" t="e">
            <v>#N/A</v>
          </cell>
          <cell r="H160" t="e">
            <v>#N/A</v>
          </cell>
          <cell r="I160" t="e">
            <v>#N/A</v>
          </cell>
          <cell r="J160" t="e">
            <v>#N/A</v>
          </cell>
          <cell r="K160" t="e">
            <v>#N/A</v>
          </cell>
          <cell r="L160" t="e">
            <v>#N/A</v>
          </cell>
          <cell r="M160" t="e">
            <v>#N/A</v>
          </cell>
          <cell r="N160" t="e">
            <v>#N/A</v>
          </cell>
          <cell r="O160" t="e">
            <v>#N/A</v>
          </cell>
          <cell r="P160" t="e">
            <v>#N/A</v>
          </cell>
          <cell r="Q160" t="e">
            <v>#N/A</v>
          </cell>
          <cell r="R160" t="e">
            <v>#N/A</v>
          </cell>
          <cell r="S160" t="e">
            <v>#N/A</v>
          </cell>
          <cell r="T160" t="e">
            <v>#N/A</v>
          </cell>
          <cell r="U160" t="e">
            <v>#N/A</v>
          </cell>
          <cell r="V160" t="e">
            <v>#N/A</v>
          </cell>
          <cell r="W160" t="e">
            <v>#N/A</v>
          </cell>
          <cell r="X160" t="e">
            <v>#N/A</v>
          </cell>
          <cell r="Y160" t="e">
            <v>#N/A</v>
          </cell>
          <cell r="Z160" t="e">
            <v>#N/A</v>
          </cell>
          <cell r="AA160" t="e">
            <v>#N/A</v>
          </cell>
          <cell r="AB160" t="e">
            <v>#N/A</v>
          </cell>
          <cell r="AC160" t="e">
            <v>#N/A</v>
          </cell>
          <cell r="AD160" t="e">
            <v>#N/A</v>
          </cell>
          <cell r="AE160" t="e">
            <v>#N/A</v>
          </cell>
          <cell r="AF160" t="e">
            <v>#N/A</v>
          </cell>
          <cell r="AG160" t="e">
            <v>#N/A</v>
          </cell>
          <cell r="AH160" t="e">
            <v>#N/A</v>
          </cell>
          <cell r="AI160" t="e">
            <v>#N/A</v>
          </cell>
          <cell r="AJ160" t="e">
            <v>#N/A</v>
          </cell>
          <cell r="AK160" t="e">
            <v>#N/A</v>
          </cell>
          <cell r="AL160" t="e">
            <v>#N/A</v>
          </cell>
          <cell r="AM160" t="e">
            <v>#N/A</v>
          </cell>
          <cell r="AN160" t="e">
            <v>#N/A</v>
          </cell>
          <cell r="AO160" t="e">
            <v>#N/A</v>
          </cell>
          <cell r="AP160" t="e">
            <v>#N/A</v>
          </cell>
          <cell r="AQ160" t="e">
            <v>#N/A</v>
          </cell>
          <cell r="AR160" t="e">
            <v>#N/A</v>
          </cell>
          <cell r="AS160" t="e">
            <v>#N/A</v>
          </cell>
          <cell r="AT160" t="e">
            <v>#N/A</v>
          </cell>
          <cell r="AU160" t="e">
            <v>#N/A</v>
          </cell>
          <cell r="AV160" t="e">
            <v>#N/A</v>
          </cell>
          <cell r="AW160" t="e">
            <v>#N/A</v>
          </cell>
          <cell r="AX160" t="e">
            <v>#N/A</v>
          </cell>
          <cell r="AY160" t="e">
            <v>#N/A</v>
          </cell>
          <cell r="AZ160" t="e">
            <v>#N/A</v>
          </cell>
          <cell r="BA160" t="e">
            <v>#N/A</v>
          </cell>
          <cell r="BB160" t="e">
            <v>#N/A</v>
          </cell>
          <cell r="BC160" t="e">
            <v>#N/A</v>
          </cell>
          <cell r="BD160" t="e">
            <v>#N/A</v>
          </cell>
          <cell r="BE160" t="e">
            <v>#N/A</v>
          </cell>
          <cell r="BF160" t="e">
            <v>#N/A</v>
          </cell>
          <cell r="BG160" t="e">
            <v>#N/A</v>
          </cell>
          <cell r="BH160" t="e">
            <v>#N/A</v>
          </cell>
          <cell r="BI160" t="e">
            <v>#N/A</v>
          </cell>
          <cell r="BJ160" t="e">
            <v>#N/A</v>
          </cell>
          <cell r="BK160" t="e">
            <v>#N/A</v>
          </cell>
          <cell r="BL160" t="e">
            <v>#N/A</v>
          </cell>
          <cell r="BM160" t="e">
            <v>#N/A</v>
          </cell>
          <cell r="BN160" t="e">
            <v>#N/A</v>
          </cell>
          <cell r="BO160" t="e">
            <v>#N/A</v>
          </cell>
          <cell r="BP160" t="e">
            <v>#N/A</v>
          </cell>
          <cell r="BQ160" t="e">
            <v>#N/A</v>
          </cell>
          <cell r="BR160" t="e">
            <v>#N/A</v>
          </cell>
          <cell r="BS160" t="e">
            <v>#N/A</v>
          </cell>
          <cell r="BT160" t="e">
            <v>#N/A</v>
          </cell>
          <cell r="BU160" t="e">
            <v>#N/A</v>
          </cell>
          <cell r="BV160" t="e">
            <v>#N/A</v>
          </cell>
          <cell r="BW160" t="e">
            <v>#N/A</v>
          </cell>
          <cell r="BX160" t="e">
            <v>#N/A</v>
          </cell>
          <cell r="BY160" t="e">
            <v>#N/A</v>
          </cell>
          <cell r="BZ160" t="e">
            <v>#N/A</v>
          </cell>
          <cell r="CA160" t="e">
            <v>#N/A</v>
          </cell>
          <cell r="CB160" t="e">
            <v>#N/A</v>
          </cell>
          <cell r="CC160" t="e">
            <v>#N/A</v>
          </cell>
          <cell r="CD160" t="e">
            <v>#N/A</v>
          </cell>
          <cell r="CE160" t="e">
            <v>#N/A</v>
          </cell>
          <cell r="CF160" t="e">
            <v>#N/A</v>
          </cell>
          <cell r="CG160" t="e">
            <v>#N/A</v>
          </cell>
          <cell r="CH160" t="e">
            <v>#N/A</v>
          </cell>
          <cell r="CI160" t="e">
            <v>#N/A</v>
          </cell>
          <cell r="CJ160" t="e">
            <v>#N/A</v>
          </cell>
          <cell r="CK160" t="e">
            <v>#N/A</v>
          </cell>
          <cell r="CL160" t="e">
            <v>#N/A</v>
          </cell>
          <cell r="CM160" t="e">
            <v>#N/A</v>
          </cell>
          <cell r="CN160" t="e">
            <v>#N/A</v>
          </cell>
          <cell r="CO160" t="e">
            <v>#N/A</v>
          </cell>
          <cell r="CP160" t="e">
            <v>#N/A</v>
          </cell>
          <cell r="CQ160" t="e">
            <v>#N/A</v>
          </cell>
          <cell r="CR160" t="e">
            <v>#N/A</v>
          </cell>
          <cell r="CS160" t="e">
            <v>#N/A</v>
          </cell>
          <cell r="CT160" t="e">
            <v>#N/A</v>
          </cell>
          <cell r="CU160" t="e">
            <v>#N/A</v>
          </cell>
          <cell r="CV160" t="e">
            <v>#N/A</v>
          </cell>
          <cell r="CW160" t="e">
            <v>#N/A</v>
          </cell>
          <cell r="CX160" t="e">
            <v>#N/A</v>
          </cell>
          <cell r="CY160" t="e">
            <v>#N/A</v>
          </cell>
          <cell r="CZ160" t="e">
            <v>#N/A</v>
          </cell>
          <cell r="DA160" t="e">
            <v>#N/A</v>
          </cell>
          <cell r="DB160" t="e">
            <v>#N/A</v>
          </cell>
          <cell r="DC160" t="e">
            <v>#N/A</v>
          </cell>
          <cell r="DD160" t="e">
            <v>#N/A</v>
          </cell>
          <cell r="DE160" t="e">
            <v>#N/A</v>
          </cell>
          <cell r="DF160" t="e">
            <v>#N/A</v>
          </cell>
          <cell r="DG160" t="e">
            <v>#N/A</v>
          </cell>
          <cell r="DH160" t="e">
            <v>#N/A</v>
          </cell>
          <cell r="DI160" t="e">
            <v>#N/A</v>
          </cell>
          <cell r="DJ160" t="e">
            <v>#N/A</v>
          </cell>
          <cell r="DK160" t="e">
            <v>#N/A</v>
          </cell>
          <cell r="DL160" t="e">
            <v>#N/A</v>
          </cell>
          <cell r="DM160" t="e">
            <v>#N/A</v>
          </cell>
          <cell r="DN160" t="e">
            <v>#N/A</v>
          </cell>
          <cell r="DO160" t="e">
            <v>#N/A</v>
          </cell>
          <cell r="DP160" t="e">
            <v>#N/A</v>
          </cell>
          <cell r="DQ160" t="e">
            <v>#N/A</v>
          </cell>
          <cell r="DR160" t="e">
            <v>#N/A</v>
          </cell>
          <cell r="DS160" t="e">
            <v>#N/A</v>
          </cell>
          <cell r="DT160" t="e">
            <v>#N/A</v>
          </cell>
          <cell r="DU160" t="e">
            <v>#N/A</v>
          </cell>
          <cell r="DV160" t="e">
            <v>#N/A</v>
          </cell>
          <cell r="DW160" t="e">
            <v>#N/A</v>
          </cell>
          <cell r="DX160" t="e">
            <v>#N/A</v>
          </cell>
          <cell r="DY160" t="e">
            <v>#N/A</v>
          </cell>
          <cell r="DZ160" t="e">
            <v>#N/A</v>
          </cell>
          <cell r="EA160" t="e">
            <v>#N/A</v>
          </cell>
          <cell r="EB160" t="e">
            <v>#N/A</v>
          </cell>
          <cell r="EC160" t="e">
            <v>#N/A</v>
          </cell>
          <cell r="ED160" t="e">
            <v>#N/A</v>
          </cell>
          <cell r="EE160" t="e">
            <v>#N/A</v>
          </cell>
          <cell r="EF160" t="e">
            <v>#N/A</v>
          </cell>
          <cell r="EG160" t="e">
            <v>#N/A</v>
          </cell>
          <cell r="EH160" t="e">
            <v>#N/A</v>
          </cell>
          <cell r="EI160" t="e">
            <v>#N/A</v>
          </cell>
          <cell r="EJ160" t="e">
            <v>#N/A</v>
          </cell>
          <cell r="EK160" t="e">
            <v>#N/A</v>
          </cell>
          <cell r="EL160" t="e">
            <v>#N/A</v>
          </cell>
          <cell r="EM160" t="e">
            <v>#N/A</v>
          </cell>
          <cell r="EN160" t="e">
            <v>#N/A</v>
          </cell>
          <cell r="EO160" t="e">
            <v>#N/A</v>
          </cell>
          <cell r="EP160" t="e">
            <v>#N/A</v>
          </cell>
          <cell r="EQ160" t="e">
            <v>#N/A</v>
          </cell>
          <cell r="ER160" t="e">
            <v>#N/A</v>
          </cell>
          <cell r="ES160" t="e">
            <v>#N/A</v>
          </cell>
          <cell r="ET160" t="e">
            <v>#N/A</v>
          </cell>
          <cell r="EU160" t="e">
            <v>#N/A</v>
          </cell>
          <cell r="EV160" t="e">
            <v>#N/A</v>
          </cell>
          <cell r="EW160" t="e">
            <v>#N/A</v>
          </cell>
          <cell r="EX160" t="e">
            <v>#N/A</v>
          </cell>
          <cell r="EY160" t="e">
            <v>#N/A</v>
          </cell>
          <cell r="EZ160" t="e">
            <v>#N/A</v>
          </cell>
          <cell r="FA160" t="e">
            <v>#N/A</v>
          </cell>
          <cell r="FB160" t="e">
            <v>#N/A</v>
          </cell>
          <cell r="FC160" t="e">
            <v>#N/A</v>
          </cell>
          <cell r="FD160" t="e">
            <v>#N/A</v>
          </cell>
          <cell r="FE160" t="e">
            <v>#N/A</v>
          </cell>
          <cell r="FF160" t="e">
            <v>#N/A</v>
          </cell>
          <cell r="FG160" t="e">
            <v>#N/A</v>
          </cell>
          <cell r="FH160" t="e">
            <v>#N/A</v>
          </cell>
          <cell r="FI160" t="e">
            <v>#N/A</v>
          </cell>
          <cell r="FJ160" t="e">
            <v>#N/A</v>
          </cell>
          <cell r="FK160" t="e">
            <v>#N/A</v>
          </cell>
          <cell r="FL160" t="e">
            <v>#N/A</v>
          </cell>
          <cell r="FM160" t="e">
            <v>#N/A</v>
          </cell>
          <cell r="FN160" t="e">
            <v>#N/A</v>
          </cell>
          <cell r="FO160" t="e">
            <v>#N/A</v>
          </cell>
          <cell r="FP160" t="e">
            <v>#N/A</v>
          </cell>
          <cell r="FQ160" t="e">
            <v>#N/A</v>
          </cell>
          <cell r="FR160" t="e">
            <v>#N/A</v>
          </cell>
          <cell r="FS160" t="e">
            <v>#N/A</v>
          </cell>
          <cell r="FT160" t="e">
            <v>#N/A</v>
          </cell>
          <cell r="FU160" t="e">
            <v>#N/A</v>
          </cell>
          <cell r="FV160" t="e">
            <v>#N/A</v>
          </cell>
          <cell r="FW160" t="e">
            <v>#N/A</v>
          </cell>
          <cell r="FX160" t="e">
            <v>#N/A</v>
          </cell>
          <cell r="FY160" t="e">
            <v>#N/A</v>
          </cell>
          <cell r="FZ160" t="e">
            <v>#N/A</v>
          </cell>
          <cell r="GA160" t="e">
            <v>#N/A</v>
          </cell>
          <cell r="GB160" t="e">
            <v>#N/A</v>
          </cell>
          <cell r="GC160" t="e">
            <v>#N/A</v>
          </cell>
          <cell r="GD160" t="e">
            <v>#N/A</v>
          </cell>
          <cell r="GE160" t="e">
            <v>#N/A</v>
          </cell>
          <cell r="GF160" t="e">
            <v>#N/A</v>
          </cell>
          <cell r="GG160" t="e">
            <v>#N/A</v>
          </cell>
          <cell r="GH160" t="e">
            <v>#N/A</v>
          </cell>
          <cell r="GI160" t="e">
            <v>#N/A</v>
          </cell>
          <cell r="GJ160" t="e">
            <v>#N/A</v>
          </cell>
          <cell r="GK160" t="e">
            <v>#N/A</v>
          </cell>
          <cell r="GL160" t="e">
            <v>#N/A</v>
          </cell>
          <cell r="GM160" t="e">
            <v>#N/A</v>
          </cell>
          <cell r="GN160" t="e">
            <v>#N/A</v>
          </cell>
          <cell r="GO160" t="e">
            <v>#N/A</v>
          </cell>
          <cell r="GP160" t="e">
            <v>#N/A</v>
          </cell>
          <cell r="GQ160" t="e">
            <v>#N/A</v>
          </cell>
          <cell r="GR160" t="e">
            <v>#N/A</v>
          </cell>
          <cell r="GS160" t="e">
            <v>#N/A</v>
          </cell>
          <cell r="GT160" t="e">
            <v>#N/A</v>
          </cell>
          <cell r="GU160" t="e">
            <v>#N/A</v>
          </cell>
          <cell r="GV160" t="e">
            <v>#N/A</v>
          </cell>
          <cell r="GW160" t="e">
            <v>#N/A</v>
          </cell>
          <cell r="GX160" t="e">
            <v>#N/A</v>
          </cell>
        </row>
        <row r="161">
          <cell r="A161" t="str">
            <v>2029 Q1</v>
          </cell>
          <cell r="B161" t="e">
            <v>#N/A</v>
          </cell>
          <cell r="C161" t="e">
            <v>#N/A</v>
          </cell>
          <cell r="D161" t="e">
            <v>#N/A</v>
          </cell>
          <cell r="E161" t="e">
            <v>#N/A</v>
          </cell>
          <cell r="F161" t="e">
            <v>#N/A</v>
          </cell>
          <cell r="G161" t="e">
            <v>#N/A</v>
          </cell>
          <cell r="H161" t="e">
            <v>#N/A</v>
          </cell>
          <cell r="I161" t="e">
            <v>#N/A</v>
          </cell>
          <cell r="J161" t="e">
            <v>#N/A</v>
          </cell>
          <cell r="K161" t="e">
            <v>#N/A</v>
          </cell>
          <cell r="L161" t="e">
            <v>#N/A</v>
          </cell>
          <cell r="M161" t="e">
            <v>#N/A</v>
          </cell>
          <cell r="N161" t="e">
            <v>#N/A</v>
          </cell>
          <cell r="O161" t="e">
            <v>#N/A</v>
          </cell>
          <cell r="P161" t="e">
            <v>#N/A</v>
          </cell>
          <cell r="Q161" t="e">
            <v>#N/A</v>
          </cell>
          <cell r="R161" t="e">
            <v>#N/A</v>
          </cell>
          <cell r="S161" t="e">
            <v>#N/A</v>
          </cell>
          <cell r="T161" t="e">
            <v>#N/A</v>
          </cell>
          <cell r="U161" t="e">
            <v>#N/A</v>
          </cell>
          <cell r="V161" t="e">
            <v>#N/A</v>
          </cell>
          <cell r="W161" t="e">
            <v>#N/A</v>
          </cell>
          <cell r="X161" t="e">
            <v>#N/A</v>
          </cell>
          <cell r="Y161" t="e">
            <v>#N/A</v>
          </cell>
          <cell r="Z161" t="e">
            <v>#N/A</v>
          </cell>
          <cell r="AA161" t="e">
            <v>#N/A</v>
          </cell>
          <cell r="AB161" t="e">
            <v>#N/A</v>
          </cell>
          <cell r="AC161" t="e">
            <v>#N/A</v>
          </cell>
          <cell r="AD161" t="e">
            <v>#N/A</v>
          </cell>
          <cell r="AE161" t="e">
            <v>#N/A</v>
          </cell>
          <cell r="AF161" t="e">
            <v>#N/A</v>
          </cell>
          <cell r="AG161" t="e">
            <v>#N/A</v>
          </cell>
          <cell r="AH161" t="e">
            <v>#N/A</v>
          </cell>
          <cell r="AI161" t="e">
            <v>#N/A</v>
          </cell>
          <cell r="AJ161" t="e">
            <v>#N/A</v>
          </cell>
          <cell r="AK161" t="e">
            <v>#N/A</v>
          </cell>
          <cell r="AL161" t="e">
            <v>#N/A</v>
          </cell>
          <cell r="AM161" t="e">
            <v>#N/A</v>
          </cell>
          <cell r="AN161" t="e">
            <v>#N/A</v>
          </cell>
          <cell r="AO161" t="e">
            <v>#N/A</v>
          </cell>
          <cell r="AP161" t="e">
            <v>#N/A</v>
          </cell>
          <cell r="AQ161" t="e">
            <v>#N/A</v>
          </cell>
          <cell r="AR161" t="e">
            <v>#N/A</v>
          </cell>
          <cell r="AS161" t="e">
            <v>#N/A</v>
          </cell>
          <cell r="AT161" t="e">
            <v>#N/A</v>
          </cell>
          <cell r="AU161" t="e">
            <v>#N/A</v>
          </cell>
          <cell r="AV161" t="e">
            <v>#N/A</v>
          </cell>
          <cell r="AW161" t="e">
            <v>#N/A</v>
          </cell>
          <cell r="AX161" t="e">
            <v>#N/A</v>
          </cell>
          <cell r="AY161" t="e">
            <v>#N/A</v>
          </cell>
          <cell r="AZ161" t="e">
            <v>#N/A</v>
          </cell>
          <cell r="BA161" t="e">
            <v>#N/A</v>
          </cell>
          <cell r="BB161" t="e">
            <v>#N/A</v>
          </cell>
          <cell r="BC161" t="e">
            <v>#N/A</v>
          </cell>
          <cell r="BD161" t="e">
            <v>#N/A</v>
          </cell>
          <cell r="BE161" t="e">
            <v>#N/A</v>
          </cell>
          <cell r="BF161" t="e">
            <v>#N/A</v>
          </cell>
          <cell r="BG161" t="e">
            <v>#N/A</v>
          </cell>
          <cell r="BH161" t="e">
            <v>#N/A</v>
          </cell>
          <cell r="BI161" t="e">
            <v>#N/A</v>
          </cell>
          <cell r="BJ161" t="e">
            <v>#N/A</v>
          </cell>
          <cell r="BK161" t="e">
            <v>#N/A</v>
          </cell>
          <cell r="BL161" t="e">
            <v>#N/A</v>
          </cell>
          <cell r="BM161" t="e">
            <v>#N/A</v>
          </cell>
          <cell r="BN161" t="e">
            <v>#N/A</v>
          </cell>
          <cell r="BO161" t="e">
            <v>#N/A</v>
          </cell>
          <cell r="BP161" t="e">
            <v>#N/A</v>
          </cell>
          <cell r="BQ161" t="e">
            <v>#N/A</v>
          </cell>
          <cell r="BR161" t="e">
            <v>#N/A</v>
          </cell>
          <cell r="BS161" t="e">
            <v>#N/A</v>
          </cell>
          <cell r="BT161" t="e">
            <v>#N/A</v>
          </cell>
          <cell r="BU161" t="e">
            <v>#N/A</v>
          </cell>
          <cell r="BV161" t="e">
            <v>#N/A</v>
          </cell>
          <cell r="BW161" t="e">
            <v>#N/A</v>
          </cell>
          <cell r="BX161" t="e">
            <v>#N/A</v>
          </cell>
          <cell r="BY161" t="e">
            <v>#N/A</v>
          </cell>
          <cell r="BZ161" t="e">
            <v>#N/A</v>
          </cell>
          <cell r="CA161" t="e">
            <v>#N/A</v>
          </cell>
          <cell r="CB161" t="e">
            <v>#N/A</v>
          </cell>
          <cell r="CC161" t="e">
            <v>#N/A</v>
          </cell>
          <cell r="CD161" t="e">
            <v>#N/A</v>
          </cell>
          <cell r="CE161" t="e">
            <v>#N/A</v>
          </cell>
          <cell r="CF161" t="e">
            <v>#N/A</v>
          </cell>
          <cell r="CG161" t="e">
            <v>#N/A</v>
          </cell>
          <cell r="CH161" t="e">
            <v>#N/A</v>
          </cell>
          <cell r="CI161" t="e">
            <v>#N/A</v>
          </cell>
          <cell r="CJ161" t="e">
            <v>#N/A</v>
          </cell>
          <cell r="CK161" t="e">
            <v>#N/A</v>
          </cell>
          <cell r="CL161" t="e">
            <v>#N/A</v>
          </cell>
          <cell r="CM161" t="e">
            <v>#N/A</v>
          </cell>
          <cell r="CN161" t="e">
            <v>#N/A</v>
          </cell>
          <cell r="CO161" t="e">
            <v>#N/A</v>
          </cell>
          <cell r="CP161" t="e">
            <v>#N/A</v>
          </cell>
          <cell r="CQ161" t="e">
            <v>#N/A</v>
          </cell>
          <cell r="CR161" t="e">
            <v>#N/A</v>
          </cell>
          <cell r="CS161" t="e">
            <v>#N/A</v>
          </cell>
          <cell r="CT161" t="e">
            <v>#N/A</v>
          </cell>
          <cell r="CU161" t="e">
            <v>#N/A</v>
          </cell>
          <cell r="CV161" t="e">
            <v>#N/A</v>
          </cell>
          <cell r="CW161" t="e">
            <v>#N/A</v>
          </cell>
          <cell r="CX161" t="e">
            <v>#N/A</v>
          </cell>
          <cell r="CY161" t="e">
            <v>#N/A</v>
          </cell>
          <cell r="CZ161" t="e">
            <v>#N/A</v>
          </cell>
          <cell r="DA161" t="e">
            <v>#N/A</v>
          </cell>
          <cell r="DB161" t="e">
            <v>#N/A</v>
          </cell>
          <cell r="DC161" t="e">
            <v>#N/A</v>
          </cell>
          <cell r="DD161" t="e">
            <v>#N/A</v>
          </cell>
          <cell r="DE161" t="e">
            <v>#N/A</v>
          </cell>
          <cell r="DF161" t="e">
            <v>#N/A</v>
          </cell>
          <cell r="DG161" t="e">
            <v>#N/A</v>
          </cell>
          <cell r="DH161" t="e">
            <v>#N/A</v>
          </cell>
          <cell r="DI161" t="e">
            <v>#N/A</v>
          </cell>
          <cell r="DJ161" t="e">
            <v>#N/A</v>
          </cell>
          <cell r="DK161" t="e">
            <v>#N/A</v>
          </cell>
          <cell r="DL161" t="e">
            <v>#N/A</v>
          </cell>
          <cell r="DM161" t="e">
            <v>#N/A</v>
          </cell>
          <cell r="DN161" t="e">
            <v>#N/A</v>
          </cell>
          <cell r="DO161" t="e">
            <v>#N/A</v>
          </cell>
          <cell r="DP161" t="e">
            <v>#N/A</v>
          </cell>
          <cell r="DQ161" t="e">
            <v>#N/A</v>
          </cell>
          <cell r="DR161" t="e">
            <v>#N/A</v>
          </cell>
          <cell r="DS161" t="e">
            <v>#N/A</v>
          </cell>
          <cell r="DT161" t="e">
            <v>#N/A</v>
          </cell>
          <cell r="DU161" t="e">
            <v>#N/A</v>
          </cell>
          <cell r="DV161" t="e">
            <v>#N/A</v>
          </cell>
          <cell r="DW161" t="e">
            <v>#N/A</v>
          </cell>
          <cell r="DX161" t="e">
            <v>#N/A</v>
          </cell>
          <cell r="DY161" t="e">
            <v>#N/A</v>
          </cell>
          <cell r="DZ161" t="e">
            <v>#N/A</v>
          </cell>
          <cell r="EA161" t="e">
            <v>#N/A</v>
          </cell>
          <cell r="EB161" t="e">
            <v>#N/A</v>
          </cell>
          <cell r="EC161" t="e">
            <v>#N/A</v>
          </cell>
          <cell r="ED161" t="e">
            <v>#N/A</v>
          </cell>
          <cell r="EE161" t="e">
            <v>#N/A</v>
          </cell>
          <cell r="EF161" t="e">
            <v>#N/A</v>
          </cell>
          <cell r="EG161" t="e">
            <v>#N/A</v>
          </cell>
          <cell r="EH161" t="e">
            <v>#N/A</v>
          </cell>
          <cell r="EI161" t="e">
            <v>#N/A</v>
          </cell>
          <cell r="EJ161" t="e">
            <v>#N/A</v>
          </cell>
          <cell r="EK161" t="e">
            <v>#N/A</v>
          </cell>
          <cell r="EL161" t="e">
            <v>#N/A</v>
          </cell>
          <cell r="EM161" t="e">
            <v>#N/A</v>
          </cell>
          <cell r="EN161" t="e">
            <v>#N/A</v>
          </cell>
          <cell r="EO161" t="e">
            <v>#N/A</v>
          </cell>
          <cell r="EP161" t="e">
            <v>#N/A</v>
          </cell>
          <cell r="EQ161" t="e">
            <v>#N/A</v>
          </cell>
          <cell r="ER161" t="e">
            <v>#N/A</v>
          </cell>
          <cell r="ES161" t="e">
            <v>#N/A</v>
          </cell>
          <cell r="ET161" t="e">
            <v>#N/A</v>
          </cell>
          <cell r="EU161" t="e">
            <v>#N/A</v>
          </cell>
          <cell r="EV161" t="e">
            <v>#N/A</v>
          </cell>
          <cell r="EW161" t="e">
            <v>#N/A</v>
          </cell>
          <cell r="EX161" t="e">
            <v>#N/A</v>
          </cell>
          <cell r="EY161" t="e">
            <v>#N/A</v>
          </cell>
          <cell r="EZ161" t="e">
            <v>#N/A</v>
          </cell>
          <cell r="FA161" t="e">
            <v>#N/A</v>
          </cell>
          <cell r="FB161" t="e">
            <v>#N/A</v>
          </cell>
          <cell r="FC161" t="e">
            <v>#N/A</v>
          </cell>
          <cell r="FD161" t="e">
            <v>#N/A</v>
          </cell>
          <cell r="FE161" t="e">
            <v>#N/A</v>
          </cell>
          <cell r="FF161" t="e">
            <v>#N/A</v>
          </cell>
          <cell r="FG161" t="e">
            <v>#N/A</v>
          </cell>
          <cell r="FH161" t="e">
            <v>#N/A</v>
          </cell>
          <cell r="FI161" t="e">
            <v>#N/A</v>
          </cell>
          <cell r="FJ161" t="e">
            <v>#N/A</v>
          </cell>
          <cell r="FK161" t="e">
            <v>#N/A</v>
          </cell>
          <cell r="FL161" t="e">
            <v>#N/A</v>
          </cell>
          <cell r="FM161" t="e">
            <v>#N/A</v>
          </cell>
          <cell r="FN161" t="e">
            <v>#N/A</v>
          </cell>
          <cell r="FO161" t="e">
            <v>#N/A</v>
          </cell>
          <cell r="FP161" t="e">
            <v>#N/A</v>
          </cell>
          <cell r="FQ161" t="e">
            <v>#N/A</v>
          </cell>
          <cell r="FR161" t="e">
            <v>#N/A</v>
          </cell>
          <cell r="FS161" t="e">
            <v>#N/A</v>
          </cell>
          <cell r="FT161" t="e">
            <v>#N/A</v>
          </cell>
          <cell r="FU161" t="e">
            <v>#N/A</v>
          </cell>
          <cell r="FV161" t="e">
            <v>#N/A</v>
          </cell>
          <cell r="FW161" t="e">
            <v>#N/A</v>
          </cell>
          <cell r="FX161" t="e">
            <v>#N/A</v>
          </cell>
          <cell r="FY161" t="e">
            <v>#N/A</v>
          </cell>
          <cell r="FZ161" t="e">
            <v>#N/A</v>
          </cell>
          <cell r="GA161" t="e">
            <v>#N/A</v>
          </cell>
          <cell r="GB161" t="e">
            <v>#N/A</v>
          </cell>
          <cell r="GC161" t="e">
            <v>#N/A</v>
          </cell>
          <cell r="GD161" t="e">
            <v>#N/A</v>
          </cell>
          <cell r="GE161" t="e">
            <v>#N/A</v>
          </cell>
          <cell r="GF161" t="e">
            <v>#N/A</v>
          </cell>
          <cell r="GG161" t="e">
            <v>#N/A</v>
          </cell>
          <cell r="GH161" t="e">
            <v>#N/A</v>
          </cell>
          <cell r="GI161" t="e">
            <v>#N/A</v>
          </cell>
          <cell r="GJ161" t="e">
            <v>#N/A</v>
          </cell>
          <cell r="GK161" t="e">
            <v>#N/A</v>
          </cell>
          <cell r="GL161" t="e">
            <v>#N/A</v>
          </cell>
          <cell r="GM161" t="e">
            <v>#N/A</v>
          </cell>
          <cell r="GN161" t="e">
            <v>#N/A</v>
          </cell>
          <cell r="GO161" t="e">
            <v>#N/A</v>
          </cell>
          <cell r="GP161" t="e">
            <v>#N/A</v>
          </cell>
          <cell r="GQ161" t="e">
            <v>#N/A</v>
          </cell>
          <cell r="GR161" t="e">
            <v>#N/A</v>
          </cell>
          <cell r="GS161" t="e">
            <v>#N/A</v>
          </cell>
          <cell r="GT161" t="e">
            <v>#N/A</v>
          </cell>
          <cell r="GU161" t="e">
            <v>#N/A</v>
          </cell>
          <cell r="GV161" t="e">
            <v>#N/A</v>
          </cell>
          <cell r="GW161" t="e">
            <v>#N/A</v>
          </cell>
          <cell r="GX161" t="e">
            <v>#N/A</v>
          </cell>
        </row>
        <row r="162">
          <cell r="A162" t="str">
            <v>2029 Q2</v>
          </cell>
          <cell r="B162" t="e">
            <v>#N/A</v>
          </cell>
          <cell r="C162" t="e">
            <v>#N/A</v>
          </cell>
          <cell r="D162" t="e">
            <v>#N/A</v>
          </cell>
          <cell r="E162" t="e">
            <v>#N/A</v>
          </cell>
          <cell r="F162" t="e">
            <v>#N/A</v>
          </cell>
          <cell r="G162" t="e">
            <v>#N/A</v>
          </cell>
          <cell r="H162" t="e">
            <v>#N/A</v>
          </cell>
          <cell r="I162" t="e">
            <v>#N/A</v>
          </cell>
          <cell r="J162" t="e">
            <v>#N/A</v>
          </cell>
          <cell r="K162" t="e">
            <v>#N/A</v>
          </cell>
          <cell r="L162" t="e">
            <v>#N/A</v>
          </cell>
          <cell r="M162" t="e">
            <v>#N/A</v>
          </cell>
          <cell r="N162" t="e">
            <v>#N/A</v>
          </cell>
          <cell r="O162" t="e">
            <v>#N/A</v>
          </cell>
          <cell r="P162" t="e">
            <v>#N/A</v>
          </cell>
          <cell r="Q162" t="e">
            <v>#N/A</v>
          </cell>
          <cell r="R162" t="e">
            <v>#N/A</v>
          </cell>
          <cell r="S162" t="e">
            <v>#N/A</v>
          </cell>
          <cell r="T162" t="e">
            <v>#N/A</v>
          </cell>
          <cell r="U162" t="e">
            <v>#N/A</v>
          </cell>
          <cell r="V162" t="e">
            <v>#N/A</v>
          </cell>
          <cell r="W162" t="e">
            <v>#N/A</v>
          </cell>
          <cell r="X162" t="e">
            <v>#N/A</v>
          </cell>
          <cell r="Y162" t="e">
            <v>#N/A</v>
          </cell>
          <cell r="Z162" t="e">
            <v>#N/A</v>
          </cell>
          <cell r="AA162" t="e">
            <v>#N/A</v>
          </cell>
          <cell r="AB162" t="e">
            <v>#N/A</v>
          </cell>
          <cell r="AC162" t="e">
            <v>#N/A</v>
          </cell>
          <cell r="AD162" t="e">
            <v>#N/A</v>
          </cell>
          <cell r="AE162" t="e">
            <v>#N/A</v>
          </cell>
          <cell r="AF162" t="e">
            <v>#N/A</v>
          </cell>
          <cell r="AG162" t="e">
            <v>#N/A</v>
          </cell>
          <cell r="AH162" t="e">
            <v>#N/A</v>
          </cell>
          <cell r="AI162" t="e">
            <v>#N/A</v>
          </cell>
          <cell r="AJ162" t="e">
            <v>#N/A</v>
          </cell>
          <cell r="AK162" t="e">
            <v>#N/A</v>
          </cell>
          <cell r="AL162" t="e">
            <v>#N/A</v>
          </cell>
          <cell r="AM162" t="e">
            <v>#N/A</v>
          </cell>
          <cell r="AN162" t="e">
            <v>#N/A</v>
          </cell>
          <cell r="AO162" t="e">
            <v>#N/A</v>
          </cell>
          <cell r="AP162" t="e">
            <v>#N/A</v>
          </cell>
          <cell r="AQ162" t="e">
            <v>#N/A</v>
          </cell>
          <cell r="AR162" t="e">
            <v>#N/A</v>
          </cell>
          <cell r="AS162" t="e">
            <v>#N/A</v>
          </cell>
          <cell r="AT162" t="e">
            <v>#N/A</v>
          </cell>
          <cell r="AU162" t="e">
            <v>#N/A</v>
          </cell>
          <cell r="AV162" t="e">
            <v>#N/A</v>
          </cell>
          <cell r="AW162" t="e">
            <v>#N/A</v>
          </cell>
          <cell r="AX162" t="e">
            <v>#N/A</v>
          </cell>
          <cell r="AY162" t="e">
            <v>#N/A</v>
          </cell>
          <cell r="AZ162" t="e">
            <v>#N/A</v>
          </cell>
          <cell r="BA162" t="e">
            <v>#N/A</v>
          </cell>
          <cell r="BB162" t="e">
            <v>#N/A</v>
          </cell>
          <cell r="BC162" t="e">
            <v>#N/A</v>
          </cell>
          <cell r="BD162" t="e">
            <v>#N/A</v>
          </cell>
          <cell r="BE162" t="e">
            <v>#N/A</v>
          </cell>
          <cell r="BF162" t="e">
            <v>#N/A</v>
          </cell>
          <cell r="BG162" t="e">
            <v>#N/A</v>
          </cell>
          <cell r="BH162" t="e">
            <v>#N/A</v>
          </cell>
          <cell r="BI162" t="e">
            <v>#N/A</v>
          </cell>
          <cell r="BJ162" t="e">
            <v>#N/A</v>
          </cell>
          <cell r="BK162" t="e">
            <v>#N/A</v>
          </cell>
          <cell r="BL162" t="e">
            <v>#N/A</v>
          </cell>
          <cell r="BM162" t="e">
            <v>#N/A</v>
          </cell>
          <cell r="BN162" t="e">
            <v>#N/A</v>
          </cell>
          <cell r="BO162" t="e">
            <v>#N/A</v>
          </cell>
          <cell r="BP162" t="e">
            <v>#N/A</v>
          </cell>
          <cell r="BQ162" t="e">
            <v>#N/A</v>
          </cell>
          <cell r="BR162" t="e">
            <v>#N/A</v>
          </cell>
          <cell r="BS162" t="e">
            <v>#N/A</v>
          </cell>
          <cell r="BT162" t="e">
            <v>#N/A</v>
          </cell>
          <cell r="BU162" t="e">
            <v>#N/A</v>
          </cell>
          <cell r="BV162" t="e">
            <v>#N/A</v>
          </cell>
          <cell r="BW162" t="e">
            <v>#N/A</v>
          </cell>
          <cell r="BX162" t="e">
            <v>#N/A</v>
          </cell>
          <cell r="BY162" t="e">
            <v>#N/A</v>
          </cell>
          <cell r="BZ162" t="e">
            <v>#N/A</v>
          </cell>
          <cell r="CA162" t="e">
            <v>#N/A</v>
          </cell>
          <cell r="CB162" t="e">
            <v>#N/A</v>
          </cell>
          <cell r="CC162" t="e">
            <v>#N/A</v>
          </cell>
          <cell r="CD162" t="e">
            <v>#N/A</v>
          </cell>
          <cell r="CE162" t="e">
            <v>#N/A</v>
          </cell>
          <cell r="CF162" t="e">
            <v>#N/A</v>
          </cell>
          <cell r="CG162" t="e">
            <v>#N/A</v>
          </cell>
          <cell r="CH162" t="e">
            <v>#N/A</v>
          </cell>
          <cell r="CI162" t="e">
            <v>#N/A</v>
          </cell>
          <cell r="CJ162" t="e">
            <v>#N/A</v>
          </cell>
          <cell r="CK162" t="e">
            <v>#N/A</v>
          </cell>
          <cell r="CL162" t="e">
            <v>#N/A</v>
          </cell>
          <cell r="CM162" t="e">
            <v>#N/A</v>
          </cell>
          <cell r="CN162" t="e">
            <v>#N/A</v>
          </cell>
          <cell r="CO162" t="e">
            <v>#N/A</v>
          </cell>
          <cell r="CP162" t="e">
            <v>#N/A</v>
          </cell>
          <cell r="CQ162" t="e">
            <v>#N/A</v>
          </cell>
          <cell r="CR162" t="e">
            <v>#N/A</v>
          </cell>
          <cell r="CS162" t="e">
            <v>#N/A</v>
          </cell>
          <cell r="CT162" t="e">
            <v>#N/A</v>
          </cell>
          <cell r="CU162" t="e">
            <v>#N/A</v>
          </cell>
          <cell r="CV162" t="e">
            <v>#N/A</v>
          </cell>
          <cell r="CW162" t="e">
            <v>#N/A</v>
          </cell>
          <cell r="CX162" t="e">
            <v>#N/A</v>
          </cell>
          <cell r="CY162" t="e">
            <v>#N/A</v>
          </cell>
          <cell r="CZ162" t="e">
            <v>#N/A</v>
          </cell>
          <cell r="DA162" t="e">
            <v>#N/A</v>
          </cell>
          <cell r="DB162" t="e">
            <v>#N/A</v>
          </cell>
          <cell r="DC162" t="e">
            <v>#N/A</v>
          </cell>
          <cell r="DD162" t="e">
            <v>#N/A</v>
          </cell>
          <cell r="DE162" t="e">
            <v>#N/A</v>
          </cell>
          <cell r="DF162" t="e">
            <v>#N/A</v>
          </cell>
          <cell r="DG162" t="e">
            <v>#N/A</v>
          </cell>
          <cell r="DH162" t="e">
            <v>#N/A</v>
          </cell>
          <cell r="DI162" t="e">
            <v>#N/A</v>
          </cell>
          <cell r="DJ162" t="e">
            <v>#N/A</v>
          </cell>
          <cell r="DK162" t="e">
            <v>#N/A</v>
          </cell>
          <cell r="DL162" t="e">
            <v>#N/A</v>
          </cell>
          <cell r="DM162" t="e">
            <v>#N/A</v>
          </cell>
          <cell r="DN162" t="e">
            <v>#N/A</v>
          </cell>
          <cell r="DO162" t="e">
            <v>#N/A</v>
          </cell>
          <cell r="DP162" t="e">
            <v>#N/A</v>
          </cell>
          <cell r="DQ162" t="e">
            <v>#N/A</v>
          </cell>
          <cell r="DR162" t="e">
            <v>#N/A</v>
          </cell>
          <cell r="DS162" t="e">
            <v>#N/A</v>
          </cell>
          <cell r="DT162" t="e">
            <v>#N/A</v>
          </cell>
          <cell r="DU162" t="e">
            <v>#N/A</v>
          </cell>
          <cell r="DV162" t="e">
            <v>#N/A</v>
          </cell>
          <cell r="DW162" t="e">
            <v>#N/A</v>
          </cell>
          <cell r="DX162" t="e">
            <v>#N/A</v>
          </cell>
          <cell r="DY162" t="e">
            <v>#N/A</v>
          </cell>
          <cell r="DZ162" t="e">
            <v>#N/A</v>
          </cell>
          <cell r="EA162" t="e">
            <v>#N/A</v>
          </cell>
          <cell r="EB162" t="e">
            <v>#N/A</v>
          </cell>
          <cell r="EC162" t="e">
            <v>#N/A</v>
          </cell>
          <cell r="ED162" t="e">
            <v>#N/A</v>
          </cell>
          <cell r="EE162" t="e">
            <v>#N/A</v>
          </cell>
          <cell r="EF162" t="e">
            <v>#N/A</v>
          </cell>
          <cell r="EG162" t="e">
            <v>#N/A</v>
          </cell>
          <cell r="EH162" t="e">
            <v>#N/A</v>
          </cell>
          <cell r="EI162" t="e">
            <v>#N/A</v>
          </cell>
          <cell r="EJ162" t="e">
            <v>#N/A</v>
          </cell>
          <cell r="EK162" t="e">
            <v>#N/A</v>
          </cell>
          <cell r="EL162" t="e">
            <v>#N/A</v>
          </cell>
          <cell r="EM162" t="e">
            <v>#N/A</v>
          </cell>
          <cell r="EN162" t="e">
            <v>#N/A</v>
          </cell>
          <cell r="EO162" t="e">
            <v>#N/A</v>
          </cell>
          <cell r="EP162" t="e">
            <v>#N/A</v>
          </cell>
          <cell r="EQ162" t="e">
            <v>#N/A</v>
          </cell>
          <cell r="ER162" t="e">
            <v>#N/A</v>
          </cell>
          <cell r="ES162" t="e">
            <v>#N/A</v>
          </cell>
          <cell r="ET162" t="e">
            <v>#N/A</v>
          </cell>
          <cell r="EU162" t="e">
            <v>#N/A</v>
          </cell>
          <cell r="EV162" t="e">
            <v>#N/A</v>
          </cell>
          <cell r="EW162" t="e">
            <v>#N/A</v>
          </cell>
          <cell r="EX162" t="e">
            <v>#N/A</v>
          </cell>
          <cell r="EY162" t="e">
            <v>#N/A</v>
          </cell>
          <cell r="EZ162" t="e">
            <v>#N/A</v>
          </cell>
          <cell r="FA162" t="e">
            <v>#N/A</v>
          </cell>
          <cell r="FB162" t="e">
            <v>#N/A</v>
          </cell>
          <cell r="FC162" t="e">
            <v>#N/A</v>
          </cell>
          <cell r="FD162" t="e">
            <v>#N/A</v>
          </cell>
          <cell r="FE162" t="e">
            <v>#N/A</v>
          </cell>
          <cell r="FF162" t="e">
            <v>#N/A</v>
          </cell>
          <cell r="FG162" t="e">
            <v>#N/A</v>
          </cell>
          <cell r="FH162" t="e">
            <v>#N/A</v>
          </cell>
          <cell r="FI162" t="e">
            <v>#N/A</v>
          </cell>
          <cell r="FJ162" t="e">
            <v>#N/A</v>
          </cell>
          <cell r="FK162" t="e">
            <v>#N/A</v>
          </cell>
          <cell r="FL162" t="e">
            <v>#N/A</v>
          </cell>
          <cell r="FM162" t="e">
            <v>#N/A</v>
          </cell>
          <cell r="FN162" t="e">
            <v>#N/A</v>
          </cell>
          <cell r="FO162" t="e">
            <v>#N/A</v>
          </cell>
          <cell r="FP162" t="e">
            <v>#N/A</v>
          </cell>
          <cell r="FQ162" t="e">
            <v>#N/A</v>
          </cell>
          <cell r="FR162" t="e">
            <v>#N/A</v>
          </cell>
          <cell r="FS162" t="e">
            <v>#N/A</v>
          </cell>
          <cell r="FT162" t="e">
            <v>#N/A</v>
          </cell>
          <cell r="FU162" t="e">
            <v>#N/A</v>
          </cell>
          <cell r="FV162" t="e">
            <v>#N/A</v>
          </cell>
          <cell r="FW162" t="e">
            <v>#N/A</v>
          </cell>
          <cell r="FX162" t="e">
            <v>#N/A</v>
          </cell>
          <cell r="FY162" t="e">
            <v>#N/A</v>
          </cell>
          <cell r="FZ162" t="e">
            <v>#N/A</v>
          </cell>
          <cell r="GA162" t="e">
            <v>#N/A</v>
          </cell>
          <cell r="GB162" t="e">
            <v>#N/A</v>
          </cell>
          <cell r="GC162" t="e">
            <v>#N/A</v>
          </cell>
          <cell r="GD162" t="e">
            <v>#N/A</v>
          </cell>
          <cell r="GE162" t="e">
            <v>#N/A</v>
          </cell>
          <cell r="GF162" t="e">
            <v>#N/A</v>
          </cell>
          <cell r="GG162" t="e">
            <v>#N/A</v>
          </cell>
          <cell r="GH162" t="e">
            <v>#N/A</v>
          </cell>
          <cell r="GI162" t="e">
            <v>#N/A</v>
          </cell>
          <cell r="GJ162" t="e">
            <v>#N/A</v>
          </cell>
          <cell r="GK162" t="e">
            <v>#N/A</v>
          </cell>
          <cell r="GL162" t="e">
            <v>#N/A</v>
          </cell>
          <cell r="GM162" t="e">
            <v>#N/A</v>
          </cell>
          <cell r="GN162" t="e">
            <v>#N/A</v>
          </cell>
          <cell r="GO162" t="e">
            <v>#N/A</v>
          </cell>
          <cell r="GP162" t="e">
            <v>#N/A</v>
          </cell>
          <cell r="GQ162" t="e">
            <v>#N/A</v>
          </cell>
          <cell r="GR162" t="e">
            <v>#N/A</v>
          </cell>
          <cell r="GS162" t="e">
            <v>#N/A</v>
          </cell>
          <cell r="GT162" t="e">
            <v>#N/A</v>
          </cell>
          <cell r="GU162" t="e">
            <v>#N/A</v>
          </cell>
          <cell r="GV162" t="e">
            <v>#N/A</v>
          </cell>
          <cell r="GW162" t="e">
            <v>#N/A</v>
          </cell>
          <cell r="GX162" t="e">
            <v>#N/A</v>
          </cell>
        </row>
        <row r="163">
          <cell r="A163" t="str">
            <v>2029 Q3</v>
          </cell>
          <cell r="B163" t="e">
            <v>#N/A</v>
          </cell>
          <cell r="C163" t="e">
            <v>#N/A</v>
          </cell>
          <cell r="D163" t="e">
            <v>#N/A</v>
          </cell>
          <cell r="E163" t="e">
            <v>#N/A</v>
          </cell>
          <cell r="F163" t="e">
            <v>#N/A</v>
          </cell>
          <cell r="G163" t="e">
            <v>#N/A</v>
          </cell>
          <cell r="H163" t="e">
            <v>#N/A</v>
          </cell>
          <cell r="I163" t="e">
            <v>#N/A</v>
          </cell>
          <cell r="J163" t="e">
            <v>#N/A</v>
          </cell>
          <cell r="K163" t="e">
            <v>#N/A</v>
          </cell>
          <cell r="L163" t="e">
            <v>#N/A</v>
          </cell>
          <cell r="M163" t="e">
            <v>#N/A</v>
          </cell>
          <cell r="N163" t="e">
            <v>#N/A</v>
          </cell>
          <cell r="O163" t="e">
            <v>#N/A</v>
          </cell>
          <cell r="P163" t="e">
            <v>#N/A</v>
          </cell>
          <cell r="Q163" t="e">
            <v>#N/A</v>
          </cell>
          <cell r="R163" t="e">
            <v>#N/A</v>
          </cell>
          <cell r="S163" t="e">
            <v>#N/A</v>
          </cell>
          <cell r="T163" t="e">
            <v>#N/A</v>
          </cell>
          <cell r="U163" t="e">
            <v>#N/A</v>
          </cell>
          <cell r="V163" t="e">
            <v>#N/A</v>
          </cell>
          <cell r="W163" t="e">
            <v>#N/A</v>
          </cell>
          <cell r="X163" t="e">
            <v>#N/A</v>
          </cell>
          <cell r="Y163" t="e">
            <v>#N/A</v>
          </cell>
          <cell r="Z163" t="e">
            <v>#N/A</v>
          </cell>
          <cell r="AA163" t="e">
            <v>#N/A</v>
          </cell>
          <cell r="AB163" t="e">
            <v>#N/A</v>
          </cell>
          <cell r="AC163" t="e">
            <v>#N/A</v>
          </cell>
          <cell r="AD163" t="e">
            <v>#N/A</v>
          </cell>
          <cell r="AE163" t="e">
            <v>#N/A</v>
          </cell>
          <cell r="AF163" t="e">
            <v>#N/A</v>
          </cell>
          <cell r="AG163" t="e">
            <v>#N/A</v>
          </cell>
          <cell r="AH163" t="e">
            <v>#N/A</v>
          </cell>
          <cell r="AI163" t="e">
            <v>#N/A</v>
          </cell>
          <cell r="AJ163" t="e">
            <v>#N/A</v>
          </cell>
          <cell r="AK163" t="e">
            <v>#N/A</v>
          </cell>
          <cell r="AL163" t="e">
            <v>#N/A</v>
          </cell>
          <cell r="AM163" t="e">
            <v>#N/A</v>
          </cell>
          <cell r="AN163" t="e">
            <v>#N/A</v>
          </cell>
          <cell r="AO163" t="e">
            <v>#N/A</v>
          </cell>
          <cell r="AP163" t="e">
            <v>#N/A</v>
          </cell>
          <cell r="AQ163" t="e">
            <v>#N/A</v>
          </cell>
          <cell r="AR163" t="e">
            <v>#N/A</v>
          </cell>
          <cell r="AS163" t="e">
            <v>#N/A</v>
          </cell>
          <cell r="AT163" t="e">
            <v>#N/A</v>
          </cell>
          <cell r="AU163" t="e">
            <v>#N/A</v>
          </cell>
          <cell r="AV163" t="e">
            <v>#N/A</v>
          </cell>
          <cell r="AW163" t="e">
            <v>#N/A</v>
          </cell>
          <cell r="AX163" t="e">
            <v>#N/A</v>
          </cell>
          <cell r="AY163" t="e">
            <v>#N/A</v>
          </cell>
          <cell r="AZ163" t="e">
            <v>#N/A</v>
          </cell>
          <cell r="BA163" t="e">
            <v>#N/A</v>
          </cell>
          <cell r="BB163" t="e">
            <v>#N/A</v>
          </cell>
          <cell r="BC163" t="e">
            <v>#N/A</v>
          </cell>
          <cell r="BD163" t="e">
            <v>#N/A</v>
          </cell>
          <cell r="BE163" t="e">
            <v>#N/A</v>
          </cell>
          <cell r="BF163" t="e">
            <v>#N/A</v>
          </cell>
          <cell r="BG163" t="e">
            <v>#N/A</v>
          </cell>
          <cell r="BH163" t="e">
            <v>#N/A</v>
          </cell>
          <cell r="BI163" t="e">
            <v>#N/A</v>
          </cell>
          <cell r="BJ163" t="e">
            <v>#N/A</v>
          </cell>
          <cell r="BK163" t="e">
            <v>#N/A</v>
          </cell>
          <cell r="BL163" t="e">
            <v>#N/A</v>
          </cell>
          <cell r="BM163" t="e">
            <v>#N/A</v>
          </cell>
          <cell r="BN163" t="e">
            <v>#N/A</v>
          </cell>
          <cell r="BO163" t="e">
            <v>#N/A</v>
          </cell>
          <cell r="BP163" t="e">
            <v>#N/A</v>
          </cell>
          <cell r="BQ163" t="e">
            <v>#N/A</v>
          </cell>
          <cell r="BR163" t="e">
            <v>#N/A</v>
          </cell>
          <cell r="BS163" t="e">
            <v>#N/A</v>
          </cell>
          <cell r="BT163" t="e">
            <v>#N/A</v>
          </cell>
          <cell r="BU163" t="e">
            <v>#N/A</v>
          </cell>
          <cell r="BV163" t="e">
            <v>#N/A</v>
          </cell>
          <cell r="BW163" t="e">
            <v>#N/A</v>
          </cell>
          <cell r="BX163" t="e">
            <v>#N/A</v>
          </cell>
          <cell r="BY163" t="e">
            <v>#N/A</v>
          </cell>
          <cell r="BZ163" t="e">
            <v>#N/A</v>
          </cell>
          <cell r="CA163" t="e">
            <v>#N/A</v>
          </cell>
          <cell r="CB163" t="e">
            <v>#N/A</v>
          </cell>
          <cell r="CC163" t="e">
            <v>#N/A</v>
          </cell>
          <cell r="CD163" t="e">
            <v>#N/A</v>
          </cell>
          <cell r="CE163" t="e">
            <v>#N/A</v>
          </cell>
          <cell r="CF163" t="e">
            <v>#N/A</v>
          </cell>
          <cell r="CG163" t="e">
            <v>#N/A</v>
          </cell>
          <cell r="CH163" t="e">
            <v>#N/A</v>
          </cell>
          <cell r="CI163" t="e">
            <v>#N/A</v>
          </cell>
          <cell r="CJ163" t="e">
            <v>#N/A</v>
          </cell>
          <cell r="CK163" t="e">
            <v>#N/A</v>
          </cell>
          <cell r="CL163" t="e">
            <v>#N/A</v>
          </cell>
          <cell r="CM163" t="e">
            <v>#N/A</v>
          </cell>
          <cell r="CN163" t="e">
            <v>#N/A</v>
          </cell>
          <cell r="CO163" t="e">
            <v>#N/A</v>
          </cell>
          <cell r="CP163" t="e">
            <v>#N/A</v>
          </cell>
          <cell r="CQ163" t="e">
            <v>#N/A</v>
          </cell>
          <cell r="CR163" t="e">
            <v>#N/A</v>
          </cell>
          <cell r="CS163" t="e">
            <v>#N/A</v>
          </cell>
          <cell r="CT163" t="e">
            <v>#N/A</v>
          </cell>
          <cell r="CU163" t="e">
            <v>#N/A</v>
          </cell>
          <cell r="CV163" t="e">
            <v>#N/A</v>
          </cell>
          <cell r="CW163" t="e">
            <v>#N/A</v>
          </cell>
          <cell r="CX163" t="e">
            <v>#N/A</v>
          </cell>
          <cell r="CY163" t="e">
            <v>#N/A</v>
          </cell>
          <cell r="CZ163" t="e">
            <v>#N/A</v>
          </cell>
          <cell r="DA163" t="e">
            <v>#N/A</v>
          </cell>
          <cell r="DB163" t="e">
            <v>#N/A</v>
          </cell>
          <cell r="DC163" t="e">
            <v>#N/A</v>
          </cell>
          <cell r="DD163" t="e">
            <v>#N/A</v>
          </cell>
          <cell r="DE163" t="e">
            <v>#N/A</v>
          </cell>
          <cell r="DF163" t="e">
            <v>#N/A</v>
          </cell>
          <cell r="DG163" t="e">
            <v>#N/A</v>
          </cell>
          <cell r="DH163" t="e">
            <v>#N/A</v>
          </cell>
          <cell r="DI163" t="e">
            <v>#N/A</v>
          </cell>
          <cell r="DJ163" t="e">
            <v>#N/A</v>
          </cell>
          <cell r="DK163" t="e">
            <v>#N/A</v>
          </cell>
          <cell r="DL163" t="e">
            <v>#N/A</v>
          </cell>
          <cell r="DM163" t="e">
            <v>#N/A</v>
          </cell>
          <cell r="DN163" t="e">
            <v>#N/A</v>
          </cell>
          <cell r="DO163" t="e">
            <v>#N/A</v>
          </cell>
          <cell r="DP163" t="e">
            <v>#N/A</v>
          </cell>
          <cell r="DQ163" t="e">
            <v>#N/A</v>
          </cell>
          <cell r="DR163" t="e">
            <v>#N/A</v>
          </cell>
          <cell r="DS163" t="e">
            <v>#N/A</v>
          </cell>
          <cell r="DT163" t="e">
            <v>#N/A</v>
          </cell>
          <cell r="DU163" t="e">
            <v>#N/A</v>
          </cell>
          <cell r="DV163" t="e">
            <v>#N/A</v>
          </cell>
          <cell r="DW163" t="e">
            <v>#N/A</v>
          </cell>
          <cell r="DX163" t="e">
            <v>#N/A</v>
          </cell>
          <cell r="DY163" t="e">
            <v>#N/A</v>
          </cell>
          <cell r="DZ163" t="e">
            <v>#N/A</v>
          </cell>
          <cell r="EA163" t="e">
            <v>#N/A</v>
          </cell>
          <cell r="EB163" t="e">
            <v>#N/A</v>
          </cell>
          <cell r="EC163" t="e">
            <v>#N/A</v>
          </cell>
          <cell r="ED163" t="e">
            <v>#N/A</v>
          </cell>
          <cell r="EE163" t="e">
            <v>#N/A</v>
          </cell>
          <cell r="EF163" t="e">
            <v>#N/A</v>
          </cell>
          <cell r="EG163" t="e">
            <v>#N/A</v>
          </cell>
          <cell r="EH163" t="e">
            <v>#N/A</v>
          </cell>
          <cell r="EI163" t="e">
            <v>#N/A</v>
          </cell>
          <cell r="EJ163" t="e">
            <v>#N/A</v>
          </cell>
          <cell r="EK163" t="e">
            <v>#N/A</v>
          </cell>
          <cell r="EL163" t="e">
            <v>#N/A</v>
          </cell>
          <cell r="EM163" t="e">
            <v>#N/A</v>
          </cell>
          <cell r="EN163" t="e">
            <v>#N/A</v>
          </cell>
          <cell r="EO163" t="e">
            <v>#N/A</v>
          </cell>
          <cell r="EP163" t="e">
            <v>#N/A</v>
          </cell>
          <cell r="EQ163" t="e">
            <v>#N/A</v>
          </cell>
          <cell r="ER163" t="e">
            <v>#N/A</v>
          </cell>
          <cell r="ES163" t="e">
            <v>#N/A</v>
          </cell>
          <cell r="ET163" t="e">
            <v>#N/A</v>
          </cell>
          <cell r="EU163" t="e">
            <v>#N/A</v>
          </cell>
          <cell r="EV163" t="e">
            <v>#N/A</v>
          </cell>
          <cell r="EW163" t="e">
            <v>#N/A</v>
          </cell>
          <cell r="EX163" t="e">
            <v>#N/A</v>
          </cell>
          <cell r="EY163" t="e">
            <v>#N/A</v>
          </cell>
          <cell r="EZ163" t="e">
            <v>#N/A</v>
          </cell>
          <cell r="FA163" t="e">
            <v>#N/A</v>
          </cell>
          <cell r="FB163" t="e">
            <v>#N/A</v>
          </cell>
          <cell r="FC163" t="e">
            <v>#N/A</v>
          </cell>
          <cell r="FD163" t="e">
            <v>#N/A</v>
          </cell>
          <cell r="FE163" t="e">
            <v>#N/A</v>
          </cell>
          <cell r="FF163" t="e">
            <v>#N/A</v>
          </cell>
          <cell r="FG163" t="e">
            <v>#N/A</v>
          </cell>
          <cell r="FH163" t="e">
            <v>#N/A</v>
          </cell>
          <cell r="FI163" t="e">
            <v>#N/A</v>
          </cell>
          <cell r="FJ163" t="e">
            <v>#N/A</v>
          </cell>
          <cell r="FK163" t="e">
            <v>#N/A</v>
          </cell>
          <cell r="FL163" t="e">
            <v>#N/A</v>
          </cell>
          <cell r="FM163" t="e">
            <v>#N/A</v>
          </cell>
          <cell r="FN163" t="e">
            <v>#N/A</v>
          </cell>
          <cell r="FO163" t="e">
            <v>#N/A</v>
          </cell>
          <cell r="FP163" t="e">
            <v>#N/A</v>
          </cell>
          <cell r="FQ163" t="e">
            <v>#N/A</v>
          </cell>
          <cell r="FR163" t="e">
            <v>#N/A</v>
          </cell>
          <cell r="FS163" t="e">
            <v>#N/A</v>
          </cell>
          <cell r="FT163" t="e">
            <v>#N/A</v>
          </cell>
          <cell r="FU163" t="e">
            <v>#N/A</v>
          </cell>
          <cell r="FV163" t="e">
            <v>#N/A</v>
          </cell>
          <cell r="FW163" t="e">
            <v>#N/A</v>
          </cell>
          <cell r="FX163" t="e">
            <v>#N/A</v>
          </cell>
          <cell r="FY163" t="e">
            <v>#N/A</v>
          </cell>
          <cell r="FZ163" t="e">
            <v>#N/A</v>
          </cell>
          <cell r="GA163" t="e">
            <v>#N/A</v>
          </cell>
          <cell r="GB163" t="e">
            <v>#N/A</v>
          </cell>
          <cell r="GC163" t="e">
            <v>#N/A</v>
          </cell>
          <cell r="GD163" t="e">
            <v>#N/A</v>
          </cell>
          <cell r="GE163" t="e">
            <v>#N/A</v>
          </cell>
          <cell r="GF163" t="e">
            <v>#N/A</v>
          </cell>
          <cell r="GG163" t="e">
            <v>#N/A</v>
          </cell>
          <cell r="GH163" t="e">
            <v>#N/A</v>
          </cell>
          <cell r="GI163" t="e">
            <v>#N/A</v>
          </cell>
          <cell r="GJ163" t="e">
            <v>#N/A</v>
          </cell>
          <cell r="GK163" t="e">
            <v>#N/A</v>
          </cell>
          <cell r="GL163" t="e">
            <v>#N/A</v>
          </cell>
          <cell r="GM163" t="e">
            <v>#N/A</v>
          </cell>
          <cell r="GN163" t="e">
            <v>#N/A</v>
          </cell>
          <cell r="GO163" t="e">
            <v>#N/A</v>
          </cell>
          <cell r="GP163" t="e">
            <v>#N/A</v>
          </cell>
          <cell r="GQ163" t="e">
            <v>#N/A</v>
          </cell>
          <cell r="GR163" t="e">
            <v>#N/A</v>
          </cell>
          <cell r="GS163" t="e">
            <v>#N/A</v>
          </cell>
          <cell r="GT163" t="e">
            <v>#N/A</v>
          </cell>
          <cell r="GU163" t="e">
            <v>#N/A</v>
          </cell>
          <cell r="GV163" t="e">
            <v>#N/A</v>
          </cell>
          <cell r="GW163" t="e">
            <v>#N/A</v>
          </cell>
          <cell r="GX163" t="e">
            <v>#N/A</v>
          </cell>
        </row>
        <row r="164">
          <cell r="A164" t="str">
            <v>2029 Q4</v>
          </cell>
          <cell r="B164" t="e">
            <v>#N/A</v>
          </cell>
          <cell r="C164" t="e">
            <v>#N/A</v>
          </cell>
          <cell r="D164" t="e">
            <v>#N/A</v>
          </cell>
          <cell r="E164" t="e">
            <v>#N/A</v>
          </cell>
          <cell r="F164" t="e">
            <v>#N/A</v>
          </cell>
          <cell r="G164" t="e">
            <v>#N/A</v>
          </cell>
          <cell r="H164" t="e">
            <v>#N/A</v>
          </cell>
          <cell r="I164" t="e">
            <v>#N/A</v>
          </cell>
          <cell r="J164" t="e">
            <v>#N/A</v>
          </cell>
          <cell r="K164" t="e">
            <v>#N/A</v>
          </cell>
          <cell r="L164" t="e">
            <v>#N/A</v>
          </cell>
          <cell r="M164" t="e">
            <v>#N/A</v>
          </cell>
          <cell r="N164" t="e">
            <v>#N/A</v>
          </cell>
          <cell r="O164" t="e">
            <v>#N/A</v>
          </cell>
          <cell r="P164" t="e">
            <v>#N/A</v>
          </cell>
          <cell r="Q164" t="e">
            <v>#N/A</v>
          </cell>
          <cell r="R164" t="e">
            <v>#N/A</v>
          </cell>
          <cell r="S164" t="e">
            <v>#N/A</v>
          </cell>
          <cell r="T164" t="e">
            <v>#N/A</v>
          </cell>
          <cell r="U164" t="e">
            <v>#N/A</v>
          </cell>
          <cell r="V164" t="e">
            <v>#N/A</v>
          </cell>
          <cell r="W164" t="e">
            <v>#N/A</v>
          </cell>
          <cell r="X164" t="e">
            <v>#N/A</v>
          </cell>
          <cell r="Y164" t="e">
            <v>#N/A</v>
          </cell>
          <cell r="Z164" t="e">
            <v>#N/A</v>
          </cell>
          <cell r="AA164" t="e">
            <v>#N/A</v>
          </cell>
          <cell r="AB164" t="e">
            <v>#N/A</v>
          </cell>
          <cell r="AC164" t="e">
            <v>#N/A</v>
          </cell>
          <cell r="AD164" t="e">
            <v>#N/A</v>
          </cell>
          <cell r="AE164" t="e">
            <v>#N/A</v>
          </cell>
          <cell r="AF164" t="e">
            <v>#N/A</v>
          </cell>
          <cell r="AG164" t="e">
            <v>#N/A</v>
          </cell>
          <cell r="AH164" t="e">
            <v>#N/A</v>
          </cell>
          <cell r="AI164" t="e">
            <v>#N/A</v>
          </cell>
          <cell r="AJ164" t="e">
            <v>#N/A</v>
          </cell>
          <cell r="AK164" t="e">
            <v>#N/A</v>
          </cell>
          <cell r="AL164" t="e">
            <v>#N/A</v>
          </cell>
          <cell r="AM164" t="e">
            <v>#N/A</v>
          </cell>
          <cell r="AN164" t="e">
            <v>#N/A</v>
          </cell>
          <cell r="AO164" t="e">
            <v>#N/A</v>
          </cell>
          <cell r="AP164" t="e">
            <v>#N/A</v>
          </cell>
          <cell r="AQ164" t="e">
            <v>#N/A</v>
          </cell>
          <cell r="AR164" t="e">
            <v>#N/A</v>
          </cell>
          <cell r="AS164" t="e">
            <v>#N/A</v>
          </cell>
          <cell r="AT164" t="e">
            <v>#N/A</v>
          </cell>
          <cell r="AU164" t="e">
            <v>#N/A</v>
          </cell>
          <cell r="AV164" t="e">
            <v>#N/A</v>
          </cell>
          <cell r="AW164" t="e">
            <v>#N/A</v>
          </cell>
          <cell r="AX164" t="e">
            <v>#N/A</v>
          </cell>
          <cell r="AY164" t="e">
            <v>#N/A</v>
          </cell>
          <cell r="AZ164" t="e">
            <v>#N/A</v>
          </cell>
          <cell r="BA164" t="e">
            <v>#N/A</v>
          </cell>
          <cell r="BB164" t="e">
            <v>#N/A</v>
          </cell>
          <cell r="BC164" t="e">
            <v>#N/A</v>
          </cell>
          <cell r="BD164" t="e">
            <v>#N/A</v>
          </cell>
          <cell r="BE164" t="e">
            <v>#N/A</v>
          </cell>
          <cell r="BF164" t="e">
            <v>#N/A</v>
          </cell>
          <cell r="BG164" t="e">
            <v>#N/A</v>
          </cell>
          <cell r="BH164" t="e">
            <v>#N/A</v>
          </cell>
          <cell r="BI164" t="e">
            <v>#N/A</v>
          </cell>
          <cell r="BJ164" t="e">
            <v>#N/A</v>
          </cell>
          <cell r="BK164" t="e">
            <v>#N/A</v>
          </cell>
          <cell r="BL164" t="e">
            <v>#N/A</v>
          </cell>
          <cell r="BM164" t="e">
            <v>#N/A</v>
          </cell>
          <cell r="BN164" t="e">
            <v>#N/A</v>
          </cell>
          <cell r="BO164" t="e">
            <v>#N/A</v>
          </cell>
          <cell r="BP164" t="e">
            <v>#N/A</v>
          </cell>
          <cell r="BQ164" t="e">
            <v>#N/A</v>
          </cell>
          <cell r="BR164" t="e">
            <v>#N/A</v>
          </cell>
          <cell r="BS164" t="e">
            <v>#N/A</v>
          </cell>
          <cell r="BT164" t="e">
            <v>#N/A</v>
          </cell>
          <cell r="BU164" t="e">
            <v>#N/A</v>
          </cell>
          <cell r="BV164" t="e">
            <v>#N/A</v>
          </cell>
          <cell r="BW164" t="e">
            <v>#N/A</v>
          </cell>
          <cell r="BX164" t="e">
            <v>#N/A</v>
          </cell>
          <cell r="BY164" t="e">
            <v>#N/A</v>
          </cell>
          <cell r="BZ164" t="e">
            <v>#N/A</v>
          </cell>
          <cell r="CA164" t="e">
            <v>#N/A</v>
          </cell>
          <cell r="CB164" t="e">
            <v>#N/A</v>
          </cell>
          <cell r="CC164" t="e">
            <v>#N/A</v>
          </cell>
          <cell r="CD164" t="e">
            <v>#N/A</v>
          </cell>
          <cell r="CE164" t="e">
            <v>#N/A</v>
          </cell>
          <cell r="CF164" t="e">
            <v>#N/A</v>
          </cell>
          <cell r="CG164" t="e">
            <v>#N/A</v>
          </cell>
          <cell r="CH164" t="e">
            <v>#N/A</v>
          </cell>
          <cell r="CI164" t="e">
            <v>#N/A</v>
          </cell>
          <cell r="CJ164" t="e">
            <v>#N/A</v>
          </cell>
          <cell r="CK164" t="e">
            <v>#N/A</v>
          </cell>
          <cell r="CL164" t="e">
            <v>#N/A</v>
          </cell>
          <cell r="CM164" t="e">
            <v>#N/A</v>
          </cell>
          <cell r="CN164" t="e">
            <v>#N/A</v>
          </cell>
          <cell r="CO164" t="e">
            <v>#N/A</v>
          </cell>
          <cell r="CP164" t="e">
            <v>#N/A</v>
          </cell>
          <cell r="CQ164" t="e">
            <v>#N/A</v>
          </cell>
          <cell r="CR164" t="e">
            <v>#N/A</v>
          </cell>
          <cell r="CS164" t="e">
            <v>#N/A</v>
          </cell>
          <cell r="CT164" t="e">
            <v>#N/A</v>
          </cell>
          <cell r="CU164" t="e">
            <v>#N/A</v>
          </cell>
          <cell r="CV164" t="e">
            <v>#N/A</v>
          </cell>
          <cell r="CW164" t="e">
            <v>#N/A</v>
          </cell>
          <cell r="CX164" t="e">
            <v>#N/A</v>
          </cell>
          <cell r="CY164" t="e">
            <v>#N/A</v>
          </cell>
          <cell r="CZ164" t="e">
            <v>#N/A</v>
          </cell>
          <cell r="DA164" t="e">
            <v>#N/A</v>
          </cell>
          <cell r="DB164" t="e">
            <v>#N/A</v>
          </cell>
          <cell r="DC164" t="e">
            <v>#N/A</v>
          </cell>
          <cell r="DD164" t="e">
            <v>#N/A</v>
          </cell>
          <cell r="DE164" t="e">
            <v>#N/A</v>
          </cell>
          <cell r="DF164" t="e">
            <v>#N/A</v>
          </cell>
          <cell r="DG164" t="e">
            <v>#N/A</v>
          </cell>
          <cell r="DH164" t="e">
            <v>#N/A</v>
          </cell>
          <cell r="DI164" t="e">
            <v>#N/A</v>
          </cell>
          <cell r="DJ164" t="e">
            <v>#N/A</v>
          </cell>
          <cell r="DK164" t="e">
            <v>#N/A</v>
          </cell>
          <cell r="DL164" t="e">
            <v>#N/A</v>
          </cell>
          <cell r="DM164" t="e">
            <v>#N/A</v>
          </cell>
          <cell r="DN164" t="e">
            <v>#N/A</v>
          </cell>
          <cell r="DO164" t="e">
            <v>#N/A</v>
          </cell>
          <cell r="DP164" t="e">
            <v>#N/A</v>
          </cell>
          <cell r="DQ164" t="e">
            <v>#N/A</v>
          </cell>
          <cell r="DR164" t="e">
            <v>#N/A</v>
          </cell>
          <cell r="DS164" t="e">
            <v>#N/A</v>
          </cell>
          <cell r="DT164" t="e">
            <v>#N/A</v>
          </cell>
          <cell r="DU164" t="e">
            <v>#N/A</v>
          </cell>
          <cell r="DV164" t="e">
            <v>#N/A</v>
          </cell>
          <cell r="DW164" t="e">
            <v>#N/A</v>
          </cell>
          <cell r="DX164" t="e">
            <v>#N/A</v>
          </cell>
          <cell r="DY164" t="e">
            <v>#N/A</v>
          </cell>
          <cell r="DZ164" t="e">
            <v>#N/A</v>
          </cell>
          <cell r="EA164" t="e">
            <v>#N/A</v>
          </cell>
          <cell r="EB164" t="e">
            <v>#N/A</v>
          </cell>
          <cell r="EC164" t="e">
            <v>#N/A</v>
          </cell>
          <cell r="ED164" t="e">
            <v>#N/A</v>
          </cell>
          <cell r="EE164" t="e">
            <v>#N/A</v>
          </cell>
          <cell r="EF164" t="e">
            <v>#N/A</v>
          </cell>
          <cell r="EG164" t="e">
            <v>#N/A</v>
          </cell>
          <cell r="EH164" t="e">
            <v>#N/A</v>
          </cell>
          <cell r="EI164" t="e">
            <v>#N/A</v>
          </cell>
          <cell r="EJ164" t="e">
            <v>#N/A</v>
          </cell>
          <cell r="EK164" t="e">
            <v>#N/A</v>
          </cell>
          <cell r="EL164" t="e">
            <v>#N/A</v>
          </cell>
          <cell r="EM164" t="e">
            <v>#N/A</v>
          </cell>
          <cell r="EN164" t="e">
            <v>#N/A</v>
          </cell>
          <cell r="EO164" t="e">
            <v>#N/A</v>
          </cell>
          <cell r="EP164" t="e">
            <v>#N/A</v>
          </cell>
          <cell r="EQ164" t="e">
            <v>#N/A</v>
          </cell>
          <cell r="ER164" t="e">
            <v>#N/A</v>
          </cell>
          <cell r="ES164" t="e">
            <v>#N/A</v>
          </cell>
          <cell r="ET164" t="e">
            <v>#N/A</v>
          </cell>
          <cell r="EU164" t="e">
            <v>#N/A</v>
          </cell>
          <cell r="EV164" t="e">
            <v>#N/A</v>
          </cell>
          <cell r="EW164" t="e">
            <v>#N/A</v>
          </cell>
          <cell r="EX164" t="e">
            <v>#N/A</v>
          </cell>
          <cell r="EY164" t="e">
            <v>#N/A</v>
          </cell>
          <cell r="EZ164" t="e">
            <v>#N/A</v>
          </cell>
          <cell r="FA164" t="e">
            <v>#N/A</v>
          </cell>
          <cell r="FB164" t="e">
            <v>#N/A</v>
          </cell>
          <cell r="FC164" t="e">
            <v>#N/A</v>
          </cell>
          <cell r="FD164" t="e">
            <v>#N/A</v>
          </cell>
          <cell r="FE164" t="e">
            <v>#N/A</v>
          </cell>
          <cell r="FF164" t="e">
            <v>#N/A</v>
          </cell>
          <cell r="FG164" t="e">
            <v>#N/A</v>
          </cell>
          <cell r="FH164" t="e">
            <v>#N/A</v>
          </cell>
          <cell r="FI164" t="e">
            <v>#N/A</v>
          </cell>
          <cell r="FJ164" t="e">
            <v>#N/A</v>
          </cell>
          <cell r="FK164" t="e">
            <v>#N/A</v>
          </cell>
          <cell r="FL164" t="e">
            <v>#N/A</v>
          </cell>
          <cell r="FM164" t="e">
            <v>#N/A</v>
          </cell>
          <cell r="FN164" t="e">
            <v>#N/A</v>
          </cell>
          <cell r="FO164" t="e">
            <v>#N/A</v>
          </cell>
          <cell r="FP164" t="e">
            <v>#N/A</v>
          </cell>
          <cell r="FQ164" t="e">
            <v>#N/A</v>
          </cell>
          <cell r="FR164" t="e">
            <v>#N/A</v>
          </cell>
          <cell r="FS164" t="e">
            <v>#N/A</v>
          </cell>
          <cell r="FT164" t="e">
            <v>#N/A</v>
          </cell>
          <cell r="FU164" t="e">
            <v>#N/A</v>
          </cell>
          <cell r="FV164" t="e">
            <v>#N/A</v>
          </cell>
          <cell r="FW164" t="e">
            <v>#N/A</v>
          </cell>
          <cell r="FX164" t="e">
            <v>#N/A</v>
          </cell>
          <cell r="FY164" t="e">
            <v>#N/A</v>
          </cell>
          <cell r="FZ164" t="e">
            <v>#N/A</v>
          </cell>
          <cell r="GA164" t="e">
            <v>#N/A</v>
          </cell>
          <cell r="GB164" t="e">
            <v>#N/A</v>
          </cell>
          <cell r="GC164" t="e">
            <v>#N/A</v>
          </cell>
          <cell r="GD164" t="e">
            <v>#N/A</v>
          </cell>
          <cell r="GE164" t="e">
            <v>#N/A</v>
          </cell>
          <cell r="GF164" t="e">
            <v>#N/A</v>
          </cell>
          <cell r="GG164" t="e">
            <v>#N/A</v>
          </cell>
          <cell r="GH164" t="e">
            <v>#N/A</v>
          </cell>
          <cell r="GI164" t="e">
            <v>#N/A</v>
          </cell>
          <cell r="GJ164" t="e">
            <v>#N/A</v>
          </cell>
          <cell r="GK164" t="e">
            <v>#N/A</v>
          </cell>
          <cell r="GL164" t="e">
            <v>#N/A</v>
          </cell>
          <cell r="GM164" t="e">
            <v>#N/A</v>
          </cell>
          <cell r="GN164" t="e">
            <v>#N/A</v>
          </cell>
          <cell r="GO164" t="e">
            <v>#N/A</v>
          </cell>
          <cell r="GP164" t="e">
            <v>#N/A</v>
          </cell>
          <cell r="GQ164" t="e">
            <v>#N/A</v>
          </cell>
          <cell r="GR164" t="e">
            <v>#N/A</v>
          </cell>
          <cell r="GS164" t="e">
            <v>#N/A</v>
          </cell>
          <cell r="GT164" t="e">
            <v>#N/A</v>
          </cell>
          <cell r="GU164" t="e">
            <v>#N/A</v>
          </cell>
          <cell r="GV164" t="e">
            <v>#N/A</v>
          </cell>
          <cell r="GW164" t="e">
            <v>#N/A</v>
          </cell>
          <cell r="GX164" t="e">
            <v>#N/A</v>
          </cell>
        </row>
        <row r="165">
          <cell r="A165" t="str">
            <v>2030 Q1</v>
          </cell>
          <cell r="B165" t="e">
            <v>#N/A</v>
          </cell>
          <cell r="C165" t="e">
            <v>#N/A</v>
          </cell>
          <cell r="D165" t="e">
            <v>#N/A</v>
          </cell>
          <cell r="E165" t="e">
            <v>#N/A</v>
          </cell>
          <cell r="F165" t="e">
            <v>#N/A</v>
          </cell>
          <cell r="G165" t="e">
            <v>#N/A</v>
          </cell>
          <cell r="H165" t="e">
            <v>#N/A</v>
          </cell>
          <cell r="I165" t="e">
            <v>#N/A</v>
          </cell>
          <cell r="J165" t="e">
            <v>#N/A</v>
          </cell>
          <cell r="K165" t="e">
            <v>#N/A</v>
          </cell>
          <cell r="L165" t="e">
            <v>#N/A</v>
          </cell>
          <cell r="M165" t="e">
            <v>#N/A</v>
          </cell>
          <cell r="N165" t="e">
            <v>#N/A</v>
          </cell>
          <cell r="O165" t="e">
            <v>#N/A</v>
          </cell>
          <cell r="P165" t="e">
            <v>#N/A</v>
          </cell>
          <cell r="Q165" t="e">
            <v>#N/A</v>
          </cell>
          <cell r="R165" t="e">
            <v>#N/A</v>
          </cell>
          <cell r="S165" t="e">
            <v>#N/A</v>
          </cell>
          <cell r="T165" t="e">
            <v>#N/A</v>
          </cell>
          <cell r="U165" t="e">
            <v>#N/A</v>
          </cell>
          <cell r="V165" t="e">
            <v>#N/A</v>
          </cell>
          <cell r="W165" t="e">
            <v>#N/A</v>
          </cell>
          <cell r="X165" t="e">
            <v>#N/A</v>
          </cell>
          <cell r="Y165" t="e">
            <v>#N/A</v>
          </cell>
          <cell r="Z165" t="e">
            <v>#N/A</v>
          </cell>
          <cell r="AA165" t="e">
            <v>#N/A</v>
          </cell>
          <cell r="AB165" t="e">
            <v>#N/A</v>
          </cell>
          <cell r="AC165" t="e">
            <v>#N/A</v>
          </cell>
          <cell r="AD165" t="e">
            <v>#N/A</v>
          </cell>
          <cell r="AE165" t="e">
            <v>#N/A</v>
          </cell>
          <cell r="AF165" t="e">
            <v>#N/A</v>
          </cell>
          <cell r="AG165" t="e">
            <v>#N/A</v>
          </cell>
          <cell r="AH165" t="e">
            <v>#N/A</v>
          </cell>
          <cell r="AI165" t="e">
            <v>#N/A</v>
          </cell>
          <cell r="AJ165" t="e">
            <v>#N/A</v>
          </cell>
          <cell r="AK165" t="e">
            <v>#N/A</v>
          </cell>
          <cell r="AL165" t="e">
            <v>#N/A</v>
          </cell>
          <cell r="AM165" t="e">
            <v>#N/A</v>
          </cell>
          <cell r="AN165" t="e">
            <v>#N/A</v>
          </cell>
          <cell r="AO165" t="e">
            <v>#N/A</v>
          </cell>
          <cell r="AP165" t="e">
            <v>#N/A</v>
          </cell>
          <cell r="AQ165" t="e">
            <v>#N/A</v>
          </cell>
          <cell r="AR165" t="e">
            <v>#N/A</v>
          </cell>
          <cell r="AS165" t="e">
            <v>#N/A</v>
          </cell>
          <cell r="AT165" t="e">
            <v>#N/A</v>
          </cell>
          <cell r="AU165" t="e">
            <v>#N/A</v>
          </cell>
          <cell r="AV165" t="e">
            <v>#N/A</v>
          </cell>
          <cell r="AW165" t="e">
            <v>#N/A</v>
          </cell>
          <cell r="AX165" t="e">
            <v>#N/A</v>
          </cell>
          <cell r="AY165" t="e">
            <v>#N/A</v>
          </cell>
          <cell r="AZ165" t="e">
            <v>#N/A</v>
          </cell>
          <cell r="BA165" t="e">
            <v>#N/A</v>
          </cell>
          <cell r="BB165" t="e">
            <v>#N/A</v>
          </cell>
          <cell r="BC165" t="e">
            <v>#N/A</v>
          </cell>
          <cell r="BD165" t="e">
            <v>#N/A</v>
          </cell>
          <cell r="BE165" t="e">
            <v>#N/A</v>
          </cell>
          <cell r="BF165" t="e">
            <v>#N/A</v>
          </cell>
          <cell r="BG165" t="e">
            <v>#N/A</v>
          </cell>
          <cell r="BH165" t="e">
            <v>#N/A</v>
          </cell>
          <cell r="BI165" t="e">
            <v>#N/A</v>
          </cell>
          <cell r="BJ165" t="e">
            <v>#N/A</v>
          </cell>
          <cell r="BK165" t="e">
            <v>#N/A</v>
          </cell>
          <cell r="BL165" t="e">
            <v>#N/A</v>
          </cell>
          <cell r="BM165" t="e">
            <v>#N/A</v>
          </cell>
          <cell r="BN165" t="e">
            <v>#N/A</v>
          </cell>
          <cell r="BO165" t="e">
            <v>#N/A</v>
          </cell>
          <cell r="BP165" t="e">
            <v>#N/A</v>
          </cell>
          <cell r="BQ165" t="e">
            <v>#N/A</v>
          </cell>
          <cell r="BR165" t="e">
            <v>#N/A</v>
          </cell>
          <cell r="BS165" t="e">
            <v>#N/A</v>
          </cell>
          <cell r="BT165" t="e">
            <v>#N/A</v>
          </cell>
          <cell r="BU165" t="e">
            <v>#N/A</v>
          </cell>
          <cell r="BV165" t="e">
            <v>#N/A</v>
          </cell>
          <cell r="BW165" t="e">
            <v>#N/A</v>
          </cell>
          <cell r="BX165" t="e">
            <v>#N/A</v>
          </cell>
          <cell r="BY165" t="e">
            <v>#N/A</v>
          </cell>
          <cell r="BZ165" t="e">
            <v>#N/A</v>
          </cell>
          <cell r="CA165" t="e">
            <v>#N/A</v>
          </cell>
          <cell r="CB165" t="e">
            <v>#N/A</v>
          </cell>
          <cell r="CC165" t="e">
            <v>#N/A</v>
          </cell>
          <cell r="CD165" t="e">
            <v>#N/A</v>
          </cell>
          <cell r="CE165" t="e">
            <v>#N/A</v>
          </cell>
          <cell r="CF165" t="e">
            <v>#N/A</v>
          </cell>
          <cell r="CG165" t="e">
            <v>#N/A</v>
          </cell>
          <cell r="CH165" t="e">
            <v>#N/A</v>
          </cell>
          <cell r="CI165" t="e">
            <v>#N/A</v>
          </cell>
          <cell r="CJ165" t="e">
            <v>#N/A</v>
          </cell>
          <cell r="CK165" t="e">
            <v>#N/A</v>
          </cell>
          <cell r="CL165" t="e">
            <v>#N/A</v>
          </cell>
          <cell r="CM165" t="e">
            <v>#N/A</v>
          </cell>
          <cell r="CN165" t="e">
            <v>#N/A</v>
          </cell>
          <cell r="CO165" t="e">
            <v>#N/A</v>
          </cell>
          <cell r="CP165" t="e">
            <v>#N/A</v>
          </cell>
          <cell r="CQ165" t="e">
            <v>#N/A</v>
          </cell>
          <cell r="CR165" t="e">
            <v>#N/A</v>
          </cell>
          <cell r="CS165" t="e">
            <v>#N/A</v>
          </cell>
          <cell r="CT165" t="e">
            <v>#N/A</v>
          </cell>
          <cell r="CU165" t="e">
            <v>#N/A</v>
          </cell>
          <cell r="CV165" t="e">
            <v>#N/A</v>
          </cell>
          <cell r="CW165" t="e">
            <v>#N/A</v>
          </cell>
          <cell r="CX165" t="e">
            <v>#N/A</v>
          </cell>
          <cell r="CY165" t="e">
            <v>#N/A</v>
          </cell>
          <cell r="CZ165" t="e">
            <v>#N/A</v>
          </cell>
          <cell r="DA165" t="e">
            <v>#N/A</v>
          </cell>
          <cell r="DB165" t="e">
            <v>#N/A</v>
          </cell>
          <cell r="DC165" t="e">
            <v>#N/A</v>
          </cell>
          <cell r="DD165" t="e">
            <v>#N/A</v>
          </cell>
          <cell r="DE165" t="e">
            <v>#N/A</v>
          </cell>
          <cell r="DF165" t="e">
            <v>#N/A</v>
          </cell>
          <cell r="DG165" t="e">
            <v>#N/A</v>
          </cell>
          <cell r="DH165" t="e">
            <v>#N/A</v>
          </cell>
          <cell r="DI165" t="e">
            <v>#N/A</v>
          </cell>
          <cell r="DJ165" t="e">
            <v>#N/A</v>
          </cell>
          <cell r="DK165" t="e">
            <v>#N/A</v>
          </cell>
          <cell r="DL165" t="e">
            <v>#N/A</v>
          </cell>
          <cell r="DM165" t="e">
            <v>#N/A</v>
          </cell>
          <cell r="DN165" t="e">
            <v>#N/A</v>
          </cell>
          <cell r="DO165" t="e">
            <v>#N/A</v>
          </cell>
          <cell r="DP165" t="e">
            <v>#N/A</v>
          </cell>
          <cell r="DQ165" t="e">
            <v>#N/A</v>
          </cell>
          <cell r="DR165" t="e">
            <v>#N/A</v>
          </cell>
          <cell r="DS165" t="e">
            <v>#N/A</v>
          </cell>
          <cell r="DT165" t="e">
            <v>#N/A</v>
          </cell>
          <cell r="DU165" t="e">
            <v>#N/A</v>
          </cell>
          <cell r="DV165" t="e">
            <v>#N/A</v>
          </cell>
          <cell r="DW165" t="e">
            <v>#N/A</v>
          </cell>
          <cell r="DX165" t="e">
            <v>#N/A</v>
          </cell>
          <cell r="DY165" t="e">
            <v>#N/A</v>
          </cell>
          <cell r="DZ165" t="e">
            <v>#N/A</v>
          </cell>
          <cell r="EA165" t="e">
            <v>#N/A</v>
          </cell>
          <cell r="EB165" t="e">
            <v>#N/A</v>
          </cell>
          <cell r="EC165" t="e">
            <v>#N/A</v>
          </cell>
          <cell r="ED165" t="e">
            <v>#N/A</v>
          </cell>
          <cell r="EE165" t="e">
            <v>#N/A</v>
          </cell>
          <cell r="EF165" t="e">
            <v>#N/A</v>
          </cell>
          <cell r="EG165" t="e">
            <v>#N/A</v>
          </cell>
          <cell r="EH165" t="e">
            <v>#N/A</v>
          </cell>
          <cell r="EI165" t="e">
            <v>#N/A</v>
          </cell>
          <cell r="EJ165" t="e">
            <v>#N/A</v>
          </cell>
          <cell r="EK165" t="e">
            <v>#N/A</v>
          </cell>
          <cell r="EL165" t="e">
            <v>#N/A</v>
          </cell>
          <cell r="EM165" t="e">
            <v>#N/A</v>
          </cell>
          <cell r="EN165" t="e">
            <v>#N/A</v>
          </cell>
          <cell r="EO165" t="e">
            <v>#N/A</v>
          </cell>
          <cell r="EP165" t="e">
            <v>#N/A</v>
          </cell>
          <cell r="EQ165" t="e">
            <v>#N/A</v>
          </cell>
          <cell r="ER165" t="e">
            <v>#N/A</v>
          </cell>
          <cell r="ES165" t="e">
            <v>#N/A</v>
          </cell>
          <cell r="ET165" t="e">
            <v>#N/A</v>
          </cell>
          <cell r="EU165" t="e">
            <v>#N/A</v>
          </cell>
          <cell r="EV165" t="e">
            <v>#N/A</v>
          </cell>
          <cell r="EW165" t="e">
            <v>#N/A</v>
          </cell>
          <cell r="EX165" t="e">
            <v>#N/A</v>
          </cell>
          <cell r="EY165" t="e">
            <v>#N/A</v>
          </cell>
          <cell r="EZ165" t="e">
            <v>#N/A</v>
          </cell>
          <cell r="FA165" t="e">
            <v>#N/A</v>
          </cell>
          <cell r="FB165" t="e">
            <v>#N/A</v>
          </cell>
          <cell r="FC165" t="e">
            <v>#N/A</v>
          </cell>
          <cell r="FD165" t="e">
            <v>#N/A</v>
          </cell>
          <cell r="FE165" t="e">
            <v>#N/A</v>
          </cell>
          <cell r="FF165" t="e">
            <v>#N/A</v>
          </cell>
          <cell r="FG165" t="e">
            <v>#N/A</v>
          </cell>
          <cell r="FH165" t="e">
            <v>#N/A</v>
          </cell>
          <cell r="FI165" t="e">
            <v>#N/A</v>
          </cell>
          <cell r="FJ165" t="e">
            <v>#N/A</v>
          </cell>
          <cell r="FK165" t="e">
            <v>#N/A</v>
          </cell>
          <cell r="FL165" t="e">
            <v>#N/A</v>
          </cell>
          <cell r="FM165" t="e">
            <v>#N/A</v>
          </cell>
          <cell r="FN165" t="e">
            <v>#N/A</v>
          </cell>
          <cell r="FO165" t="e">
            <v>#N/A</v>
          </cell>
          <cell r="FP165" t="e">
            <v>#N/A</v>
          </cell>
          <cell r="FQ165" t="e">
            <v>#N/A</v>
          </cell>
          <cell r="FR165" t="e">
            <v>#N/A</v>
          </cell>
          <cell r="FS165" t="e">
            <v>#N/A</v>
          </cell>
          <cell r="FT165" t="e">
            <v>#N/A</v>
          </cell>
          <cell r="FU165" t="e">
            <v>#N/A</v>
          </cell>
          <cell r="FV165" t="e">
            <v>#N/A</v>
          </cell>
          <cell r="FW165" t="e">
            <v>#N/A</v>
          </cell>
          <cell r="FX165" t="e">
            <v>#N/A</v>
          </cell>
          <cell r="FY165" t="e">
            <v>#N/A</v>
          </cell>
          <cell r="FZ165" t="e">
            <v>#N/A</v>
          </cell>
          <cell r="GA165" t="e">
            <v>#N/A</v>
          </cell>
          <cell r="GB165" t="e">
            <v>#N/A</v>
          </cell>
          <cell r="GC165" t="e">
            <v>#N/A</v>
          </cell>
          <cell r="GD165" t="e">
            <v>#N/A</v>
          </cell>
          <cell r="GE165" t="e">
            <v>#N/A</v>
          </cell>
          <cell r="GF165" t="e">
            <v>#N/A</v>
          </cell>
          <cell r="GG165" t="e">
            <v>#N/A</v>
          </cell>
          <cell r="GH165" t="e">
            <v>#N/A</v>
          </cell>
          <cell r="GI165" t="e">
            <v>#N/A</v>
          </cell>
          <cell r="GJ165" t="e">
            <v>#N/A</v>
          </cell>
          <cell r="GK165" t="e">
            <v>#N/A</v>
          </cell>
          <cell r="GL165" t="e">
            <v>#N/A</v>
          </cell>
          <cell r="GM165" t="e">
            <v>#N/A</v>
          </cell>
          <cell r="GN165" t="e">
            <v>#N/A</v>
          </cell>
          <cell r="GO165" t="e">
            <v>#N/A</v>
          </cell>
          <cell r="GP165" t="e">
            <v>#N/A</v>
          </cell>
          <cell r="GQ165" t="e">
            <v>#N/A</v>
          </cell>
          <cell r="GR165" t="e">
            <v>#N/A</v>
          </cell>
          <cell r="GS165" t="e">
            <v>#N/A</v>
          </cell>
          <cell r="GT165" t="e">
            <v>#N/A</v>
          </cell>
          <cell r="GU165" t="e">
            <v>#N/A</v>
          </cell>
          <cell r="GV165" t="e">
            <v>#N/A</v>
          </cell>
          <cell r="GW165" t="e">
            <v>#N/A</v>
          </cell>
          <cell r="GX165" t="e">
            <v>#N/A</v>
          </cell>
        </row>
        <row r="166">
          <cell r="A166" t="str">
            <v>2030 Q2</v>
          </cell>
          <cell r="B166" t="e">
            <v>#N/A</v>
          </cell>
          <cell r="C166" t="e">
            <v>#N/A</v>
          </cell>
          <cell r="D166" t="e">
            <v>#N/A</v>
          </cell>
          <cell r="E166" t="e">
            <v>#N/A</v>
          </cell>
          <cell r="F166" t="e">
            <v>#N/A</v>
          </cell>
          <cell r="G166" t="e">
            <v>#N/A</v>
          </cell>
          <cell r="H166" t="e">
            <v>#N/A</v>
          </cell>
          <cell r="I166" t="e">
            <v>#N/A</v>
          </cell>
          <cell r="J166" t="e">
            <v>#N/A</v>
          </cell>
          <cell r="K166" t="e">
            <v>#N/A</v>
          </cell>
          <cell r="L166" t="e">
            <v>#N/A</v>
          </cell>
          <cell r="M166" t="e">
            <v>#N/A</v>
          </cell>
          <cell r="N166" t="e">
            <v>#N/A</v>
          </cell>
          <cell r="O166" t="e">
            <v>#N/A</v>
          </cell>
          <cell r="P166" t="e">
            <v>#N/A</v>
          </cell>
          <cell r="Q166" t="e">
            <v>#N/A</v>
          </cell>
          <cell r="R166" t="e">
            <v>#N/A</v>
          </cell>
          <cell r="S166" t="e">
            <v>#N/A</v>
          </cell>
          <cell r="T166" t="e">
            <v>#N/A</v>
          </cell>
          <cell r="U166" t="e">
            <v>#N/A</v>
          </cell>
          <cell r="V166" t="e">
            <v>#N/A</v>
          </cell>
          <cell r="W166" t="e">
            <v>#N/A</v>
          </cell>
          <cell r="X166" t="e">
            <v>#N/A</v>
          </cell>
          <cell r="Y166" t="e">
            <v>#N/A</v>
          </cell>
          <cell r="Z166" t="e">
            <v>#N/A</v>
          </cell>
          <cell r="AA166" t="e">
            <v>#N/A</v>
          </cell>
          <cell r="AB166" t="e">
            <v>#N/A</v>
          </cell>
          <cell r="AC166" t="e">
            <v>#N/A</v>
          </cell>
          <cell r="AD166" t="e">
            <v>#N/A</v>
          </cell>
          <cell r="AE166" t="e">
            <v>#N/A</v>
          </cell>
          <cell r="AF166" t="e">
            <v>#N/A</v>
          </cell>
          <cell r="AG166" t="e">
            <v>#N/A</v>
          </cell>
          <cell r="AH166" t="e">
            <v>#N/A</v>
          </cell>
          <cell r="AI166" t="e">
            <v>#N/A</v>
          </cell>
          <cell r="AJ166" t="e">
            <v>#N/A</v>
          </cell>
          <cell r="AK166" t="e">
            <v>#N/A</v>
          </cell>
          <cell r="AL166" t="e">
            <v>#N/A</v>
          </cell>
          <cell r="AM166" t="e">
            <v>#N/A</v>
          </cell>
          <cell r="AN166" t="e">
            <v>#N/A</v>
          </cell>
          <cell r="AO166" t="e">
            <v>#N/A</v>
          </cell>
          <cell r="AP166" t="e">
            <v>#N/A</v>
          </cell>
          <cell r="AQ166" t="e">
            <v>#N/A</v>
          </cell>
          <cell r="AR166" t="e">
            <v>#N/A</v>
          </cell>
          <cell r="AS166" t="e">
            <v>#N/A</v>
          </cell>
          <cell r="AT166" t="e">
            <v>#N/A</v>
          </cell>
          <cell r="AU166" t="e">
            <v>#N/A</v>
          </cell>
          <cell r="AV166" t="e">
            <v>#N/A</v>
          </cell>
          <cell r="AW166" t="e">
            <v>#N/A</v>
          </cell>
          <cell r="AX166" t="e">
            <v>#N/A</v>
          </cell>
          <cell r="AY166" t="e">
            <v>#N/A</v>
          </cell>
          <cell r="AZ166" t="e">
            <v>#N/A</v>
          </cell>
          <cell r="BA166" t="e">
            <v>#N/A</v>
          </cell>
          <cell r="BB166" t="e">
            <v>#N/A</v>
          </cell>
          <cell r="BC166" t="e">
            <v>#N/A</v>
          </cell>
          <cell r="BD166" t="e">
            <v>#N/A</v>
          </cell>
          <cell r="BE166" t="e">
            <v>#N/A</v>
          </cell>
          <cell r="BF166" t="e">
            <v>#N/A</v>
          </cell>
          <cell r="BG166" t="e">
            <v>#N/A</v>
          </cell>
          <cell r="BH166" t="e">
            <v>#N/A</v>
          </cell>
          <cell r="BI166" t="e">
            <v>#N/A</v>
          </cell>
          <cell r="BJ166" t="e">
            <v>#N/A</v>
          </cell>
          <cell r="BK166" t="e">
            <v>#N/A</v>
          </cell>
          <cell r="BL166" t="e">
            <v>#N/A</v>
          </cell>
          <cell r="BM166" t="e">
            <v>#N/A</v>
          </cell>
          <cell r="BN166" t="e">
            <v>#N/A</v>
          </cell>
          <cell r="BO166" t="e">
            <v>#N/A</v>
          </cell>
          <cell r="BP166" t="e">
            <v>#N/A</v>
          </cell>
          <cell r="BQ166" t="e">
            <v>#N/A</v>
          </cell>
          <cell r="BR166" t="e">
            <v>#N/A</v>
          </cell>
          <cell r="BS166" t="e">
            <v>#N/A</v>
          </cell>
          <cell r="BT166" t="e">
            <v>#N/A</v>
          </cell>
          <cell r="BU166" t="e">
            <v>#N/A</v>
          </cell>
          <cell r="BV166" t="e">
            <v>#N/A</v>
          </cell>
          <cell r="BW166" t="e">
            <v>#N/A</v>
          </cell>
          <cell r="BX166" t="e">
            <v>#N/A</v>
          </cell>
          <cell r="BY166" t="e">
            <v>#N/A</v>
          </cell>
          <cell r="BZ166" t="e">
            <v>#N/A</v>
          </cell>
          <cell r="CA166" t="e">
            <v>#N/A</v>
          </cell>
          <cell r="CB166" t="e">
            <v>#N/A</v>
          </cell>
          <cell r="CC166" t="e">
            <v>#N/A</v>
          </cell>
          <cell r="CD166" t="e">
            <v>#N/A</v>
          </cell>
          <cell r="CE166" t="e">
            <v>#N/A</v>
          </cell>
          <cell r="CF166" t="e">
            <v>#N/A</v>
          </cell>
          <cell r="CG166" t="e">
            <v>#N/A</v>
          </cell>
          <cell r="CH166" t="e">
            <v>#N/A</v>
          </cell>
          <cell r="CI166" t="e">
            <v>#N/A</v>
          </cell>
          <cell r="CJ166" t="e">
            <v>#N/A</v>
          </cell>
          <cell r="CK166" t="e">
            <v>#N/A</v>
          </cell>
          <cell r="CL166" t="e">
            <v>#N/A</v>
          </cell>
          <cell r="CM166" t="e">
            <v>#N/A</v>
          </cell>
          <cell r="CN166" t="e">
            <v>#N/A</v>
          </cell>
          <cell r="CO166" t="e">
            <v>#N/A</v>
          </cell>
          <cell r="CP166" t="e">
            <v>#N/A</v>
          </cell>
          <cell r="CQ166" t="e">
            <v>#N/A</v>
          </cell>
          <cell r="CR166" t="e">
            <v>#N/A</v>
          </cell>
          <cell r="CS166" t="e">
            <v>#N/A</v>
          </cell>
          <cell r="CT166" t="e">
            <v>#N/A</v>
          </cell>
          <cell r="CU166" t="e">
            <v>#N/A</v>
          </cell>
          <cell r="CV166" t="e">
            <v>#N/A</v>
          </cell>
          <cell r="CW166" t="e">
            <v>#N/A</v>
          </cell>
          <cell r="CX166" t="e">
            <v>#N/A</v>
          </cell>
          <cell r="CY166" t="e">
            <v>#N/A</v>
          </cell>
          <cell r="CZ166" t="e">
            <v>#N/A</v>
          </cell>
          <cell r="DA166" t="e">
            <v>#N/A</v>
          </cell>
          <cell r="DB166" t="e">
            <v>#N/A</v>
          </cell>
          <cell r="DC166" t="e">
            <v>#N/A</v>
          </cell>
          <cell r="DD166" t="e">
            <v>#N/A</v>
          </cell>
          <cell r="DE166" t="e">
            <v>#N/A</v>
          </cell>
          <cell r="DF166" t="e">
            <v>#N/A</v>
          </cell>
          <cell r="DG166" t="e">
            <v>#N/A</v>
          </cell>
          <cell r="DH166" t="e">
            <v>#N/A</v>
          </cell>
          <cell r="DI166" t="e">
            <v>#N/A</v>
          </cell>
          <cell r="DJ166" t="e">
            <v>#N/A</v>
          </cell>
          <cell r="DK166" t="e">
            <v>#N/A</v>
          </cell>
          <cell r="DL166" t="e">
            <v>#N/A</v>
          </cell>
          <cell r="DM166" t="e">
            <v>#N/A</v>
          </cell>
          <cell r="DN166" t="e">
            <v>#N/A</v>
          </cell>
          <cell r="DO166" t="e">
            <v>#N/A</v>
          </cell>
          <cell r="DP166" t="e">
            <v>#N/A</v>
          </cell>
          <cell r="DQ166" t="e">
            <v>#N/A</v>
          </cell>
          <cell r="DR166" t="e">
            <v>#N/A</v>
          </cell>
          <cell r="DS166" t="e">
            <v>#N/A</v>
          </cell>
          <cell r="DT166" t="e">
            <v>#N/A</v>
          </cell>
          <cell r="DU166" t="e">
            <v>#N/A</v>
          </cell>
          <cell r="DV166" t="e">
            <v>#N/A</v>
          </cell>
          <cell r="DW166" t="e">
            <v>#N/A</v>
          </cell>
          <cell r="DX166" t="e">
            <v>#N/A</v>
          </cell>
          <cell r="DY166" t="e">
            <v>#N/A</v>
          </cell>
          <cell r="DZ166" t="e">
            <v>#N/A</v>
          </cell>
          <cell r="EA166" t="e">
            <v>#N/A</v>
          </cell>
          <cell r="EB166" t="e">
            <v>#N/A</v>
          </cell>
          <cell r="EC166" t="e">
            <v>#N/A</v>
          </cell>
          <cell r="ED166" t="e">
            <v>#N/A</v>
          </cell>
          <cell r="EE166" t="e">
            <v>#N/A</v>
          </cell>
          <cell r="EF166" t="e">
            <v>#N/A</v>
          </cell>
          <cell r="EG166" t="e">
            <v>#N/A</v>
          </cell>
          <cell r="EH166" t="e">
            <v>#N/A</v>
          </cell>
          <cell r="EI166" t="e">
            <v>#N/A</v>
          </cell>
          <cell r="EJ166" t="e">
            <v>#N/A</v>
          </cell>
          <cell r="EK166" t="e">
            <v>#N/A</v>
          </cell>
          <cell r="EL166" t="e">
            <v>#N/A</v>
          </cell>
          <cell r="EM166" t="e">
            <v>#N/A</v>
          </cell>
          <cell r="EN166" t="e">
            <v>#N/A</v>
          </cell>
          <cell r="EO166" t="e">
            <v>#N/A</v>
          </cell>
          <cell r="EP166" t="e">
            <v>#N/A</v>
          </cell>
          <cell r="EQ166" t="e">
            <v>#N/A</v>
          </cell>
          <cell r="ER166" t="e">
            <v>#N/A</v>
          </cell>
          <cell r="ES166" t="e">
            <v>#N/A</v>
          </cell>
          <cell r="ET166" t="e">
            <v>#N/A</v>
          </cell>
          <cell r="EU166" t="e">
            <v>#N/A</v>
          </cell>
          <cell r="EV166" t="e">
            <v>#N/A</v>
          </cell>
          <cell r="EW166" t="e">
            <v>#N/A</v>
          </cell>
          <cell r="EX166" t="e">
            <v>#N/A</v>
          </cell>
          <cell r="EY166" t="e">
            <v>#N/A</v>
          </cell>
          <cell r="EZ166" t="e">
            <v>#N/A</v>
          </cell>
          <cell r="FA166" t="e">
            <v>#N/A</v>
          </cell>
          <cell r="FB166" t="e">
            <v>#N/A</v>
          </cell>
          <cell r="FC166" t="e">
            <v>#N/A</v>
          </cell>
          <cell r="FD166" t="e">
            <v>#N/A</v>
          </cell>
          <cell r="FE166" t="e">
            <v>#N/A</v>
          </cell>
          <cell r="FF166" t="e">
            <v>#N/A</v>
          </cell>
          <cell r="FG166" t="e">
            <v>#N/A</v>
          </cell>
          <cell r="FH166" t="e">
            <v>#N/A</v>
          </cell>
          <cell r="FI166" t="e">
            <v>#N/A</v>
          </cell>
          <cell r="FJ166" t="e">
            <v>#N/A</v>
          </cell>
          <cell r="FK166" t="e">
            <v>#N/A</v>
          </cell>
          <cell r="FL166" t="e">
            <v>#N/A</v>
          </cell>
          <cell r="FM166" t="e">
            <v>#N/A</v>
          </cell>
          <cell r="FN166" t="e">
            <v>#N/A</v>
          </cell>
          <cell r="FO166" t="e">
            <v>#N/A</v>
          </cell>
          <cell r="FP166" t="e">
            <v>#N/A</v>
          </cell>
          <cell r="FQ166" t="e">
            <v>#N/A</v>
          </cell>
          <cell r="FR166" t="e">
            <v>#N/A</v>
          </cell>
          <cell r="FS166" t="e">
            <v>#N/A</v>
          </cell>
          <cell r="FT166" t="e">
            <v>#N/A</v>
          </cell>
          <cell r="FU166" t="e">
            <v>#N/A</v>
          </cell>
          <cell r="FV166" t="e">
            <v>#N/A</v>
          </cell>
          <cell r="FW166" t="e">
            <v>#N/A</v>
          </cell>
          <cell r="FX166" t="e">
            <v>#N/A</v>
          </cell>
          <cell r="FY166" t="e">
            <v>#N/A</v>
          </cell>
          <cell r="FZ166" t="e">
            <v>#N/A</v>
          </cell>
          <cell r="GA166" t="e">
            <v>#N/A</v>
          </cell>
          <cell r="GB166" t="e">
            <v>#N/A</v>
          </cell>
          <cell r="GC166" t="e">
            <v>#N/A</v>
          </cell>
          <cell r="GD166" t="e">
            <v>#N/A</v>
          </cell>
          <cell r="GE166" t="e">
            <v>#N/A</v>
          </cell>
          <cell r="GF166" t="e">
            <v>#N/A</v>
          </cell>
          <cell r="GG166" t="e">
            <v>#N/A</v>
          </cell>
          <cell r="GH166" t="e">
            <v>#N/A</v>
          </cell>
          <cell r="GI166" t="e">
            <v>#N/A</v>
          </cell>
          <cell r="GJ166" t="e">
            <v>#N/A</v>
          </cell>
          <cell r="GK166" t="e">
            <v>#N/A</v>
          </cell>
          <cell r="GL166" t="e">
            <v>#N/A</v>
          </cell>
          <cell r="GM166" t="e">
            <v>#N/A</v>
          </cell>
          <cell r="GN166" t="e">
            <v>#N/A</v>
          </cell>
          <cell r="GO166" t="e">
            <v>#N/A</v>
          </cell>
          <cell r="GP166" t="e">
            <v>#N/A</v>
          </cell>
          <cell r="GQ166" t="e">
            <v>#N/A</v>
          </cell>
          <cell r="GR166" t="e">
            <v>#N/A</v>
          </cell>
          <cell r="GS166" t="e">
            <v>#N/A</v>
          </cell>
          <cell r="GT166" t="e">
            <v>#N/A</v>
          </cell>
          <cell r="GU166" t="e">
            <v>#N/A</v>
          </cell>
          <cell r="GV166" t="e">
            <v>#N/A</v>
          </cell>
          <cell r="GW166" t="e">
            <v>#N/A</v>
          </cell>
          <cell r="GX166" t="e">
            <v>#N/A</v>
          </cell>
        </row>
        <row r="167">
          <cell r="A167" t="str">
            <v>2030 Q3</v>
          </cell>
          <cell r="B167" t="e">
            <v>#N/A</v>
          </cell>
          <cell r="C167" t="e">
            <v>#N/A</v>
          </cell>
          <cell r="D167" t="e">
            <v>#N/A</v>
          </cell>
          <cell r="E167" t="e">
            <v>#N/A</v>
          </cell>
          <cell r="F167" t="e">
            <v>#N/A</v>
          </cell>
          <cell r="G167" t="e">
            <v>#N/A</v>
          </cell>
          <cell r="H167" t="e">
            <v>#N/A</v>
          </cell>
          <cell r="I167" t="e">
            <v>#N/A</v>
          </cell>
          <cell r="J167" t="e">
            <v>#N/A</v>
          </cell>
          <cell r="K167" t="e">
            <v>#N/A</v>
          </cell>
          <cell r="L167" t="e">
            <v>#N/A</v>
          </cell>
          <cell r="M167" t="e">
            <v>#N/A</v>
          </cell>
          <cell r="N167" t="e">
            <v>#N/A</v>
          </cell>
          <cell r="O167" t="e">
            <v>#N/A</v>
          </cell>
          <cell r="P167" t="e">
            <v>#N/A</v>
          </cell>
          <cell r="Q167" t="e">
            <v>#N/A</v>
          </cell>
          <cell r="R167" t="e">
            <v>#N/A</v>
          </cell>
          <cell r="S167" t="e">
            <v>#N/A</v>
          </cell>
          <cell r="T167" t="e">
            <v>#N/A</v>
          </cell>
          <cell r="U167" t="e">
            <v>#N/A</v>
          </cell>
          <cell r="V167" t="e">
            <v>#N/A</v>
          </cell>
          <cell r="W167" t="e">
            <v>#N/A</v>
          </cell>
          <cell r="X167" t="e">
            <v>#N/A</v>
          </cell>
          <cell r="Y167" t="e">
            <v>#N/A</v>
          </cell>
          <cell r="Z167" t="e">
            <v>#N/A</v>
          </cell>
          <cell r="AA167" t="e">
            <v>#N/A</v>
          </cell>
          <cell r="AB167" t="e">
            <v>#N/A</v>
          </cell>
          <cell r="AC167" t="e">
            <v>#N/A</v>
          </cell>
          <cell r="AD167" t="e">
            <v>#N/A</v>
          </cell>
          <cell r="AE167" t="e">
            <v>#N/A</v>
          </cell>
          <cell r="AF167" t="e">
            <v>#N/A</v>
          </cell>
          <cell r="AG167" t="e">
            <v>#N/A</v>
          </cell>
          <cell r="AH167" t="e">
            <v>#N/A</v>
          </cell>
          <cell r="AI167" t="e">
            <v>#N/A</v>
          </cell>
          <cell r="AJ167" t="e">
            <v>#N/A</v>
          </cell>
          <cell r="AK167" t="e">
            <v>#N/A</v>
          </cell>
          <cell r="AL167" t="e">
            <v>#N/A</v>
          </cell>
          <cell r="AM167" t="e">
            <v>#N/A</v>
          </cell>
          <cell r="AN167" t="e">
            <v>#N/A</v>
          </cell>
          <cell r="AO167" t="e">
            <v>#N/A</v>
          </cell>
          <cell r="AP167" t="e">
            <v>#N/A</v>
          </cell>
          <cell r="AQ167" t="e">
            <v>#N/A</v>
          </cell>
          <cell r="AR167" t="e">
            <v>#N/A</v>
          </cell>
          <cell r="AS167" t="e">
            <v>#N/A</v>
          </cell>
          <cell r="AT167" t="e">
            <v>#N/A</v>
          </cell>
          <cell r="AU167" t="e">
            <v>#N/A</v>
          </cell>
          <cell r="AV167" t="e">
            <v>#N/A</v>
          </cell>
          <cell r="AW167" t="e">
            <v>#N/A</v>
          </cell>
          <cell r="AX167" t="e">
            <v>#N/A</v>
          </cell>
          <cell r="AY167" t="e">
            <v>#N/A</v>
          </cell>
          <cell r="AZ167" t="e">
            <v>#N/A</v>
          </cell>
          <cell r="BA167" t="e">
            <v>#N/A</v>
          </cell>
          <cell r="BB167" t="e">
            <v>#N/A</v>
          </cell>
          <cell r="BC167" t="e">
            <v>#N/A</v>
          </cell>
          <cell r="BD167" t="e">
            <v>#N/A</v>
          </cell>
          <cell r="BE167" t="e">
            <v>#N/A</v>
          </cell>
          <cell r="BF167" t="e">
            <v>#N/A</v>
          </cell>
          <cell r="BG167" t="e">
            <v>#N/A</v>
          </cell>
          <cell r="BH167" t="e">
            <v>#N/A</v>
          </cell>
          <cell r="BI167" t="e">
            <v>#N/A</v>
          </cell>
          <cell r="BJ167" t="e">
            <v>#N/A</v>
          </cell>
          <cell r="BK167" t="e">
            <v>#N/A</v>
          </cell>
          <cell r="BL167" t="e">
            <v>#N/A</v>
          </cell>
          <cell r="BM167" t="e">
            <v>#N/A</v>
          </cell>
          <cell r="BN167" t="e">
            <v>#N/A</v>
          </cell>
          <cell r="BO167" t="e">
            <v>#N/A</v>
          </cell>
          <cell r="BP167" t="e">
            <v>#N/A</v>
          </cell>
          <cell r="BQ167" t="e">
            <v>#N/A</v>
          </cell>
          <cell r="BR167" t="e">
            <v>#N/A</v>
          </cell>
          <cell r="BS167" t="e">
            <v>#N/A</v>
          </cell>
          <cell r="BT167" t="e">
            <v>#N/A</v>
          </cell>
          <cell r="BU167" t="e">
            <v>#N/A</v>
          </cell>
          <cell r="BV167" t="e">
            <v>#N/A</v>
          </cell>
          <cell r="BW167" t="e">
            <v>#N/A</v>
          </cell>
          <cell r="BX167" t="e">
            <v>#N/A</v>
          </cell>
          <cell r="BY167" t="e">
            <v>#N/A</v>
          </cell>
          <cell r="BZ167" t="e">
            <v>#N/A</v>
          </cell>
          <cell r="CA167" t="e">
            <v>#N/A</v>
          </cell>
          <cell r="CB167" t="e">
            <v>#N/A</v>
          </cell>
          <cell r="CC167" t="e">
            <v>#N/A</v>
          </cell>
          <cell r="CD167" t="e">
            <v>#N/A</v>
          </cell>
          <cell r="CE167" t="e">
            <v>#N/A</v>
          </cell>
          <cell r="CF167" t="e">
            <v>#N/A</v>
          </cell>
          <cell r="CG167" t="e">
            <v>#N/A</v>
          </cell>
          <cell r="CH167" t="e">
            <v>#N/A</v>
          </cell>
          <cell r="CI167" t="e">
            <v>#N/A</v>
          </cell>
          <cell r="CJ167" t="e">
            <v>#N/A</v>
          </cell>
          <cell r="CK167" t="e">
            <v>#N/A</v>
          </cell>
          <cell r="CL167" t="e">
            <v>#N/A</v>
          </cell>
          <cell r="CM167" t="e">
            <v>#N/A</v>
          </cell>
          <cell r="CN167" t="e">
            <v>#N/A</v>
          </cell>
          <cell r="CO167" t="e">
            <v>#N/A</v>
          </cell>
          <cell r="CP167" t="e">
            <v>#N/A</v>
          </cell>
          <cell r="CQ167" t="e">
            <v>#N/A</v>
          </cell>
          <cell r="CR167" t="e">
            <v>#N/A</v>
          </cell>
          <cell r="CS167" t="e">
            <v>#N/A</v>
          </cell>
          <cell r="CT167" t="e">
            <v>#N/A</v>
          </cell>
          <cell r="CU167" t="e">
            <v>#N/A</v>
          </cell>
          <cell r="CV167" t="e">
            <v>#N/A</v>
          </cell>
          <cell r="CW167" t="e">
            <v>#N/A</v>
          </cell>
          <cell r="CX167" t="e">
            <v>#N/A</v>
          </cell>
          <cell r="CY167" t="e">
            <v>#N/A</v>
          </cell>
          <cell r="CZ167" t="e">
            <v>#N/A</v>
          </cell>
          <cell r="DA167" t="e">
            <v>#N/A</v>
          </cell>
          <cell r="DB167" t="e">
            <v>#N/A</v>
          </cell>
          <cell r="DC167" t="e">
            <v>#N/A</v>
          </cell>
          <cell r="DD167" t="e">
            <v>#N/A</v>
          </cell>
          <cell r="DE167" t="e">
            <v>#N/A</v>
          </cell>
          <cell r="DF167" t="e">
            <v>#N/A</v>
          </cell>
          <cell r="DG167" t="e">
            <v>#N/A</v>
          </cell>
          <cell r="DH167" t="e">
            <v>#N/A</v>
          </cell>
          <cell r="DI167" t="e">
            <v>#N/A</v>
          </cell>
          <cell r="DJ167" t="e">
            <v>#N/A</v>
          </cell>
          <cell r="DK167" t="e">
            <v>#N/A</v>
          </cell>
          <cell r="DL167" t="e">
            <v>#N/A</v>
          </cell>
          <cell r="DM167" t="e">
            <v>#N/A</v>
          </cell>
          <cell r="DN167" t="e">
            <v>#N/A</v>
          </cell>
          <cell r="DO167" t="e">
            <v>#N/A</v>
          </cell>
          <cell r="DP167" t="e">
            <v>#N/A</v>
          </cell>
          <cell r="DQ167" t="e">
            <v>#N/A</v>
          </cell>
          <cell r="DR167" t="e">
            <v>#N/A</v>
          </cell>
          <cell r="DS167" t="e">
            <v>#N/A</v>
          </cell>
          <cell r="DT167" t="e">
            <v>#N/A</v>
          </cell>
          <cell r="DU167" t="e">
            <v>#N/A</v>
          </cell>
          <cell r="DV167" t="e">
            <v>#N/A</v>
          </cell>
          <cell r="DW167" t="e">
            <v>#N/A</v>
          </cell>
          <cell r="DX167" t="e">
            <v>#N/A</v>
          </cell>
          <cell r="DY167" t="e">
            <v>#N/A</v>
          </cell>
          <cell r="DZ167" t="e">
            <v>#N/A</v>
          </cell>
          <cell r="EA167" t="e">
            <v>#N/A</v>
          </cell>
          <cell r="EB167" t="e">
            <v>#N/A</v>
          </cell>
          <cell r="EC167" t="e">
            <v>#N/A</v>
          </cell>
          <cell r="ED167" t="e">
            <v>#N/A</v>
          </cell>
          <cell r="EE167" t="e">
            <v>#N/A</v>
          </cell>
          <cell r="EF167" t="e">
            <v>#N/A</v>
          </cell>
          <cell r="EG167" t="e">
            <v>#N/A</v>
          </cell>
          <cell r="EH167" t="e">
            <v>#N/A</v>
          </cell>
          <cell r="EI167" t="e">
            <v>#N/A</v>
          </cell>
          <cell r="EJ167" t="e">
            <v>#N/A</v>
          </cell>
          <cell r="EK167" t="e">
            <v>#N/A</v>
          </cell>
          <cell r="EL167" t="e">
            <v>#N/A</v>
          </cell>
          <cell r="EM167" t="e">
            <v>#N/A</v>
          </cell>
          <cell r="EN167" t="e">
            <v>#N/A</v>
          </cell>
          <cell r="EO167" t="e">
            <v>#N/A</v>
          </cell>
          <cell r="EP167" t="e">
            <v>#N/A</v>
          </cell>
          <cell r="EQ167" t="e">
            <v>#N/A</v>
          </cell>
          <cell r="ER167" t="e">
            <v>#N/A</v>
          </cell>
          <cell r="ES167" t="e">
            <v>#N/A</v>
          </cell>
          <cell r="ET167" t="e">
            <v>#N/A</v>
          </cell>
          <cell r="EU167" t="e">
            <v>#N/A</v>
          </cell>
          <cell r="EV167" t="e">
            <v>#N/A</v>
          </cell>
          <cell r="EW167" t="e">
            <v>#N/A</v>
          </cell>
          <cell r="EX167" t="e">
            <v>#N/A</v>
          </cell>
          <cell r="EY167" t="e">
            <v>#N/A</v>
          </cell>
          <cell r="EZ167" t="e">
            <v>#N/A</v>
          </cell>
          <cell r="FA167" t="e">
            <v>#N/A</v>
          </cell>
          <cell r="FB167" t="e">
            <v>#N/A</v>
          </cell>
          <cell r="FC167" t="e">
            <v>#N/A</v>
          </cell>
          <cell r="FD167" t="e">
            <v>#N/A</v>
          </cell>
          <cell r="FE167" t="e">
            <v>#N/A</v>
          </cell>
          <cell r="FF167" t="e">
            <v>#N/A</v>
          </cell>
          <cell r="FG167" t="e">
            <v>#N/A</v>
          </cell>
          <cell r="FH167" t="e">
            <v>#N/A</v>
          </cell>
          <cell r="FI167" t="e">
            <v>#N/A</v>
          </cell>
          <cell r="FJ167" t="e">
            <v>#N/A</v>
          </cell>
          <cell r="FK167" t="e">
            <v>#N/A</v>
          </cell>
          <cell r="FL167" t="e">
            <v>#N/A</v>
          </cell>
          <cell r="FM167" t="e">
            <v>#N/A</v>
          </cell>
          <cell r="FN167" t="e">
            <v>#N/A</v>
          </cell>
          <cell r="FO167" t="e">
            <v>#N/A</v>
          </cell>
          <cell r="FP167" t="e">
            <v>#N/A</v>
          </cell>
          <cell r="FQ167" t="e">
            <v>#N/A</v>
          </cell>
          <cell r="FR167" t="e">
            <v>#N/A</v>
          </cell>
          <cell r="FS167" t="e">
            <v>#N/A</v>
          </cell>
          <cell r="FT167" t="e">
            <v>#N/A</v>
          </cell>
          <cell r="FU167" t="e">
            <v>#N/A</v>
          </cell>
          <cell r="FV167" t="e">
            <v>#N/A</v>
          </cell>
          <cell r="FW167" t="e">
            <v>#N/A</v>
          </cell>
          <cell r="FX167" t="e">
            <v>#N/A</v>
          </cell>
          <cell r="FY167" t="e">
            <v>#N/A</v>
          </cell>
          <cell r="FZ167" t="e">
            <v>#N/A</v>
          </cell>
          <cell r="GA167" t="e">
            <v>#N/A</v>
          </cell>
          <cell r="GB167" t="e">
            <v>#N/A</v>
          </cell>
          <cell r="GC167" t="e">
            <v>#N/A</v>
          </cell>
          <cell r="GD167" t="e">
            <v>#N/A</v>
          </cell>
          <cell r="GE167" t="e">
            <v>#N/A</v>
          </cell>
          <cell r="GF167" t="e">
            <v>#N/A</v>
          </cell>
          <cell r="GG167" t="e">
            <v>#N/A</v>
          </cell>
          <cell r="GH167" t="e">
            <v>#N/A</v>
          </cell>
          <cell r="GI167" t="e">
            <v>#N/A</v>
          </cell>
          <cell r="GJ167" t="e">
            <v>#N/A</v>
          </cell>
          <cell r="GK167" t="e">
            <v>#N/A</v>
          </cell>
          <cell r="GL167" t="e">
            <v>#N/A</v>
          </cell>
          <cell r="GM167" t="e">
            <v>#N/A</v>
          </cell>
          <cell r="GN167" t="e">
            <v>#N/A</v>
          </cell>
          <cell r="GO167" t="e">
            <v>#N/A</v>
          </cell>
          <cell r="GP167" t="e">
            <v>#N/A</v>
          </cell>
          <cell r="GQ167" t="e">
            <v>#N/A</v>
          </cell>
          <cell r="GR167" t="e">
            <v>#N/A</v>
          </cell>
          <cell r="GS167" t="e">
            <v>#N/A</v>
          </cell>
          <cell r="GT167" t="e">
            <v>#N/A</v>
          </cell>
          <cell r="GU167" t="e">
            <v>#N/A</v>
          </cell>
          <cell r="GV167" t="e">
            <v>#N/A</v>
          </cell>
          <cell r="GW167" t="e">
            <v>#N/A</v>
          </cell>
          <cell r="GX167" t="e">
            <v>#N/A</v>
          </cell>
        </row>
        <row r="168">
          <cell r="A168" t="str">
            <v>2030 Q4</v>
          </cell>
          <cell r="B168" t="e">
            <v>#N/A</v>
          </cell>
          <cell r="C168" t="e">
            <v>#N/A</v>
          </cell>
          <cell r="D168" t="e">
            <v>#N/A</v>
          </cell>
          <cell r="E168" t="e">
            <v>#N/A</v>
          </cell>
          <cell r="F168" t="e">
            <v>#N/A</v>
          </cell>
          <cell r="G168" t="e">
            <v>#N/A</v>
          </cell>
          <cell r="H168" t="e">
            <v>#N/A</v>
          </cell>
          <cell r="I168" t="e">
            <v>#N/A</v>
          </cell>
          <cell r="J168" t="e">
            <v>#N/A</v>
          </cell>
          <cell r="K168" t="e">
            <v>#N/A</v>
          </cell>
          <cell r="L168" t="e">
            <v>#N/A</v>
          </cell>
          <cell r="M168" t="e">
            <v>#N/A</v>
          </cell>
          <cell r="N168" t="e">
            <v>#N/A</v>
          </cell>
          <cell r="O168" t="e">
            <v>#N/A</v>
          </cell>
          <cell r="P168" t="e">
            <v>#N/A</v>
          </cell>
          <cell r="Q168" t="e">
            <v>#N/A</v>
          </cell>
          <cell r="R168" t="e">
            <v>#N/A</v>
          </cell>
          <cell r="S168" t="e">
            <v>#N/A</v>
          </cell>
          <cell r="T168" t="e">
            <v>#N/A</v>
          </cell>
          <cell r="U168" t="e">
            <v>#N/A</v>
          </cell>
          <cell r="V168" t="e">
            <v>#N/A</v>
          </cell>
          <cell r="W168" t="e">
            <v>#N/A</v>
          </cell>
          <cell r="X168" t="e">
            <v>#N/A</v>
          </cell>
          <cell r="Y168" t="e">
            <v>#N/A</v>
          </cell>
          <cell r="Z168" t="e">
            <v>#N/A</v>
          </cell>
          <cell r="AA168" t="e">
            <v>#N/A</v>
          </cell>
          <cell r="AB168" t="e">
            <v>#N/A</v>
          </cell>
          <cell r="AC168" t="e">
            <v>#N/A</v>
          </cell>
          <cell r="AD168" t="e">
            <v>#N/A</v>
          </cell>
          <cell r="AE168" t="e">
            <v>#N/A</v>
          </cell>
          <cell r="AF168" t="e">
            <v>#N/A</v>
          </cell>
          <cell r="AG168" t="e">
            <v>#N/A</v>
          </cell>
          <cell r="AH168" t="e">
            <v>#N/A</v>
          </cell>
          <cell r="AI168" t="e">
            <v>#N/A</v>
          </cell>
          <cell r="AJ168" t="e">
            <v>#N/A</v>
          </cell>
          <cell r="AK168" t="e">
            <v>#N/A</v>
          </cell>
          <cell r="AL168" t="e">
            <v>#N/A</v>
          </cell>
          <cell r="AM168" t="e">
            <v>#N/A</v>
          </cell>
          <cell r="AN168" t="e">
            <v>#N/A</v>
          </cell>
          <cell r="AO168" t="e">
            <v>#N/A</v>
          </cell>
          <cell r="AP168" t="e">
            <v>#N/A</v>
          </cell>
          <cell r="AQ168" t="e">
            <v>#N/A</v>
          </cell>
          <cell r="AR168" t="e">
            <v>#N/A</v>
          </cell>
          <cell r="AS168" t="e">
            <v>#N/A</v>
          </cell>
          <cell r="AT168" t="e">
            <v>#N/A</v>
          </cell>
          <cell r="AU168" t="e">
            <v>#N/A</v>
          </cell>
          <cell r="AV168" t="e">
            <v>#N/A</v>
          </cell>
          <cell r="AW168" t="e">
            <v>#N/A</v>
          </cell>
          <cell r="AX168" t="e">
            <v>#N/A</v>
          </cell>
          <cell r="AY168" t="e">
            <v>#N/A</v>
          </cell>
          <cell r="AZ168" t="e">
            <v>#N/A</v>
          </cell>
          <cell r="BA168" t="e">
            <v>#N/A</v>
          </cell>
          <cell r="BB168" t="e">
            <v>#N/A</v>
          </cell>
          <cell r="BC168" t="e">
            <v>#N/A</v>
          </cell>
          <cell r="BD168" t="e">
            <v>#N/A</v>
          </cell>
          <cell r="BE168" t="e">
            <v>#N/A</v>
          </cell>
          <cell r="BF168" t="e">
            <v>#N/A</v>
          </cell>
          <cell r="BG168" t="e">
            <v>#N/A</v>
          </cell>
          <cell r="BH168" t="e">
            <v>#N/A</v>
          </cell>
          <cell r="BI168" t="e">
            <v>#N/A</v>
          </cell>
          <cell r="BJ168" t="e">
            <v>#N/A</v>
          </cell>
          <cell r="BK168" t="e">
            <v>#N/A</v>
          </cell>
          <cell r="BL168" t="e">
            <v>#N/A</v>
          </cell>
          <cell r="BM168" t="e">
            <v>#N/A</v>
          </cell>
          <cell r="BN168" t="e">
            <v>#N/A</v>
          </cell>
          <cell r="BO168" t="e">
            <v>#N/A</v>
          </cell>
          <cell r="BP168" t="e">
            <v>#N/A</v>
          </cell>
          <cell r="BQ168" t="e">
            <v>#N/A</v>
          </cell>
          <cell r="BR168" t="e">
            <v>#N/A</v>
          </cell>
          <cell r="BS168" t="e">
            <v>#N/A</v>
          </cell>
          <cell r="BT168" t="e">
            <v>#N/A</v>
          </cell>
          <cell r="BU168" t="e">
            <v>#N/A</v>
          </cell>
          <cell r="BV168" t="e">
            <v>#N/A</v>
          </cell>
          <cell r="BW168" t="e">
            <v>#N/A</v>
          </cell>
          <cell r="BX168" t="e">
            <v>#N/A</v>
          </cell>
          <cell r="BY168" t="e">
            <v>#N/A</v>
          </cell>
          <cell r="BZ168" t="e">
            <v>#N/A</v>
          </cell>
          <cell r="CA168" t="e">
            <v>#N/A</v>
          </cell>
          <cell r="CB168" t="e">
            <v>#N/A</v>
          </cell>
          <cell r="CC168" t="e">
            <v>#N/A</v>
          </cell>
          <cell r="CD168" t="e">
            <v>#N/A</v>
          </cell>
          <cell r="CE168" t="e">
            <v>#N/A</v>
          </cell>
          <cell r="CF168" t="e">
            <v>#N/A</v>
          </cell>
          <cell r="CG168" t="e">
            <v>#N/A</v>
          </cell>
          <cell r="CH168" t="e">
            <v>#N/A</v>
          </cell>
          <cell r="CI168" t="e">
            <v>#N/A</v>
          </cell>
          <cell r="CJ168" t="e">
            <v>#N/A</v>
          </cell>
          <cell r="CK168" t="e">
            <v>#N/A</v>
          </cell>
          <cell r="CL168" t="e">
            <v>#N/A</v>
          </cell>
          <cell r="CM168" t="e">
            <v>#N/A</v>
          </cell>
          <cell r="CN168" t="e">
            <v>#N/A</v>
          </cell>
          <cell r="CO168" t="e">
            <v>#N/A</v>
          </cell>
          <cell r="CP168" t="e">
            <v>#N/A</v>
          </cell>
          <cell r="CQ168" t="e">
            <v>#N/A</v>
          </cell>
          <cell r="CR168" t="e">
            <v>#N/A</v>
          </cell>
          <cell r="CS168" t="e">
            <v>#N/A</v>
          </cell>
          <cell r="CT168" t="e">
            <v>#N/A</v>
          </cell>
          <cell r="CU168" t="e">
            <v>#N/A</v>
          </cell>
          <cell r="CV168" t="e">
            <v>#N/A</v>
          </cell>
          <cell r="CW168" t="e">
            <v>#N/A</v>
          </cell>
          <cell r="CX168" t="e">
            <v>#N/A</v>
          </cell>
          <cell r="CY168" t="e">
            <v>#N/A</v>
          </cell>
          <cell r="CZ168" t="e">
            <v>#N/A</v>
          </cell>
          <cell r="DA168" t="e">
            <v>#N/A</v>
          </cell>
          <cell r="DB168" t="e">
            <v>#N/A</v>
          </cell>
          <cell r="DC168" t="e">
            <v>#N/A</v>
          </cell>
          <cell r="DD168" t="e">
            <v>#N/A</v>
          </cell>
          <cell r="DE168" t="e">
            <v>#N/A</v>
          </cell>
          <cell r="DF168" t="e">
            <v>#N/A</v>
          </cell>
          <cell r="DG168" t="e">
            <v>#N/A</v>
          </cell>
          <cell r="DH168" t="e">
            <v>#N/A</v>
          </cell>
          <cell r="DI168" t="e">
            <v>#N/A</v>
          </cell>
          <cell r="DJ168" t="e">
            <v>#N/A</v>
          </cell>
          <cell r="DK168" t="e">
            <v>#N/A</v>
          </cell>
          <cell r="DL168" t="e">
            <v>#N/A</v>
          </cell>
          <cell r="DM168" t="e">
            <v>#N/A</v>
          </cell>
          <cell r="DN168" t="e">
            <v>#N/A</v>
          </cell>
          <cell r="DO168" t="e">
            <v>#N/A</v>
          </cell>
          <cell r="DP168" t="e">
            <v>#N/A</v>
          </cell>
          <cell r="DQ168" t="e">
            <v>#N/A</v>
          </cell>
          <cell r="DR168" t="e">
            <v>#N/A</v>
          </cell>
          <cell r="DS168" t="e">
            <v>#N/A</v>
          </cell>
          <cell r="DT168" t="e">
            <v>#N/A</v>
          </cell>
          <cell r="DU168" t="e">
            <v>#N/A</v>
          </cell>
          <cell r="DV168" t="e">
            <v>#N/A</v>
          </cell>
          <cell r="DW168" t="e">
            <v>#N/A</v>
          </cell>
          <cell r="DX168" t="e">
            <v>#N/A</v>
          </cell>
          <cell r="DY168" t="e">
            <v>#N/A</v>
          </cell>
          <cell r="DZ168" t="e">
            <v>#N/A</v>
          </cell>
          <cell r="EA168" t="e">
            <v>#N/A</v>
          </cell>
          <cell r="EB168" t="e">
            <v>#N/A</v>
          </cell>
          <cell r="EC168" t="e">
            <v>#N/A</v>
          </cell>
          <cell r="ED168" t="e">
            <v>#N/A</v>
          </cell>
          <cell r="EE168" t="e">
            <v>#N/A</v>
          </cell>
          <cell r="EF168" t="e">
            <v>#N/A</v>
          </cell>
          <cell r="EG168" t="e">
            <v>#N/A</v>
          </cell>
          <cell r="EH168" t="e">
            <v>#N/A</v>
          </cell>
          <cell r="EI168" t="e">
            <v>#N/A</v>
          </cell>
          <cell r="EJ168" t="e">
            <v>#N/A</v>
          </cell>
          <cell r="EK168" t="e">
            <v>#N/A</v>
          </cell>
          <cell r="EL168" t="e">
            <v>#N/A</v>
          </cell>
          <cell r="EM168" t="e">
            <v>#N/A</v>
          </cell>
          <cell r="EN168" t="e">
            <v>#N/A</v>
          </cell>
          <cell r="EO168" t="e">
            <v>#N/A</v>
          </cell>
          <cell r="EP168" t="e">
            <v>#N/A</v>
          </cell>
          <cell r="EQ168" t="e">
            <v>#N/A</v>
          </cell>
          <cell r="ER168" t="e">
            <v>#N/A</v>
          </cell>
          <cell r="ES168" t="e">
            <v>#N/A</v>
          </cell>
          <cell r="ET168" t="e">
            <v>#N/A</v>
          </cell>
          <cell r="EU168" t="e">
            <v>#N/A</v>
          </cell>
          <cell r="EV168" t="e">
            <v>#N/A</v>
          </cell>
          <cell r="EW168" t="e">
            <v>#N/A</v>
          </cell>
          <cell r="EX168" t="e">
            <v>#N/A</v>
          </cell>
          <cell r="EY168" t="e">
            <v>#N/A</v>
          </cell>
          <cell r="EZ168" t="e">
            <v>#N/A</v>
          </cell>
          <cell r="FA168" t="e">
            <v>#N/A</v>
          </cell>
          <cell r="FB168" t="e">
            <v>#N/A</v>
          </cell>
          <cell r="FC168" t="e">
            <v>#N/A</v>
          </cell>
          <cell r="FD168" t="e">
            <v>#N/A</v>
          </cell>
          <cell r="FE168" t="e">
            <v>#N/A</v>
          </cell>
          <cell r="FF168" t="e">
            <v>#N/A</v>
          </cell>
          <cell r="FG168" t="e">
            <v>#N/A</v>
          </cell>
          <cell r="FH168" t="e">
            <v>#N/A</v>
          </cell>
          <cell r="FI168" t="e">
            <v>#N/A</v>
          </cell>
          <cell r="FJ168" t="e">
            <v>#N/A</v>
          </cell>
          <cell r="FK168" t="e">
            <v>#N/A</v>
          </cell>
          <cell r="FL168" t="e">
            <v>#N/A</v>
          </cell>
          <cell r="FM168" t="e">
            <v>#N/A</v>
          </cell>
          <cell r="FN168" t="e">
            <v>#N/A</v>
          </cell>
          <cell r="FO168" t="e">
            <v>#N/A</v>
          </cell>
          <cell r="FP168" t="e">
            <v>#N/A</v>
          </cell>
          <cell r="FQ168" t="e">
            <v>#N/A</v>
          </cell>
          <cell r="FR168" t="e">
            <v>#N/A</v>
          </cell>
          <cell r="FS168" t="e">
            <v>#N/A</v>
          </cell>
          <cell r="FT168" t="e">
            <v>#N/A</v>
          </cell>
          <cell r="FU168" t="e">
            <v>#N/A</v>
          </cell>
          <cell r="FV168" t="e">
            <v>#N/A</v>
          </cell>
          <cell r="FW168" t="e">
            <v>#N/A</v>
          </cell>
          <cell r="FX168" t="e">
            <v>#N/A</v>
          </cell>
          <cell r="FY168" t="e">
            <v>#N/A</v>
          </cell>
          <cell r="FZ168" t="e">
            <v>#N/A</v>
          </cell>
          <cell r="GA168" t="e">
            <v>#N/A</v>
          </cell>
          <cell r="GB168" t="e">
            <v>#N/A</v>
          </cell>
          <cell r="GC168" t="e">
            <v>#N/A</v>
          </cell>
          <cell r="GD168" t="e">
            <v>#N/A</v>
          </cell>
          <cell r="GE168" t="e">
            <v>#N/A</v>
          </cell>
          <cell r="GF168" t="e">
            <v>#N/A</v>
          </cell>
          <cell r="GG168" t="e">
            <v>#N/A</v>
          </cell>
          <cell r="GH168" t="e">
            <v>#N/A</v>
          </cell>
          <cell r="GI168" t="e">
            <v>#N/A</v>
          </cell>
          <cell r="GJ168" t="e">
            <v>#N/A</v>
          </cell>
          <cell r="GK168" t="e">
            <v>#N/A</v>
          </cell>
          <cell r="GL168" t="e">
            <v>#N/A</v>
          </cell>
          <cell r="GM168" t="e">
            <v>#N/A</v>
          </cell>
          <cell r="GN168" t="e">
            <v>#N/A</v>
          </cell>
          <cell r="GO168" t="e">
            <v>#N/A</v>
          </cell>
          <cell r="GP168" t="e">
            <v>#N/A</v>
          </cell>
          <cell r="GQ168" t="e">
            <v>#N/A</v>
          </cell>
          <cell r="GR168" t="e">
            <v>#N/A</v>
          </cell>
          <cell r="GS168" t="e">
            <v>#N/A</v>
          </cell>
          <cell r="GT168" t="e">
            <v>#N/A</v>
          </cell>
          <cell r="GU168" t="e">
            <v>#N/A</v>
          </cell>
          <cell r="GV168" t="e">
            <v>#N/A</v>
          </cell>
          <cell r="GW168" t="e">
            <v>#N/A</v>
          </cell>
          <cell r="GX168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_id"/>
      <sheetName val="Parameters"/>
    </sheetNames>
    <sheetDataSet>
      <sheetData sheetId="0">
        <row r="2">
          <cell r="IF2" t="str">
            <v>A</v>
          </cell>
          <cell r="II2" t="str">
            <v>F</v>
          </cell>
          <cell r="IO2" t="str">
            <v>L</v>
          </cell>
        </row>
        <row r="3">
          <cell r="II3" t="str">
            <v>N</v>
          </cell>
          <cell r="IO3" t="str">
            <v>V</v>
          </cell>
        </row>
        <row r="4">
          <cell r="II4" t="str">
            <v>C</v>
          </cell>
          <cell r="IO4" t="str">
            <v>Y</v>
          </cell>
        </row>
        <row r="5">
          <cell r="II5" t="str">
            <v>D</v>
          </cell>
        </row>
        <row r="6">
          <cell r="II6" t="str">
            <v>S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00"/>
      <sheetName val="1600"/>
      <sheetName val="Parameters"/>
      <sheetName val="VAL_row"/>
      <sheetName val="VAL_co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8479-01E0-4753-81E4-89D45FAD681D}">
  <dimension ref="A1:J252"/>
  <sheetViews>
    <sheetView topLeftCell="D1" workbookViewId="0">
      <selection activeCell="G6" sqref="G6"/>
    </sheetView>
  </sheetViews>
  <sheetFormatPr defaultColWidth="9.1328125" defaultRowHeight="14.25" x14ac:dyDescent="0.45"/>
  <cols>
    <col min="1" max="1" width="12.19921875" style="5" bestFit="1" customWidth="1"/>
    <col min="2" max="2" width="10.59765625" style="5" customWidth="1"/>
    <col min="3" max="3" width="12.19921875" style="1" customWidth="1"/>
    <col min="4" max="4" width="13.1328125" style="1" customWidth="1"/>
    <col min="5" max="5" width="11.86328125" style="1" customWidth="1"/>
    <col min="6" max="6" width="111" style="1" bestFit="1" customWidth="1"/>
    <col min="7" max="7" width="13.796875" style="1" bestFit="1" customWidth="1"/>
    <col min="8" max="8" width="13.796875" style="1" customWidth="1"/>
    <col min="9" max="9" width="17.265625" style="3" bestFit="1" customWidth="1"/>
    <col min="10" max="240" width="9.1328125" style="1"/>
    <col min="241" max="241" width="2.86328125" style="1" customWidth="1"/>
    <col min="242" max="243" width="10.59765625" style="1" customWidth="1"/>
    <col min="244" max="244" width="21.3984375" style="1" bestFit="1" customWidth="1"/>
    <col min="245" max="245" width="32.9296875" style="1" bestFit="1" customWidth="1"/>
    <col min="246" max="496" width="9.1328125" style="1"/>
    <col min="497" max="497" width="2.86328125" style="1" customWidth="1"/>
    <col min="498" max="499" width="10.59765625" style="1" customWidth="1"/>
    <col min="500" max="500" width="21.3984375" style="1" bestFit="1" customWidth="1"/>
    <col min="501" max="501" width="32.9296875" style="1" bestFit="1" customWidth="1"/>
    <col min="502" max="752" width="9.1328125" style="1"/>
    <col min="753" max="753" width="2.86328125" style="1" customWidth="1"/>
    <col min="754" max="755" width="10.59765625" style="1" customWidth="1"/>
    <col min="756" max="756" width="21.3984375" style="1" bestFit="1" customWidth="1"/>
    <col min="757" max="757" width="32.9296875" style="1" bestFit="1" customWidth="1"/>
    <col min="758" max="1008" width="9.1328125" style="1"/>
    <col min="1009" max="1009" width="2.86328125" style="1" customWidth="1"/>
    <col min="1010" max="1011" width="10.59765625" style="1" customWidth="1"/>
    <col min="1012" max="1012" width="21.3984375" style="1" bestFit="1" customWidth="1"/>
    <col min="1013" max="1013" width="32.9296875" style="1" bestFit="1" customWidth="1"/>
    <col min="1014" max="1264" width="9.1328125" style="1"/>
    <col min="1265" max="1265" width="2.86328125" style="1" customWidth="1"/>
    <col min="1266" max="1267" width="10.59765625" style="1" customWidth="1"/>
    <col min="1268" max="1268" width="21.3984375" style="1" bestFit="1" customWidth="1"/>
    <col min="1269" max="1269" width="32.9296875" style="1" bestFit="1" customWidth="1"/>
    <col min="1270" max="1520" width="9.1328125" style="1"/>
    <col min="1521" max="1521" width="2.86328125" style="1" customWidth="1"/>
    <col min="1522" max="1523" width="10.59765625" style="1" customWidth="1"/>
    <col min="1524" max="1524" width="21.3984375" style="1" bestFit="1" customWidth="1"/>
    <col min="1525" max="1525" width="32.9296875" style="1" bestFit="1" customWidth="1"/>
    <col min="1526" max="1776" width="9.1328125" style="1"/>
    <col min="1777" max="1777" width="2.86328125" style="1" customWidth="1"/>
    <col min="1778" max="1779" width="10.59765625" style="1" customWidth="1"/>
    <col min="1780" max="1780" width="21.3984375" style="1" bestFit="1" customWidth="1"/>
    <col min="1781" max="1781" width="32.9296875" style="1" bestFit="1" customWidth="1"/>
    <col min="1782" max="2032" width="9.1328125" style="1"/>
    <col min="2033" max="2033" width="2.86328125" style="1" customWidth="1"/>
    <col min="2034" max="2035" width="10.59765625" style="1" customWidth="1"/>
    <col min="2036" max="2036" width="21.3984375" style="1" bestFit="1" customWidth="1"/>
    <col min="2037" max="2037" width="32.9296875" style="1" bestFit="1" customWidth="1"/>
    <col min="2038" max="2288" width="9.1328125" style="1"/>
    <col min="2289" max="2289" width="2.86328125" style="1" customWidth="1"/>
    <col min="2290" max="2291" width="10.59765625" style="1" customWidth="1"/>
    <col min="2292" max="2292" width="21.3984375" style="1" bestFit="1" customWidth="1"/>
    <col min="2293" max="2293" width="32.9296875" style="1" bestFit="1" customWidth="1"/>
    <col min="2294" max="2544" width="9.1328125" style="1"/>
    <col min="2545" max="2545" width="2.86328125" style="1" customWidth="1"/>
    <col min="2546" max="2547" width="10.59765625" style="1" customWidth="1"/>
    <col min="2548" max="2548" width="21.3984375" style="1" bestFit="1" customWidth="1"/>
    <col min="2549" max="2549" width="32.9296875" style="1" bestFit="1" customWidth="1"/>
    <col min="2550" max="2800" width="9.1328125" style="1"/>
    <col min="2801" max="2801" width="2.86328125" style="1" customWidth="1"/>
    <col min="2802" max="2803" width="10.59765625" style="1" customWidth="1"/>
    <col min="2804" max="2804" width="21.3984375" style="1" bestFit="1" customWidth="1"/>
    <col min="2805" max="2805" width="32.9296875" style="1" bestFit="1" customWidth="1"/>
    <col min="2806" max="3056" width="9.1328125" style="1"/>
    <col min="3057" max="3057" width="2.86328125" style="1" customWidth="1"/>
    <col min="3058" max="3059" width="10.59765625" style="1" customWidth="1"/>
    <col min="3060" max="3060" width="21.3984375" style="1" bestFit="1" customWidth="1"/>
    <col min="3061" max="3061" width="32.9296875" style="1" bestFit="1" customWidth="1"/>
    <col min="3062" max="3312" width="9.1328125" style="1"/>
    <col min="3313" max="3313" width="2.86328125" style="1" customWidth="1"/>
    <col min="3314" max="3315" width="10.59765625" style="1" customWidth="1"/>
    <col min="3316" max="3316" width="21.3984375" style="1" bestFit="1" customWidth="1"/>
    <col min="3317" max="3317" width="32.9296875" style="1" bestFit="1" customWidth="1"/>
    <col min="3318" max="3568" width="9.1328125" style="1"/>
    <col min="3569" max="3569" width="2.86328125" style="1" customWidth="1"/>
    <col min="3570" max="3571" width="10.59765625" style="1" customWidth="1"/>
    <col min="3572" max="3572" width="21.3984375" style="1" bestFit="1" customWidth="1"/>
    <col min="3573" max="3573" width="32.9296875" style="1" bestFit="1" customWidth="1"/>
    <col min="3574" max="3824" width="9.1328125" style="1"/>
    <col min="3825" max="3825" width="2.86328125" style="1" customWidth="1"/>
    <col min="3826" max="3827" width="10.59765625" style="1" customWidth="1"/>
    <col min="3828" max="3828" width="21.3984375" style="1" bestFit="1" customWidth="1"/>
    <col min="3829" max="3829" width="32.9296875" style="1" bestFit="1" customWidth="1"/>
    <col min="3830" max="4080" width="9.1328125" style="1"/>
    <col min="4081" max="4081" width="2.86328125" style="1" customWidth="1"/>
    <col min="4082" max="4083" width="10.59765625" style="1" customWidth="1"/>
    <col min="4084" max="4084" width="21.3984375" style="1" bestFit="1" customWidth="1"/>
    <col min="4085" max="4085" width="32.9296875" style="1" bestFit="1" customWidth="1"/>
    <col min="4086" max="4336" width="9.1328125" style="1"/>
    <col min="4337" max="4337" width="2.86328125" style="1" customWidth="1"/>
    <col min="4338" max="4339" width="10.59765625" style="1" customWidth="1"/>
    <col min="4340" max="4340" width="21.3984375" style="1" bestFit="1" customWidth="1"/>
    <col min="4341" max="4341" width="32.9296875" style="1" bestFit="1" customWidth="1"/>
    <col min="4342" max="4592" width="9.1328125" style="1"/>
    <col min="4593" max="4593" width="2.86328125" style="1" customWidth="1"/>
    <col min="4594" max="4595" width="10.59765625" style="1" customWidth="1"/>
    <col min="4596" max="4596" width="21.3984375" style="1" bestFit="1" customWidth="1"/>
    <col min="4597" max="4597" width="32.9296875" style="1" bestFit="1" customWidth="1"/>
    <col min="4598" max="4848" width="9.1328125" style="1"/>
    <col min="4849" max="4849" width="2.86328125" style="1" customWidth="1"/>
    <col min="4850" max="4851" width="10.59765625" style="1" customWidth="1"/>
    <col min="4852" max="4852" width="21.3984375" style="1" bestFit="1" customWidth="1"/>
    <col min="4853" max="4853" width="32.9296875" style="1" bestFit="1" customWidth="1"/>
    <col min="4854" max="5104" width="9.1328125" style="1"/>
    <col min="5105" max="5105" width="2.86328125" style="1" customWidth="1"/>
    <col min="5106" max="5107" width="10.59765625" style="1" customWidth="1"/>
    <col min="5108" max="5108" width="21.3984375" style="1" bestFit="1" customWidth="1"/>
    <col min="5109" max="5109" width="32.9296875" style="1" bestFit="1" customWidth="1"/>
    <col min="5110" max="5360" width="9.1328125" style="1"/>
    <col min="5361" max="5361" width="2.86328125" style="1" customWidth="1"/>
    <col min="5362" max="5363" width="10.59765625" style="1" customWidth="1"/>
    <col min="5364" max="5364" width="21.3984375" style="1" bestFit="1" customWidth="1"/>
    <col min="5365" max="5365" width="32.9296875" style="1" bestFit="1" customWidth="1"/>
    <col min="5366" max="5616" width="9.1328125" style="1"/>
    <col min="5617" max="5617" width="2.86328125" style="1" customWidth="1"/>
    <col min="5618" max="5619" width="10.59765625" style="1" customWidth="1"/>
    <col min="5620" max="5620" width="21.3984375" style="1" bestFit="1" customWidth="1"/>
    <col min="5621" max="5621" width="32.9296875" style="1" bestFit="1" customWidth="1"/>
    <col min="5622" max="5872" width="9.1328125" style="1"/>
    <col min="5873" max="5873" width="2.86328125" style="1" customWidth="1"/>
    <col min="5874" max="5875" width="10.59765625" style="1" customWidth="1"/>
    <col min="5876" max="5876" width="21.3984375" style="1" bestFit="1" customWidth="1"/>
    <col min="5877" max="5877" width="32.9296875" style="1" bestFit="1" customWidth="1"/>
    <col min="5878" max="6128" width="9.1328125" style="1"/>
    <col min="6129" max="6129" width="2.86328125" style="1" customWidth="1"/>
    <col min="6130" max="6131" width="10.59765625" style="1" customWidth="1"/>
    <col min="6132" max="6132" width="21.3984375" style="1" bestFit="1" customWidth="1"/>
    <col min="6133" max="6133" width="32.9296875" style="1" bestFit="1" customWidth="1"/>
    <col min="6134" max="6384" width="9.1328125" style="1"/>
    <col min="6385" max="6385" width="2.86328125" style="1" customWidth="1"/>
    <col min="6386" max="6387" width="10.59765625" style="1" customWidth="1"/>
    <col min="6388" max="6388" width="21.3984375" style="1" bestFit="1" customWidth="1"/>
    <col min="6389" max="6389" width="32.9296875" style="1" bestFit="1" customWidth="1"/>
    <col min="6390" max="6640" width="9.1328125" style="1"/>
    <col min="6641" max="6641" width="2.86328125" style="1" customWidth="1"/>
    <col min="6642" max="6643" width="10.59765625" style="1" customWidth="1"/>
    <col min="6644" max="6644" width="21.3984375" style="1" bestFit="1" customWidth="1"/>
    <col min="6645" max="6645" width="32.9296875" style="1" bestFit="1" customWidth="1"/>
    <col min="6646" max="6896" width="9.1328125" style="1"/>
    <col min="6897" max="6897" width="2.86328125" style="1" customWidth="1"/>
    <col min="6898" max="6899" width="10.59765625" style="1" customWidth="1"/>
    <col min="6900" max="6900" width="21.3984375" style="1" bestFit="1" customWidth="1"/>
    <col min="6901" max="6901" width="32.9296875" style="1" bestFit="1" customWidth="1"/>
    <col min="6902" max="7152" width="9.1328125" style="1"/>
    <col min="7153" max="7153" width="2.86328125" style="1" customWidth="1"/>
    <col min="7154" max="7155" width="10.59765625" style="1" customWidth="1"/>
    <col min="7156" max="7156" width="21.3984375" style="1" bestFit="1" customWidth="1"/>
    <col min="7157" max="7157" width="32.9296875" style="1" bestFit="1" customWidth="1"/>
    <col min="7158" max="7408" width="9.1328125" style="1"/>
    <col min="7409" max="7409" width="2.86328125" style="1" customWidth="1"/>
    <col min="7410" max="7411" width="10.59765625" style="1" customWidth="1"/>
    <col min="7412" max="7412" width="21.3984375" style="1" bestFit="1" customWidth="1"/>
    <col min="7413" max="7413" width="32.9296875" style="1" bestFit="1" customWidth="1"/>
    <col min="7414" max="7664" width="9.1328125" style="1"/>
    <col min="7665" max="7665" width="2.86328125" style="1" customWidth="1"/>
    <col min="7666" max="7667" width="10.59765625" style="1" customWidth="1"/>
    <col min="7668" max="7668" width="21.3984375" style="1" bestFit="1" customWidth="1"/>
    <col min="7669" max="7669" width="32.9296875" style="1" bestFit="1" customWidth="1"/>
    <col min="7670" max="7920" width="9.1328125" style="1"/>
    <col min="7921" max="7921" width="2.86328125" style="1" customWidth="1"/>
    <col min="7922" max="7923" width="10.59765625" style="1" customWidth="1"/>
    <col min="7924" max="7924" width="21.3984375" style="1" bestFit="1" customWidth="1"/>
    <col min="7925" max="7925" width="32.9296875" style="1" bestFit="1" customWidth="1"/>
    <col min="7926" max="8176" width="9.1328125" style="1"/>
    <col min="8177" max="8177" width="2.86328125" style="1" customWidth="1"/>
    <col min="8178" max="8179" width="10.59765625" style="1" customWidth="1"/>
    <col min="8180" max="8180" width="21.3984375" style="1" bestFit="1" customWidth="1"/>
    <col min="8181" max="8181" width="32.9296875" style="1" bestFit="1" customWidth="1"/>
    <col min="8182" max="8432" width="9.1328125" style="1"/>
    <col min="8433" max="8433" width="2.86328125" style="1" customWidth="1"/>
    <col min="8434" max="8435" width="10.59765625" style="1" customWidth="1"/>
    <col min="8436" max="8436" width="21.3984375" style="1" bestFit="1" customWidth="1"/>
    <col min="8437" max="8437" width="32.9296875" style="1" bestFit="1" customWidth="1"/>
    <col min="8438" max="8688" width="9.1328125" style="1"/>
    <col min="8689" max="8689" width="2.86328125" style="1" customWidth="1"/>
    <col min="8690" max="8691" width="10.59765625" style="1" customWidth="1"/>
    <col min="8692" max="8692" width="21.3984375" style="1" bestFit="1" customWidth="1"/>
    <col min="8693" max="8693" width="32.9296875" style="1" bestFit="1" customWidth="1"/>
    <col min="8694" max="8944" width="9.1328125" style="1"/>
    <col min="8945" max="8945" width="2.86328125" style="1" customWidth="1"/>
    <col min="8946" max="8947" width="10.59765625" style="1" customWidth="1"/>
    <col min="8948" max="8948" width="21.3984375" style="1" bestFit="1" customWidth="1"/>
    <col min="8949" max="8949" width="32.9296875" style="1" bestFit="1" customWidth="1"/>
    <col min="8950" max="9200" width="9.1328125" style="1"/>
    <col min="9201" max="9201" width="2.86328125" style="1" customWidth="1"/>
    <col min="9202" max="9203" width="10.59765625" style="1" customWidth="1"/>
    <col min="9204" max="9204" width="21.3984375" style="1" bestFit="1" customWidth="1"/>
    <col min="9205" max="9205" width="32.9296875" style="1" bestFit="1" customWidth="1"/>
    <col min="9206" max="9456" width="9.1328125" style="1"/>
    <col min="9457" max="9457" width="2.86328125" style="1" customWidth="1"/>
    <col min="9458" max="9459" width="10.59765625" style="1" customWidth="1"/>
    <col min="9460" max="9460" width="21.3984375" style="1" bestFit="1" customWidth="1"/>
    <col min="9461" max="9461" width="32.9296875" style="1" bestFit="1" customWidth="1"/>
    <col min="9462" max="9712" width="9.1328125" style="1"/>
    <col min="9713" max="9713" width="2.86328125" style="1" customWidth="1"/>
    <col min="9714" max="9715" width="10.59765625" style="1" customWidth="1"/>
    <col min="9716" max="9716" width="21.3984375" style="1" bestFit="1" customWidth="1"/>
    <col min="9717" max="9717" width="32.9296875" style="1" bestFit="1" customWidth="1"/>
    <col min="9718" max="9968" width="9.1328125" style="1"/>
    <col min="9969" max="9969" width="2.86328125" style="1" customWidth="1"/>
    <col min="9970" max="9971" width="10.59765625" style="1" customWidth="1"/>
    <col min="9972" max="9972" width="21.3984375" style="1" bestFit="1" customWidth="1"/>
    <col min="9973" max="9973" width="32.9296875" style="1" bestFit="1" customWidth="1"/>
    <col min="9974" max="10224" width="9.1328125" style="1"/>
    <col min="10225" max="10225" width="2.86328125" style="1" customWidth="1"/>
    <col min="10226" max="10227" width="10.59765625" style="1" customWidth="1"/>
    <col min="10228" max="10228" width="21.3984375" style="1" bestFit="1" customWidth="1"/>
    <col min="10229" max="10229" width="32.9296875" style="1" bestFit="1" customWidth="1"/>
    <col min="10230" max="10480" width="9.1328125" style="1"/>
    <col min="10481" max="10481" width="2.86328125" style="1" customWidth="1"/>
    <col min="10482" max="10483" width="10.59765625" style="1" customWidth="1"/>
    <col min="10484" max="10484" width="21.3984375" style="1" bestFit="1" customWidth="1"/>
    <col min="10485" max="10485" width="32.9296875" style="1" bestFit="1" customWidth="1"/>
    <col min="10486" max="10736" width="9.1328125" style="1"/>
    <col min="10737" max="10737" width="2.86328125" style="1" customWidth="1"/>
    <col min="10738" max="10739" width="10.59765625" style="1" customWidth="1"/>
    <col min="10740" max="10740" width="21.3984375" style="1" bestFit="1" customWidth="1"/>
    <col min="10741" max="10741" width="32.9296875" style="1" bestFit="1" customWidth="1"/>
    <col min="10742" max="10992" width="9.1328125" style="1"/>
    <col min="10993" max="10993" width="2.86328125" style="1" customWidth="1"/>
    <col min="10994" max="10995" width="10.59765625" style="1" customWidth="1"/>
    <col min="10996" max="10996" width="21.3984375" style="1" bestFit="1" customWidth="1"/>
    <col min="10997" max="10997" width="32.9296875" style="1" bestFit="1" customWidth="1"/>
    <col min="10998" max="11248" width="9.1328125" style="1"/>
    <col min="11249" max="11249" width="2.86328125" style="1" customWidth="1"/>
    <col min="11250" max="11251" width="10.59765625" style="1" customWidth="1"/>
    <col min="11252" max="11252" width="21.3984375" style="1" bestFit="1" customWidth="1"/>
    <col min="11253" max="11253" width="32.9296875" style="1" bestFit="1" customWidth="1"/>
    <col min="11254" max="11504" width="9.1328125" style="1"/>
    <col min="11505" max="11505" width="2.86328125" style="1" customWidth="1"/>
    <col min="11506" max="11507" width="10.59765625" style="1" customWidth="1"/>
    <col min="11508" max="11508" width="21.3984375" style="1" bestFit="1" customWidth="1"/>
    <col min="11509" max="11509" width="32.9296875" style="1" bestFit="1" customWidth="1"/>
    <col min="11510" max="11760" width="9.1328125" style="1"/>
    <col min="11761" max="11761" width="2.86328125" style="1" customWidth="1"/>
    <col min="11762" max="11763" width="10.59765625" style="1" customWidth="1"/>
    <col min="11764" max="11764" width="21.3984375" style="1" bestFit="1" customWidth="1"/>
    <col min="11765" max="11765" width="32.9296875" style="1" bestFit="1" customWidth="1"/>
    <col min="11766" max="12016" width="9.1328125" style="1"/>
    <col min="12017" max="12017" width="2.86328125" style="1" customWidth="1"/>
    <col min="12018" max="12019" width="10.59765625" style="1" customWidth="1"/>
    <col min="12020" max="12020" width="21.3984375" style="1" bestFit="1" customWidth="1"/>
    <col min="12021" max="12021" width="32.9296875" style="1" bestFit="1" customWidth="1"/>
    <col min="12022" max="12272" width="9.1328125" style="1"/>
    <col min="12273" max="12273" width="2.86328125" style="1" customWidth="1"/>
    <col min="12274" max="12275" width="10.59765625" style="1" customWidth="1"/>
    <col min="12276" max="12276" width="21.3984375" style="1" bestFit="1" customWidth="1"/>
    <col min="12277" max="12277" width="32.9296875" style="1" bestFit="1" customWidth="1"/>
    <col min="12278" max="12528" width="9.1328125" style="1"/>
    <col min="12529" max="12529" width="2.86328125" style="1" customWidth="1"/>
    <col min="12530" max="12531" width="10.59765625" style="1" customWidth="1"/>
    <col min="12532" max="12532" width="21.3984375" style="1" bestFit="1" customWidth="1"/>
    <col min="12533" max="12533" width="32.9296875" style="1" bestFit="1" customWidth="1"/>
    <col min="12534" max="12784" width="9.1328125" style="1"/>
    <col min="12785" max="12785" width="2.86328125" style="1" customWidth="1"/>
    <col min="12786" max="12787" width="10.59765625" style="1" customWidth="1"/>
    <col min="12788" max="12788" width="21.3984375" style="1" bestFit="1" customWidth="1"/>
    <col min="12789" max="12789" width="32.9296875" style="1" bestFit="1" customWidth="1"/>
    <col min="12790" max="13040" width="9.1328125" style="1"/>
    <col min="13041" max="13041" width="2.86328125" style="1" customWidth="1"/>
    <col min="13042" max="13043" width="10.59765625" style="1" customWidth="1"/>
    <col min="13044" max="13044" width="21.3984375" style="1" bestFit="1" customWidth="1"/>
    <col min="13045" max="13045" width="32.9296875" style="1" bestFit="1" customWidth="1"/>
    <col min="13046" max="13296" width="9.1328125" style="1"/>
    <col min="13297" max="13297" width="2.86328125" style="1" customWidth="1"/>
    <col min="13298" max="13299" width="10.59765625" style="1" customWidth="1"/>
    <col min="13300" max="13300" width="21.3984375" style="1" bestFit="1" customWidth="1"/>
    <col min="13301" max="13301" width="32.9296875" style="1" bestFit="1" customWidth="1"/>
    <col min="13302" max="13552" width="9.1328125" style="1"/>
    <col min="13553" max="13553" width="2.86328125" style="1" customWidth="1"/>
    <col min="13554" max="13555" width="10.59765625" style="1" customWidth="1"/>
    <col min="13556" max="13556" width="21.3984375" style="1" bestFit="1" customWidth="1"/>
    <col min="13557" max="13557" width="32.9296875" style="1" bestFit="1" customWidth="1"/>
    <col min="13558" max="13808" width="9.1328125" style="1"/>
    <col min="13809" max="13809" width="2.86328125" style="1" customWidth="1"/>
    <col min="13810" max="13811" width="10.59765625" style="1" customWidth="1"/>
    <col min="13812" max="13812" width="21.3984375" style="1" bestFit="1" customWidth="1"/>
    <col min="13813" max="13813" width="32.9296875" style="1" bestFit="1" customWidth="1"/>
    <col min="13814" max="14064" width="9.1328125" style="1"/>
    <col min="14065" max="14065" width="2.86328125" style="1" customWidth="1"/>
    <col min="14066" max="14067" width="10.59765625" style="1" customWidth="1"/>
    <col min="14068" max="14068" width="21.3984375" style="1" bestFit="1" customWidth="1"/>
    <col min="14069" max="14069" width="32.9296875" style="1" bestFit="1" customWidth="1"/>
    <col min="14070" max="14320" width="9.1328125" style="1"/>
    <col min="14321" max="14321" width="2.86328125" style="1" customWidth="1"/>
    <col min="14322" max="14323" width="10.59765625" style="1" customWidth="1"/>
    <col min="14324" max="14324" width="21.3984375" style="1" bestFit="1" customWidth="1"/>
    <col min="14325" max="14325" width="32.9296875" style="1" bestFit="1" customWidth="1"/>
    <col min="14326" max="14576" width="9.1328125" style="1"/>
    <col min="14577" max="14577" width="2.86328125" style="1" customWidth="1"/>
    <col min="14578" max="14579" width="10.59765625" style="1" customWidth="1"/>
    <col min="14580" max="14580" width="21.3984375" style="1" bestFit="1" customWidth="1"/>
    <col min="14581" max="14581" width="32.9296875" style="1" bestFit="1" customWidth="1"/>
    <col min="14582" max="14832" width="9.1328125" style="1"/>
    <col min="14833" max="14833" width="2.86328125" style="1" customWidth="1"/>
    <col min="14834" max="14835" width="10.59765625" style="1" customWidth="1"/>
    <col min="14836" max="14836" width="21.3984375" style="1" bestFit="1" customWidth="1"/>
    <col min="14837" max="14837" width="32.9296875" style="1" bestFit="1" customWidth="1"/>
    <col min="14838" max="15088" width="9.1328125" style="1"/>
    <col min="15089" max="15089" width="2.86328125" style="1" customWidth="1"/>
    <col min="15090" max="15091" width="10.59765625" style="1" customWidth="1"/>
    <col min="15092" max="15092" width="21.3984375" style="1" bestFit="1" customWidth="1"/>
    <col min="15093" max="15093" width="32.9296875" style="1" bestFit="1" customWidth="1"/>
    <col min="15094" max="15344" width="9.1328125" style="1"/>
    <col min="15345" max="15345" width="2.86328125" style="1" customWidth="1"/>
    <col min="15346" max="15347" width="10.59765625" style="1" customWidth="1"/>
    <col min="15348" max="15348" width="21.3984375" style="1" bestFit="1" customWidth="1"/>
    <col min="15349" max="15349" width="32.9296875" style="1" bestFit="1" customWidth="1"/>
    <col min="15350" max="15600" width="9.1328125" style="1"/>
    <col min="15601" max="15601" width="2.86328125" style="1" customWidth="1"/>
    <col min="15602" max="15603" width="10.59765625" style="1" customWidth="1"/>
    <col min="15604" max="15604" width="21.3984375" style="1" bestFit="1" customWidth="1"/>
    <col min="15605" max="15605" width="32.9296875" style="1" bestFit="1" customWidth="1"/>
    <col min="15606" max="15856" width="9.1328125" style="1"/>
    <col min="15857" max="15857" width="2.86328125" style="1" customWidth="1"/>
    <col min="15858" max="15859" width="10.59765625" style="1" customWidth="1"/>
    <col min="15860" max="15860" width="21.3984375" style="1" bestFit="1" customWidth="1"/>
    <col min="15861" max="15861" width="32.9296875" style="1" bestFit="1" customWidth="1"/>
    <col min="15862" max="16112" width="9.1328125" style="1"/>
    <col min="16113" max="16113" width="2.86328125" style="1" customWidth="1"/>
    <col min="16114" max="16115" width="10.59765625" style="1" customWidth="1"/>
    <col min="16116" max="16116" width="21.3984375" style="1" bestFit="1" customWidth="1"/>
    <col min="16117" max="16117" width="32.9296875" style="1" bestFit="1" customWidth="1"/>
    <col min="16118" max="16384" width="9.1328125" style="1"/>
  </cols>
  <sheetData>
    <row r="1" spans="1:10" ht="57.7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6" t="s">
        <v>338</v>
      </c>
      <c r="F1" s="26" t="s">
        <v>337</v>
      </c>
      <c r="G1" s="26" t="s">
        <v>339</v>
      </c>
      <c r="H1" s="60" t="s">
        <v>375</v>
      </c>
      <c r="I1" s="25" t="s">
        <v>336</v>
      </c>
      <c r="J1" s="27"/>
    </row>
    <row r="2" spans="1:10" x14ac:dyDescent="0.45">
      <c r="A2" s="3" t="s">
        <v>4</v>
      </c>
      <c r="B2" s="3">
        <v>10.6</v>
      </c>
      <c r="C2" s="3">
        <v>0.22899999999999998</v>
      </c>
      <c r="D2" s="4">
        <v>1</v>
      </c>
      <c r="E2" s="1" t="s">
        <v>148</v>
      </c>
      <c r="F2" s="1" t="s">
        <v>149</v>
      </c>
      <c r="G2" s="1">
        <f>VLOOKUP(E2,Effects!A:J,10,FALSE)</f>
        <v>0.6837774650721069</v>
      </c>
      <c r="H2" s="1">
        <f>VLOOKUP(E2,IOT!$A$6:$DO$115, 119, FALSE)</f>
        <v>5525</v>
      </c>
      <c r="I2" s="3">
        <v>1</v>
      </c>
    </row>
    <row r="3" spans="1:10" x14ac:dyDescent="0.45">
      <c r="A3" s="3" t="s">
        <v>4</v>
      </c>
      <c r="B3" s="3">
        <v>10.7</v>
      </c>
      <c r="C3" s="3">
        <v>0.58599999999999997</v>
      </c>
      <c r="D3" s="4">
        <v>1</v>
      </c>
      <c r="E3" s="1" t="s">
        <v>150</v>
      </c>
      <c r="F3" s="1" t="s">
        <v>151</v>
      </c>
      <c r="G3" s="1">
        <f>VLOOKUP(E3,Effects!A:J,10,FALSE)</f>
        <v>0.83732068968493745</v>
      </c>
      <c r="H3" s="1">
        <f>VLOOKUP(E3,IOT!$A$6:$DO$115, 119, FALSE)</f>
        <v>10442</v>
      </c>
      <c r="I3" s="3">
        <v>1</v>
      </c>
    </row>
    <row r="4" spans="1:10" x14ac:dyDescent="0.45">
      <c r="A4" s="3" t="s">
        <v>4</v>
      </c>
      <c r="B4" s="3">
        <v>10.8</v>
      </c>
      <c r="C4" s="3">
        <v>0.18600000000000003</v>
      </c>
      <c r="D4" s="4">
        <v>0.16716359865180191</v>
      </c>
      <c r="E4" s="1" t="s">
        <v>152</v>
      </c>
      <c r="F4" s="1" t="s">
        <v>153</v>
      </c>
      <c r="G4" s="1">
        <f>VLOOKUP(E4,Effects!A:J,10,FALSE)</f>
        <v>0.80208711614005879</v>
      </c>
      <c r="H4" s="1">
        <f>VLOOKUP(E4,IOT!$A$6:$DO$115, 119, FALSE)</f>
        <v>15111</v>
      </c>
      <c r="I4" s="3">
        <v>1</v>
      </c>
    </row>
    <row r="5" spans="1:10" x14ac:dyDescent="0.45">
      <c r="A5" s="3" t="s">
        <v>5</v>
      </c>
      <c r="B5" s="3">
        <v>10.1</v>
      </c>
      <c r="C5" s="3">
        <v>1</v>
      </c>
      <c r="D5" s="4">
        <v>1</v>
      </c>
      <c r="E5" s="1" t="s">
        <v>140</v>
      </c>
      <c r="F5" s="1" t="s">
        <v>141</v>
      </c>
      <c r="G5" s="1">
        <f>VLOOKUP(E5,Effects!A:J,10,FALSE)</f>
        <v>0.82076239815135565</v>
      </c>
      <c r="H5" s="1">
        <f>VLOOKUP(E5,IOT!$A$6:$DO$115, 119, FALSE)</f>
        <v>20383</v>
      </c>
      <c r="I5" s="3">
        <v>1</v>
      </c>
    </row>
    <row r="6" spans="1:10" x14ac:dyDescent="0.45">
      <c r="A6" s="3" t="s">
        <v>6</v>
      </c>
      <c r="B6" s="3">
        <v>3</v>
      </c>
      <c r="C6" s="3">
        <v>0.14000000000000001</v>
      </c>
      <c r="D6" s="4">
        <v>1</v>
      </c>
      <c r="E6" s="1" t="s">
        <v>130</v>
      </c>
      <c r="F6" s="1" t="s">
        <v>131</v>
      </c>
      <c r="G6" s="1">
        <f>VLOOKUP(E6,Effects!A:J,10,FALSE)</f>
        <v>0.72841081830891874</v>
      </c>
      <c r="H6" s="1">
        <f>VLOOKUP(E6,IOT!$A$6:$DO$115, 119, FALSE)</f>
        <v>2084</v>
      </c>
      <c r="I6" s="3">
        <v>1</v>
      </c>
    </row>
    <row r="7" spans="1:10" x14ac:dyDescent="0.45">
      <c r="A7" s="3" t="s">
        <v>6</v>
      </c>
      <c r="B7" s="3" t="s">
        <v>7</v>
      </c>
      <c r="C7" s="3">
        <v>0.86</v>
      </c>
      <c r="D7" s="4">
        <v>0.23261355174981385</v>
      </c>
      <c r="E7" s="1" t="s">
        <v>142</v>
      </c>
      <c r="F7" s="1" t="s">
        <v>143</v>
      </c>
      <c r="G7" s="1">
        <f>VLOOKUP(E7,Effects!A:J,10,FALSE)</f>
        <v>0.80865224036576422</v>
      </c>
      <c r="H7" s="1">
        <f>VLOOKUP(E7,IOT!$A$6:$DO$115, 119, FALSE)</f>
        <v>9416</v>
      </c>
      <c r="I7" s="3">
        <v>1</v>
      </c>
    </row>
    <row r="8" spans="1:10" x14ac:dyDescent="0.45">
      <c r="A8" s="3" t="s">
        <v>8</v>
      </c>
      <c r="B8" s="3">
        <v>1</v>
      </c>
      <c r="C8" s="3">
        <v>0.10300000000000001</v>
      </c>
      <c r="D8" s="4">
        <v>6.7762416187029009E-2</v>
      </c>
      <c r="E8" s="1" t="s">
        <v>126</v>
      </c>
      <c r="F8" s="1" t="s">
        <v>127</v>
      </c>
      <c r="G8" s="1">
        <f>VLOOKUP(E8,Effects!A:J,10,FALSE)</f>
        <v>0.82751497358447768</v>
      </c>
      <c r="H8" s="1">
        <f>VLOOKUP(E8,IOT!$A$6:$DO$115, 119, FALSE)</f>
        <v>28145</v>
      </c>
      <c r="I8" s="3">
        <v>1</v>
      </c>
    </row>
    <row r="9" spans="1:10" x14ac:dyDescent="0.45">
      <c r="A9" s="3" t="s">
        <v>8</v>
      </c>
      <c r="B9" s="3">
        <v>10.5</v>
      </c>
      <c r="C9" s="3">
        <v>0.89700000000000002</v>
      </c>
      <c r="D9" s="4">
        <v>0.84610128960628572</v>
      </c>
      <c r="E9" s="1" t="s">
        <v>146</v>
      </c>
      <c r="F9" s="1" t="s">
        <v>147</v>
      </c>
      <c r="G9" s="1">
        <f>VLOOKUP(E9,Effects!A:J,10,FALSE)</f>
        <v>0.83098005672743025</v>
      </c>
      <c r="H9" s="1">
        <f>VLOOKUP(E9,IOT!$A$6:$DO$115, 119, FALSE)</f>
        <v>9693</v>
      </c>
      <c r="I9" s="3">
        <v>1</v>
      </c>
    </row>
    <row r="10" spans="1:10" x14ac:dyDescent="0.45">
      <c r="A10" s="3" t="s">
        <v>9</v>
      </c>
      <c r="B10" s="3">
        <v>10.4</v>
      </c>
      <c r="C10" s="3">
        <v>0.61399999999999999</v>
      </c>
      <c r="D10" s="4">
        <v>1</v>
      </c>
      <c r="E10" s="1" t="s">
        <v>144</v>
      </c>
      <c r="F10" s="1" t="s">
        <v>145</v>
      </c>
      <c r="G10" s="1">
        <f>VLOOKUP(E10,Effects!A:J,10,FALSE)</f>
        <v>0.60233539256614521</v>
      </c>
      <c r="H10" s="1">
        <f>VLOOKUP(E10,IOT!$A$6:$DO$115, 119, FALSE)</f>
        <v>1717</v>
      </c>
      <c r="I10" s="3">
        <v>1</v>
      </c>
    </row>
    <row r="11" spans="1:10" x14ac:dyDescent="0.45">
      <c r="A11" s="3" t="s">
        <v>9</v>
      </c>
      <c r="B11" s="3">
        <v>10.5</v>
      </c>
      <c r="C11" s="3">
        <v>0.38600000000000001</v>
      </c>
      <c r="D11" s="4">
        <v>6.3540866000512425E-2</v>
      </c>
      <c r="E11" s="1" t="s">
        <v>146</v>
      </c>
      <c r="F11" s="1" t="s">
        <v>147</v>
      </c>
      <c r="G11" s="1">
        <f>VLOOKUP(E11,Effects!A:J,10,FALSE)</f>
        <v>0.83098005672743025</v>
      </c>
      <c r="H11" s="1">
        <f>VLOOKUP(E11,IOT!$A$6:$DO$115, 119, FALSE)</f>
        <v>9693</v>
      </c>
      <c r="I11" s="3">
        <v>1</v>
      </c>
    </row>
    <row r="12" spans="1:10" x14ac:dyDescent="0.45">
      <c r="A12" s="3" t="s">
        <v>10</v>
      </c>
      <c r="B12" s="3">
        <v>1</v>
      </c>
      <c r="C12" s="3">
        <v>0.93</v>
      </c>
      <c r="D12" s="4">
        <v>0.40853260547083603</v>
      </c>
      <c r="E12" s="1" t="s">
        <v>126</v>
      </c>
      <c r="F12" s="1" t="s">
        <v>127</v>
      </c>
      <c r="G12" s="1">
        <f>VLOOKUP(E12,Effects!A:J,10,FALSE)</f>
        <v>0.82751497358447768</v>
      </c>
      <c r="H12" s="1">
        <f>VLOOKUP(E12,IOT!$A$6:$DO$115, 119, FALSE)</f>
        <v>28145</v>
      </c>
      <c r="I12" s="3">
        <v>1</v>
      </c>
    </row>
    <row r="13" spans="1:10" x14ac:dyDescent="0.45">
      <c r="A13" s="3" t="s">
        <v>10</v>
      </c>
      <c r="B13" s="3" t="s">
        <v>7</v>
      </c>
      <c r="C13" s="3">
        <v>6.9000000000000006E-2</v>
      </c>
      <c r="D13" s="4">
        <v>3.7974683544303799E-2</v>
      </c>
      <c r="E13" s="1" t="s">
        <v>142</v>
      </c>
      <c r="F13" s="1" t="s">
        <v>143</v>
      </c>
      <c r="G13" s="1">
        <f>VLOOKUP(E13,Effects!A:J,10,FALSE)</f>
        <v>0.80865224036576422</v>
      </c>
      <c r="H13" s="1">
        <f>VLOOKUP(E13,IOT!$A$6:$DO$115, 119, FALSE)</f>
        <v>9416</v>
      </c>
      <c r="I13" s="3">
        <v>1</v>
      </c>
    </row>
    <row r="14" spans="1:10" x14ac:dyDescent="0.45">
      <c r="A14" s="3" t="s">
        <v>10</v>
      </c>
      <c r="B14" s="3">
        <v>10.8</v>
      </c>
      <c r="C14" s="3">
        <v>1E-3</v>
      </c>
      <c r="D14" s="4">
        <v>6.4817215452424163E-4</v>
      </c>
      <c r="E14" s="1" t="s">
        <v>152</v>
      </c>
      <c r="F14" s="1" t="s">
        <v>153</v>
      </c>
      <c r="G14" s="1">
        <f>VLOOKUP(E14,Effects!A:J,10,FALSE)</f>
        <v>0.80208711614005879</v>
      </c>
      <c r="H14" s="1">
        <f>VLOOKUP(E14,IOT!$A$6:$DO$115, 119, FALSE)</f>
        <v>15111</v>
      </c>
      <c r="I14" s="3">
        <v>1</v>
      </c>
    </row>
    <row r="15" spans="1:10" x14ac:dyDescent="0.45">
      <c r="A15" s="3" t="s">
        <v>11</v>
      </c>
      <c r="B15" s="3">
        <v>1</v>
      </c>
      <c r="C15" s="3">
        <v>0.44299999999999995</v>
      </c>
      <c r="D15" s="4">
        <v>0.33999881326766745</v>
      </c>
      <c r="E15" s="1" t="s">
        <v>126</v>
      </c>
      <c r="F15" s="1" t="s">
        <v>127</v>
      </c>
      <c r="G15" s="1">
        <f>VLOOKUP(E15,Effects!A:J,10,FALSE)</f>
        <v>0.82751497358447768</v>
      </c>
      <c r="H15" s="1">
        <f>VLOOKUP(E15,IOT!$A$6:$DO$115, 119, FALSE)</f>
        <v>28145</v>
      </c>
      <c r="I15" s="3">
        <v>1</v>
      </c>
    </row>
    <row r="16" spans="1:10" x14ac:dyDescent="0.45">
      <c r="A16" s="3" t="s">
        <v>11</v>
      </c>
      <c r="B16" s="3" t="s">
        <v>7</v>
      </c>
      <c r="C16" s="3">
        <v>0.55700000000000005</v>
      </c>
      <c r="D16" s="4">
        <v>0.53670886075949364</v>
      </c>
      <c r="E16" s="1" t="s">
        <v>142</v>
      </c>
      <c r="F16" s="1" t="s">
        <v>143</v>
      </c>
      <c r="G16" s="1">
        <f>VLOOKUP(E16,Effects!A:J,10,FALSE)</f>
        <v>0.80865224036576422</v>
      </c>
      <c r="H16" s="1">
        <f>VLOOKUP(E16,IOT!$A$6:$DO$115, 119, FALSE)</f>
        <v>9416</v>
      </c>
      <c r="I16" s="3">
        <v>1</v>
      </c>
    </row>
    <row r="17" spans="1:9" x14ac:dyDescent="0.45">
      <c r="A17" s="3" t="s">
        <v>12</v>
      </c>
      <c r="B17" s="3" t="s">
        <v>7</v>
      </c>
      <c r="C17" s="3">
        <v>4.0999999999999995E-2</v>
      </c>
      <c r="D17" s="4">
        <v>3.0379746835443037E-2</v>
      </c>
      <c r="E17" s="1" t="s">
        <v>142</v>
      </c>
      <c r="F17" s="1" t="s">
        <v>143</v>
      </c>
      <c r="G17" s="1">
        <f>VLOOKUP(E17,Effects!A:J,10,FALSE)</f>
        <v>0.80865224036576422</v>
      </c>
      <c r="H17" s="1">
        <f>VLOOKUP(E17,IOT!$A$6:$DO$115, 119, FALSE)</f>
        <v>9416</v>
      </c>
      <c r="I17" s="3">
        <v>1</v>
      </c>
    </row>
    <row r="18" spans="1:9" x14ac:dyDescent="0.45">
      <c r="A18" s="3" t="s">
        <v>12</v>
      </c>
      <c r="B18" s="3">
        <v>10.5</v>
      </c>
      <c r="C18" s="3">
        <v>0.107</v>
      </c>
      <c r="D18" s="4">
        <v>9.0357844393201811E-2</v>
      </c>
      <c r="E18" s="1" t="s">
        <v>146</v>
      </c>
      <c r="F18" s="1" t="s">
        <v>147</v>
      </c>
      <c r="G18" s="1">
        <f>VLOOKUP(E18,Effects!A:J,10,FALSE)</f>
        <v>0.83098005672743025</v>
      </c>
      <c r="H18" s="1">
        <f>VLOOKUP(E18,IOT!$A$6:$DO$115, 119, FALSE)</f>
        <v>9693</v>
      </c>
      <c r="I18" s="3">
        <v>1</v>
      </c>
    </row>
    <row r="19" spans="1:9" x14ac:dyDescent="0.45">
      <c r="A19" s="3" t="s">
        <v>12</v>
      </c>
      <c r="B19" s="3">
        <v>10.8</v>
      </c>
      <c r="C19" s="3">
        <v>0.85099999999999998</v>
      </c>
      <c r="D19" s="4">
        <v>0.54478869587762513</v>
      </c>
      <c r="E19" s="1" t="s">
        <v>152</v>
      </c>
      <c r="F19" s="1" t="s">
        <v>153</v>
      </c>
      <c r="G19" s="1">
        <f>VLOOKUP(E19,Effects!A:J,10,FALSE)</f>
        <v>0.80208711614005879</v>
      </c>
      <c r="H19" s="1">
        <f>VLOOKUP(E19,IOT!$A$6:$DO$115, 119, FALSE)</f>
        <v>15111</v>
      </c>
      <c r="I19" s="3">
        <v>1</v>
      </c>
    </row>
    <row r="20" spans="1:9" x14ac:dyDescent="0.45">
      <c r="A20" s="3" t="s">
        <v>13</v>
      </c>
      <c r="B20" s="3">
        <v>1</v>
      </c>
      <c r="C20" s="3">
        <v>0.25</v>
      </c>
      <c r="D20" s="4">
        <v>3.5957989675428709E-2</v>
      </c>
      <c r="E20" s="1" t="s">
        <v>126</v>
      </c>
      <c r="F20" s="1" t="s">
        <v>127</v>
      </c>
      <c r="G20" s="1">
        <f>VLOOKUP(E20,Effects!A:J,10,FALSE)</f>
        <v>0.82751497358447768</v>
      </c>
      <c r="H20" s="1">
        <f>VLOOKUP(E20,IOT!$A$6:$DO$115, 119, FALSE)</f>
        <v>28145</v>
      </c>
      <c r="I20" s="3">
        <v>1</v>
      </c>
    </row>
    <row r="21" spans="1:9" x14ac:dyDescent="0.45">
      <c r="A21" s="3" t="s">
        <v>13</v>
      </c>
      <c r="B21" s="3">
        <v>10.8</v>
      </c>
      <c r="C21" s="3">
        <v>0.75</v>
      </c>
      <c r="D21" s="4">
        <v>0.11790251490795955</v>
      </c>
      <c r="E21" s="1" t="s">
        <v>152</v>
      </c>
      <c r="F21" s="1" t="s">
        <v>153</v>
      </c>
      <c r="G21" s="1">
        <f>VLOOKUP(E21,Effects!A:J,10,FALSE)</f>
        <v>0.80208711614005879</v>
      </c>
      <c r="H21" s="1">
        <f>VLOOKUP(E21,IOT!$A$6:$DO$115, 119, FALSE)</f>
        <v>15111</v>
      </c>
      <c r="I21" s="3">
        <v>1</v>
      </c>
    </row>
    <row r="22" spans="1:9" x14ac:dyDescent="0.45">
      <c r="A22" s="3" t="s">
        <v>14</v>
      </c>
      <c r="B22" s="3">
        <v>10.8</v>
      </c>
      <c r="C22" s="3">
        <v>1</v>
      </c>
      <c r="D22" s="4">
        <v>0.1694970184080892</v>
      </c>
      <c r="E22" s="1" t="s">
        <v>152</v>
      </c>
      <c r="F22" s="1" t="s">
        <v>153</v>
      </c>
      <c r="G22" s="1">
        <f>VLOOKUP(E22,Effects!A:J,10,FALSE)</f>
        <v>0.80208711614005879</v>
      </c>
      <c r="H22" s="1">
        <f>VLOOKUP(E22,IOT!$A$6:$DO$115, 119, FALSE)</f>
        <v>15111</v>
      </c>
      <c r="I22" s="3">
        <v>1</v>
      </c>
    </row>
    <row r="23" spans="1:9" x14ac:dyDescent="0.45">
      <c r="A23" s="3" t="s">
        <v>15</v>
      </c>
      <c r="B23" s="3" t="s">
        <v>7</v>
      </c>
      <c r="C23" s="3">
        <v>0.26100000000000001</v>
      </c>
      <c r="D23" s="4">
        <v>0.16232315711094564</v>
      </c>
      <c r="E23" s="1" t="s">
        <v>142</v>
      </c>
      <c r="F23" s="1" t="s">
        <v>143</v>
      </c>
      <c r="G23" s="1">
        <f>VLOOKUP(E23,Effects!A:J,10,FALSE)</f>
        <v>0.80865224036576422</v>
      </c>
      <c r="H23" s="1">
        <f>VLOOKUP(E23,IOT!$A$6:$DO$115, 119, FALSE)</f>
        <v>9416</v>
      </c>
      <c r="I23" s="3">
        <v>1</v>
      </c>
    </row>
    <row r="24" spans="1:9" x14ac:dyDescent="0.45">
      <c r="A24" s="3" t="s">
        <v>15</v>
      </c>
      <c r="B24" s="3">
        <v>11.07</v>
      </c>
      <c r="C24" s="3">
        <v>0.7390000000000001</v>
      </c>
      <c r="D24" s="4">
        <v>1</v>
      </c>
      <c r="E24" s="1" t="s">
        <v>158</v>
      </c>
      <c r="F24" s="1" t="s">
        <v>159</v>
      </c>
      <c r="G24" s="1">
        <f>VLOOKUP(E24,Effects!A:J,10,FALSE)</f>
        <v>0.79066310622469038</v>
      </c>
      <c r="H24" s="1">
        <f>VLOOKUP(E24,IOT!$A$6:$DO$115, 119, FALSE)</f>
        <v>4930</v>
      </c>
      <c r="I24" s="3">
        <v>1</v>
      </c>
    </row>
    <row r="25" spans="1:9" x14ac:dyDescent="0.45">
      <c r="A25" s="3" t="s">
        <v>16</v>
      </c>
      <c r="B25" s="3" t="s">
        <v>17</v>
      </c>
      <c r="C25" s="3">
        <v>1</v>
      </c>
      <c r="D25" s="4">
        <v>0.28198341274042704</v>
      </c>
      <c r="E25" s="1" t="s">
        <v>156</v>
      </c>
      <c r="F25" s="1" t="s">
        <v>157</v>
      </c>
      <c r="G25" s="1">
        <f>VLOOKUP(E25,Effects!A:J,10,FALSE)</f>
        <v>0.79321115766629458</v>
      </c>
      <c r="H25" s="1">
        <f>VLOOKUP(E25,IOT!$A$6:$DO$115, 119, FALSE)</f>
        <v>9572</v>
      </c>
      <c r="I25" s="3">
        <v>2</v>
      </c>
    </row>
    <row r="26" spans="1:9" x14ac:dyDescent="0.45">
      <c r="A26" s="3" t="s">
        <v>18</v>
      </c>
      <c r="B26" s="3" t="s">
        <v>17</v>
      </c>
      <c r="C26" s="3">
        <v>1</v>
      </c>
      <c r="D26" s="4">
        <v>0.46891359331804011</v>
      </c>
      <c r="E26" s="1" t="s">
        <v>156</v>
      </c>
      <c r="F26" s="1" t="s">
        <v>157</v>
      </c>
      <c r="G26" s="1">
        <f>VLOOKUP(E26,Effects!A:J,10,FALSE)</f>
        <v>0.79321115766629458</v>
      </c>
      <c r="H26" s="1">
        <f>VLOOKUP(E26,IOT!$A$6:$DO$115, 119, FALSE)</f>
        <v>9572</v>
      </c>
      <c r="I26" s="3">
        <v>2</v>
      </c>
    </row>
    <row r="27" spans="1:9" x14ac:dyDescent="0.45">
      <c r="A27" s="3" t="s">
        <v>19</v>
      </c>
      <c r="B27" s="3" t="s">
        <v>17</v>
      </c>
      <c r="C27" s="3">
        <v>1</v>
      </c>
      <c r="D27" s="4">
        <v>0.24910299394153285</v>
      </c>
      <c r="E27" s="1" t="s">
        <v>156</v>
      </c>
      <c r="F27" s="1" t="s">
        <v>157</v>
      </c>
      <c r="G27" s="1">
        <f>VLOOKUP(E27,Effects!A:J,10,FALSE)</f>
        <v>0.79321115766629458</v>
      </c>
      <c r="H27" s="1">
        <f>VLOOKUP(E27,IOT!$A$6:$DO$115, 119, FALSE)</f>
        <v>9572</v>
      </c>
      <c r="I27" s="3">
        <v>2</v>
      </c>
    </row>
    <row r="28" spans="1:9" x14ac:dyDescent="0.45">
      <c r="A28" s="3">
        <v>2.2000000000000002</v>
      </c>
      <c r="B28" s="3">
        <v>12</v>
      </c>
      <c r="C28" s="3">
        <v>1</v>
      </c>
      <c r="D28" s="4">
        <v>1</v>
      </c>
      <c r="E28" s="1" t="s">
        <v>156</v>
      </c>
      <c r="F28" s="1" t="s">
        <v>157</v>
      </c>
      <c r="G28" s="1">
        <f>VLOOKUP(E28,Effects!A:J,10,FALSE)</f>
        <v>0.79321115766629458</v>
      </c>
      <c r="H28" s="1">
        <f>VLOOKUP(E28,IOT!$A$6:$DO$115, 119, FALSE)</f>
        <v>9572</v>
      </c>
      <c r="I28" s="3">
        <v>2</v>
      </c>
    </row>
    <row r="29" spans="1:9" x14ac:dyDescent="0.45">
      <c r="A29" s="3">
        <v>2.2999999999999998</v>
      </c>
      <c r="B29" s="3">
        <v>21</v>
      </c>
      <c r="C29" s="3">
        <v>1</v>
      </c>
      <c r="D29" s="4">
        <v>0.56619385342789597</v>
      </c>
      <c r="E29" s="1" t="s">
        <v>186</v>
      </c>
      <c r="F29" s="1" t="s">
        <v>187</v>
      </c>
      <c r="G29" s="1">
        <f>VLOOKUP(E29,Effects!A:J,10,FALSE)</f>
        <v>0.75185057085669671</v>
      </c>
      <c r="H29" s="1">
        <f>VLOOKUP(E29,IOT!$A$6:$DO$115, 119, FALSE)</f>
        <v>25174</v>
      </c>
      <c r="I29" s="3">
        <v>2</v>
      </c>
    </row>
    <row r="30" spans="1:9" x14ac:dyDescent="0.45">
      <c r="A30" s="3" t="s">
        <v>20</v>
      </c>
      <c r="B30" s="3">
        <v>13</v>
      </c>
      <c r="C30" s="3">
        <v>1</v>
      </c>
      <c r="D30" s="4">
        <v>5.3561491374513076E-2</v>
      </c>
      <c r="E30" s="1" t="s">
        <v>160</v>
      </c>
      <c r="F30" s="1" t="s">
        <v>161</v>
      </c>
      <c r="G30" s="1">
        <f>VLOOKUP(E30,Effects!A:J,10,FALSE)</f>
        <v>0.79013404483086158</v>
      </c>
      <c r="H30" s="1">
        <f>VLOOKUP(E30,IOT!$A$6:$DO$115, 119, FALSE)</f>
        <v>6589</v>
      </c>
      <c r="I30" s="3">
        <v>3</v>
      </c>
    </row>
    <row r="31" spans="1:9" x14ac:dyDescent="0.45">
      <c r="A31" s="3" t="s">
        <v>21</v>
      </c>
      <c r="B31" s="3">
        <v>13</v>
      </c>
      <c r="C31" s="3">
        <v>0.02</v>
      </c>
      <c r="D31" s="4">
        <v>6.1421814134668892E-2</v>
      </c>
      <c r="E31" s="1" t="s">
        <v>160</v>
      </c>
      <c r="F31" s="1" t="s">
        <v>161</v>
      </c>
      <c r="G31" s="1">
        <f>VLOOKUP(E31,Effects!A:J,10,FALSE)</f>
        <v>0.79013404483086158</v>
      </c>
      <c r="H31" s="1">
        <f>VLOOKUP(E31,IOT!$A$6:$DO$115, 119, FALSE)</f>
        <v>6589</v>
      </c>
      <c r="I31" s="3">
        <v>3</v>
      </c>
    </row>
    <row r="32" spans="1:9" x14ac:dyDescent="0.45">
      <c r="A32" s="3" t="s">
        <v>21</v>
      </c>
      <c r="B32" s="3">
        <v>14</v>
      </c>
      <c r="C32" s="3">
        <v>0.98</v>
      </c>
      <c r="D32" s="4">
        <v>0.968604053540703</v>
      </c>
      <c r="E32" s="1" t="s">
        <v>162</v>
      </c>
      <c r="F32" s="1" t="s">
        <v>163</v>
      </c>
      <c r="G32" s="1">
        <f>VLOOKUP(E32,Effects!A:J,10,FALSE)</f>
        <v>0.88290355430582756</v>
      </c>
      <c r="H32" s="1">
        <f>VLOOKUP(E32,IOT!$A$6:$DO$115, 119, FALSE)</f>
        <v>4007</v>
      </c>
      <c r="I32" s="3">
        <v>3</v>
      </c>
    </row>
    <row r="33" spans="1:9" x14ac:dyDescent="0.45">
      <c r="A33" s="3" t="s">
        <v>22</v>
      </c>
      <c r="B33" s="3">
        <v>13</v>
      </c>
      <c r="C33" s="3">
        <v>0.4</v>
      </c>
      <c r="D33" s="4">
        <v>9.7662771285475791E-2</v>
      </c>
      <c r="E33" s="1" t="s">
        <v>160</v>
      </c>
      <c r="F33" s="1" t="s">
        <v>161</v>
      </c>
      <c r="G33" s="1">
        <f>VLOOKUP(E33,Effects!A:J,10,FALSE)</f>
        <v>0.79013404483086158</v>
      </c>
      <c r="H33" s="1">
        <f>VLOOKUP(E33,IOT!$A$6:$DO$115, 119, FALSE)</f>
        <v>6589</v>
      </c>
      <c r="I33" s="3">
        <v>3</v>
      </c>
    </row>
    <row r="34" spans="1:9" x14ac:dyDescent="0.45">
      <c r="A34" s="3" t="s">
        <v>22</v>
      </c>
      <c r="B34" s="3">
        <v>14</v>
      </c>
      <c r="C34" s="3">
        <v>0.4</v>
      </c>
      <c r="D34" s="4">
        <v>3.1395946459296997E-2</v>
      </c>
      <c r="E34" s="1" t="s">
        <v>162</v>
      </c>
      <c r="F34" s="1" t="s">
        <v>163</v>
      </c>
      <c r="G34" s="1">
        <f>VLOOKUP(E34,Effects!A:J,10,FALSE)</f>
        <v>0.88290355430582756</v>
      </c>
      <c r="H34" s="1">
        <f>VLOOKUP(E34,IOT!$A$6:$DO$115, 119, FALSE)</f>
        <v>4007</v>
      </c>
      <c r="I34" s="3">
        <v>3</v>
      </c>
    </row>
    <row r="35" spans="1:9" x14ac:dyDescent="0.45">
      <c r="A35" s="3" t="s">
        <v>22</v>
      </c>
      <c r="B35" s="3">
        <v>32</v>
      </c>
      <c r="C35" s="3">
        <v>0.2</v>
      </c>
      <c r="D35" s="4">
        <v>2.7129386303910961E-2</v>
      </c>
      <c r="E35" s="1" t="s">
        <v>218</v>
      </c>
      <c r="F35" s="1" t="s">
        <v>219</v>
      </c>
      <c r="G35" s="1">
        <f>VLOOKUP(E35,Effects!A:J,10,FALSE)</f>
        <v>0.74699995664052998</v>
      </c>
      <c r="H35" s="1">
        <f>VLOOKUP(E35,IOT!$A$6:$DO$115, 119, FALSE)</f>
        <v>9742</v>
      </c>
      <c r="I35" s="3">
        <v>3</v>
      </c>
    </row>
    <row r="36" spans="1:9" x14ac:dyDescent="0.45">
      <c r="A36" s="3" t="s">
        <v>23</v>
      </c>
      <c r="B36" s="3">
        <v>77</v>
      </c>
      <c r="C36" s="3">
        <v>0.1</v>
      </c>
      <c r="D36" s="4">
        <v>1.0616007822321553E-2</v>
      </c>
      <c r="E36" s="1" t="s">
        <v>300</v>
      </c>
      <c r="F36" s="1" t="s">
        <v>301</v>
      </c>
      <c r="G36" s="1">
        <f>VLOOKUP(E36,Effects!A:J,10,FALSE)</f>
        <v>0.89792723145054176</v>
      </c>
      <c r="H36" s="1">
        <f>VLOOKUP(E36,IOT!$A$6:$DO$115, 119, FALSE)</f>
        <v>43159</v>
      </c>
      <c r="I36" s="3">
        <v>3</v>
      </c>
    </row>
    <row r="37" spans="1:9" x14ac:dyDescent="0.45">
      <c r="A37" s="3" t="s">
        <v>23</v>
      </c>
      <c r="B37" s="3">
        <v>95</v>
      </c>
      <c r="C37" s="3">
        <v>0.10199999999999999</v>
      </c>
      <c r="D37" s="4">
        <v>7.0902394106813996E-2</v>
      </c>
      <c r="E37" s="1" t="s">
        <v>330</v>
      </c>
      <c r="F37" s="1" t="s">
        <v>331</v>
      </c>
      <c r="G37" s="1">
        <f>VLOOKUP(E37,Effects!A:J,10,FALSE)</f>
        <v>0.87457352494221907</v>
      </c>
      <c r="H37" s="1">
        <f>VLOOKUP(E37,IOT!$A$6:$DO$115, 119, FALSE)</f>
        <v>3698</v>
      </c>
      <c r="I37" s="3">
        <v>3</v>
      </c>
    </row>
    <row r="38" spans="1:9" x14ac:dyDescent="0.45">
      <c r="A38" s="3" t="s">
        <v>23</v>
      </c>
      <c r="B38" s="3">
        <v>96</v>
      </c>
      <c r="C38" s="3">
        <v>0.79799999999999993</v>
      </c>
      <c r="D38" s="4">
        <v>3.4591194968553458E-2</v>
      </c>
      <c r="E38" s="1" t="s">
        <v>332</v>
      </c>
      <c r="F38" s="1" t="s">
        <v>333</v>
      </c>
      <c r="G38" s="1">
        <f>VLOOKUP(E38,Effects!A:J,10,FALSE)</f>
        <v>0.9285979457005854</v>
      </c>
      <c r="H38" s="1">
        <f>VLOOKUP(E38,IOT!$A$6:$DO$115, 119, FALSE)</f>
        <v>28154</v>
      </c>
      <c r="I38" s="3">
        <v>3</v>
      </c>
    </row>
    <row r="39" spans="1:9" x14ac:dyDescent="0.45">
      <c r="A39" s="3" t="s">
        <v>24</v>
      </c>
      <c r="B39" s="3">
        <v>15</v>
      </c>
      <c r="C39" s="3">
        <v>1</v>
      </c>
      <c r="D39" s="4">
        <v>0.81317422434367537</v>
      </c>
      <c r="E39" s="1" t="s">
        <v>164</v>
      </c>
      <c r="F39" s="1" t="s">
        <v>165</v>
      </c>
      <c r="G39" s="1">
        <f>VLOOKUP(E39,Effects!A:J,10,FALSE)</f>
        <v>0.78616305881060056</v>
      </c>
      <c r="H39" s="1">
        <f>VLOOKUP(E39,IOT!$A$6:$DO$115, 119, FALSE)</f>
        <v>985</v>
      </c>
      <c r="I39" s="3">
        <v>3</v>
      </c>
    </row>
    <row r="40" spans="1:9" x14ac:dyDescent="0.45">
      <c r="A40" s="3" t="s">
        <v>25</v>
      </c>
      <c r="B40" s="3">
        <v>95</v>
      </c>
      <c r="C40" s="3">
        <v>1</v>
      </c>
      <c r="D40" s="4">
        <v>4.6040515653775323E-2</v>
      </c>
      <c r="E40" s="1" t="s">
        <v>330</v>
      </c>
      <c r="F40" s="1" t="s">
        <v>331</v>
      </c>
      <c r="G40" s="1">
        <f>VLOOKUP(E40,Effects!A:J,10,FALSE)</f>
        <v>0.87457352494221907</v>
      </c>
      <c r="H40" s="1">
        <f>VLOOKUP(E40,IOT!$A$6:$DO$115, 119, FALSE)</f>
        <v>3698</v>
      </c>
      <c r="I40" s="3">
        <v>3</v>
      </c>
    </row>
    <row r="41" spans="1:9" x14ac:dyDescent="0.45">
      <c r="A41" s="3" t="s">
        <v>26</v>
      </c>
      <c r="B41" s="3" t="s">
        <v>27</v>
      </c>
      <c r="C41" s="3">
        <v>0.98499999999999999</v>
      </c>
      <c r="D41" s="4">
        <v>0.92677872820104767</v>
      </c>
      <c r="E41" s="1" t="s">
        <v>278</v>
      </c>
      <c r="F41" s="1" t="s">
        <v>279</v>
      </c>
      <c r="G41" s="1">
        <f>VLOOKUP(E41,Effects!A:J,10,FALSE)</f>
        <v>0.92175023174090853</v>
      </c>
      <c r="H41" s="1">
        <f>VLOOKUP(E41,IOT!$A$6:$DO$115, 119, FALSE)</f>
        <v>9866</v>
      </c>
      <c r="I41" s="3">
        <v>4</v>
      </c>
    </row>
    <row r="42" spans="1:9" x14ac:dyDescent="0.45">
      <c r="A42" s="3" t="s">
        <v>26</v>
      </c>
      <c r="B42" s="3">
        <v>84</v>
      </c>
      <c r="C42" s="3">
        <v>1.4999999999999999E-2</v>
      </c>
      <c r="D42" s="4">
        <v>0.3196998123827392</v>
      </c>
      <c r="E42" s="1" t="s">
        <v>312</v>
      </c>
      <c r="F42" s="1" t="s">
        <v>313</v>
      </c>
      <c r="G42" s="1">
        <f>VLOOKUP(E42,Effects!A:J,10,FALSE)</f>
        <v>0.85820281436537482</v>
      </c>
      <c r="H42" s="1">
        <f>VLOOKUP(E42,IOT!$A$6:$DO$115, 119, FALSE)</f>
        <v>168186</v>
      </c>
      <c r="I42" s="3">
        <v>4</v>
      </c>
    </row>
    <row r="43" spans="1:9" x14ac:dyDescent="0.45">
      <c r="A43" s="3" t="s">
        <v>28</v>
      </c>
      <c r="B43" s="3" t="s">
        <v>27</v>
      </c>
      <c r="C43" s="3">
        <v>1</v>
      </c>
      <c r="D43" s="4">
        <v>0</v>
      </c>
      <c r="E43" s="1" t="s">
        <v>278</v>
      </c>
      <c r="F43" s="1" t="s">
        <v>279</v>
      </c>
      <c r="G43" s="1">
        <f>VLOOKUP(E43,Effects!A:J,10,FALSE)</f>
        <v>0.92175023174090853</v>
      </c>
      <c r="H43" s="1">
        <f>VLOOKUP(E43,IOT!$A$6:$DO$115, 119, FALSE)</f>
        <v>9866</v>
      </c>
      <c r="I43" s="3">
        <v>4</v>
      </c>
    </row>
    <row r="44" spans="1:9" x14ac:dyDescent="0.45">
      <c r="A44" s="3" t="s">
        <v>29</v>
      </c>
      <c r="B44" s="3" t="s">
        <v>30</v>
      </c>
      <c r="C44" s="3">
        <v>1</v>
      </c>
      <c r="D44" s="4">
        <v>1</v>
      </c>
      <c r="E44" s="1" t="s">
        <v>282</v>
      </c>
      <c r="F44" s="1" t="s">
        <v>283</v>
      </c>
      <c r="G44" s="1">
        <f>VLOOKUP(E44,Effects!A:J,10,FALSE)</f>
        <v>0.91331865929778733</v>
      </c>
      <c r="H44" s="1">
        <f>VLOOKUP(E44,IOT!$A$6:$DO$115, 119, FALSE)</f>
        <v>138823</v>
      </c>
      <c r="I44" s="3">
        <v>4</v>
      </c>
    </row>
    <row r="45" spans="1:9" x14ac:dyDescent="0.45">
      <c r="A45" s="3" t="s">
        <v>31</v>
      </c>
      <c r="B45" s="3" t="s">
        <v>27</v>
      </c>
      <c r="C45" s="3">
        <v>1</v>
      </c>
      <c r="D45" s="4">
        <v>6.367283336648763E-2</v>
      </c>
      <c r="E45" s="1" t="s">
        <v>278</v>
      </c>
      <c r="F45" s="1" t="s">
        <v>279</v>
      </c>
      <c r="G45" s="1">
        <f>VLOOKUP(E45,Effects!A:J,10,FALSE)</f>
        <v>0.92175023174090853</v>
      </c>
      <c r="H45" s="1">
        <f>VLOOKUP(E45,IOT!$A$6:$DO$115, 119, FALSE)</f>
        <v>9866</v>
      </c>
      <c r="I45" s="3">
        <v>4</v>
      </c>
    </row>
    <row r="46" spans="1:9" x14ac:dyDescent="0.45">
      <c r="A46" s="3" t="s">
        <v>32</v>
      </c>
      <c r="B46" s="3">
        <v>16</v>
      </c>
      <c r="C46" s="3">
        <v>0.161</v>
      </c>
      <c r="D46" s="4">
        <v>0.10376398779247202</v>
      </c>
      <c r="E46" s="1" t="s">
        <v>166</v>
      </c>
      <c r="F46" s="1" t="s">
        <v>167</v>
      </c>
      <c r="G46" s="1">
        <f>VLOOKUP(E46,Effects!A:J,10,FALSE)</f>
        <v>0.64666559912038191</v>
      </c>
      <c r="H46" s="1">
        <f>VLOOKUP(E46,IOT!$A$6:$DO$115, 119, FALSE)</f>
        <v>8295</v>
      </c>
      <c r="I46" s="3">
        <v>4</v>
      </c>
    </row>
    <row r="47" spans="1:9" x14ac:dyDescent="0.45">
      <c r="A47" s="3" t="s">
        <v>32</v>
      </c>
      <c r="B47" s="3">
        <v>17</v>
      </c>
      <c r="C47" s="3">
        <v>0.17</v>
      </c>
      <c r="D47" s="4">
        <v>2.5980274236228049E-2</v>
      </c>
      <c r="E47" s="1" t="s">
        <v>168</v>
      </c>
      <c r="F47" s="1" t="s">
        <v>169</v>
      </c>
      <c r="G47" s="1">
        <f>VLOOKUP(E47,Effects!A:J,10,FALSE)</f>
        <v>0.68547157251781998</v>
      </c>
      <c r="H47" s="1">
        <f>VLOOKUP(E47,IOT!$A$6:$DO$115, 119, FALSE)</f>
        <v>12424</v>
      </c>
      <c r="I47" s="3">
        <v>4</v>
      </c>
    </row>
    <row r="48" spans="1:9" x14ac:dyDescent="0.45">
      <c r="A48" s="3" t="s">
        <v>32</v>
      </c>
      <c r="B48" s="3">
        <v>20.3</v>
      </c>
      <c r="C48" s="3">
        <v>0.24</v>
      </c>
      <c r="D48" s="4">
        <v>0.96202531645569622</v>
      </c>
      <c r="E48" s="1" t="s">
        <v>174</v>
      </c>
      <c r="F48" s="1" t="s">
        <v>175</v>
      </c>
      <c r="G48" s="1">
        <f>VLOOKUP(E48,Effects!A:J,10,FALSE)</f>
        <v>0.6831533284766913</v>
      </c>
      <c r="H48" s="1">
        <f>VLOOKUP(E48,IOT!$A$6:$DO$115, 119, FALSE)</f>
        <v>3179</v>
      </c>
      <c r="I48" s="3">
        <v>4</v>
      </c>
    </row>
    <row r="49" spans="1:9" x14ac:dyDescent="0.45">
      <c r="A49" s="3" t="s">
        <v>32</v>
      </c>
      <c r="B49" s="3">
        <v>22</v>
      </c>
      <c r="C49" s="3">
        <v>0.27</v>
      </c>
      <c r="D49" s="4">
        <v>4.7939444911690499E-2</v>
      </c>
      <c r="E49" s="1" t="s">
        <v>188</v>
      </c>
      <c r="F49" s="1" t="s">
        <v>189</v>
      </c>
      <c r="G49" s="1">
        <f>VLOOKUP(E49,Effects!A:J,10,FALSE)</f>
        <v>0.60896888628506152</v>
      </c>
      <c r="H49" s="1">
        <f>VLOOKUP(E49,IOT!$A$6:$DO$115, 119, FALSE)</f>
        <v>21213</v>
      </c>
      <c r="I49" s="3">
        <v>4</v>
      </c>
    </row>
    <row r="50" spans="1:9" x14ac:dyDescent="0.45">
      <c r="A50" s="3" t="s">
        <v>32</v>
      </c>
      <c r="B50" s="3" t="s">
        <v>33</v>
      </c>
      <c r="C50" s="3">
        <v>3.2000000000000001E-2</v>
      </c>
      <c r="D50" s="4">
        <v>6.0882800608828003E-3</v>
      </c>
      <c r="E50" s="1" t="s">
        <v>192</v>
      </c>
      <c r="F50" s="1" t="s">
        <v>193</v>
      </c>
      <c r="G50" s="1">
        <f>VLOOKUP(E50,Effects!A:J,10,FALSE)</f>
        <v>0.69529776883867012</v>
      </c>
      <c r="H50" s="1">
        <f>VLOOKUP(E50,IOT!$A$6:$DO$115, 119, FALSE)</f>
        <v>7120</v>
      </c>
      <c r="I50" s="3">
        <v>4</v>
      </c>
    </row>
    <row r="51" spans="1:9" x14ac:dyDescent="0.45">
      <c r="A51" s="3" t="s">
        <v>32</v>
      </c>
      <c r="B51" s="3" t="s">
        <v>34</v>
      </c>
      <c r="C51" s="3">
        <v>2.7000000000000003E-2</v>
      </c>
      <c r="D51" s="4">
        <v>1</v>
      </c>
      <c r="E51" s="1" t="s">
        <v>190</v>
      </c>
      <c r="F51" s="1" t="s">
        <v>191</v>
      </c>
      <c r="G51" s="1">
        <f>VLOOKUP(E51,Effects!A:J,10,FALSE)</f>
        <v>0.74503067604175177</v>
      </c>
      <c r="H51" s="1">
        <f>VLOOKUP(E51,IOT!$A$6:$DO$115, 119, FALSE)</f>
        <v>8815</v>
      </c>
      <c r="I51" s="3">
        <v>4</v>
      </c>
    </row>
    <row r="52" spans="1:9" x14ac:dyDescent="0.45">
      <c r="A52" s="3" t="s">
        <v>32</v>
      </c>
      <c r="B52" s="3" t="s">
        <v>35</v>
      </c>
      <c r="C52" s="3">
        <v>1.1000000000000001E-2</v>
      </c>
      <c r="D52" s="4">
        <v>1</v>
      </c>
      <c r="E52" s="1" t="s">
        <v>196</v>
      </c>
      <c r="F52" s="1" t="s">
        <v>197</v>
      </c>
      <c r="G52" s="1">
        <f>VLOOKUP(E52,Effects!A:J,10,FALSE)</f>
        <v>0.52635294374453601</v>
      </c>
      <c r="H52" s="1">
        <f>VLOOKUP(E52,IOT!$A$6:$DO$115, 119, FALSE)</f>
        <v>6015</v>
      </c>
      <c r="I52" s="3">
        <v>4</v>
      </c>
    </row>
    <row r="53" spans="1:9" x14ac:dyDescent="0.45">
      <c r="A53" s="3" t="s">
        <v>32</v>
      </c>
      <c r="B53" s="3" t="s">
        <v>36</v>
      </c>
      <c r="C53" s="3">
        <v>0.09</v>
      </c>
      <c r="D53" s="4">
        <v>1.1282660332541567E-2</v>
      </c>
      <c r="E53" s="1" t="s">
        <v>200</v>
      </c>
      <c r="F53" s="1" t="s">
        <v>201</v>
      </c>
      <c r="G53" s="1">
        <f>VLOOKUP(E53,Effects!A:J,10,FALSE)</f>
        <v>0.72791781533727107</v>
      </c>
      <c r="H53" s="1">
        <f>VLOOKUP(E53,IOT!$A$6:$DO$115, 119, FALSE)</f>
        <v>30969</v>
      </c>
      <c r="I53" s="3">
        <v>4</v>
      </c>
    </row>
    <row r="54" spans="1:9" x14ac:dyDescent="0.45">
      <c r="A54" s="3" t="s">
        <v>37</v>
      </c>
      <c r="B54" s="3">
        <v>43</v>
      </c>
      <c r="C54" s="3">
        <v>1</v>
      </c>
      <c r="D54" s="4">
        <v>1</v>
      </c>
      <c r="E54" s="1" t="s">
        <v>238</v>
      </c>
      <c r="F54" s="1" t="s">
        <v>239</v>
      </c>
      <c r="G54" s="1">
        <f>VLOOKUP(E54,Effects!A:J,10,FALSE)</f>
        <v>0.83767392422127773</v>
      </c>
      <c r="H54" s="1">
        <f>VLOOKUP(E54,IOT!$A$6:$DO$115, 119, FALSE)</f>
        <v>336755</v>
      </c>
      <c r="I54" s="3">
        <v>4</v>
      </c>
    </row>
    <row r="55" spans="1:9" x14ac:dyDescent="0.45">
      <c r="A55" s="3" t="s">
        <v>38</v>
      </c>
      <c r="B55" s="3">
        <v>36</v>
      </c>
      <c r="C55" s="3">
        <v>1</v>
      </c>
      <c r="D55" s="4">
        <v>1</v>
      </c>
      <c r="E55" s="1" t="s">
        <v>230</v>
      </c>
      <c r="F55" s="1" t="s">
        <v>231</v>
      </c>
      <c r="G55" s="1">
        <f>VLOOKUP(E55,Effects!A:J,10,FALSE)</f>
        <v>0.93497518053914441</v>
      </c>
      <c r="H55" s="1">
        <f>VLOOKUP(E55,IOT!$A$6:$DO$115, 119, FALSE)</f>
        <v>10882</v>
      </c>
      <c r="I55" s="3">
        <v>4</v>
      </c>
    </row>
    <row r="56" spans="1:9" x14ac:dyDescent="0.45">
      <c r="A56" s="3" t="s">
        <v>39</v>
      </c>
      <c r="B56" s="3">
        <v>38</v>
      </c>
      <c r="C56" s="3">
        <v>1</v>
      </c>
      <c r="D56" s="4">
        <v>1</v>
      </c>
      <c r="E56" s="1" t="s">
        <v>234</v>
      </c>
      <c r="F56" s="1" t="s">
        <v>235</v>
      </c>
      <c r="G56" s="1">
        <f>VLOOKUP(E56,Effects!A:J,10,FALSE)</f>
        <v>0.71177270085150224</v>
      </c>
      <c r="H56" s="1">
        <f>VLOOKUP(E56,IOT!$A$6:$DO$115, 119, FALSE)</f>
        <v>21285</v>
      </c>
      <c r="I56" s="3">
        <v>4</v>
      </c>
    </row>
    <row r="57" spans="1:9" x14ac:dyDescent="0.45">
      <c r="A57" s="3" t="s">
        <v>40</v>
      </c>
      <c r="B57" s="3">
        <v>37</v>
      </c>
      <c r="C57" s="3">
        <v>1</v>
      </c>
      <c r="D57" s="4">
        <v>1</v>
      </c>
      <c r="E57" s="1" t="s">
        <v>232</v>
      </c>
      <c r="F57" s="1" t="s">
        <v>233</v>
      </c>
      <c r="G57" s="1">
        <f>VLOOKUP(E57,Effects!A:J,10,FALSE)</f>
        <v>0.96185054213442256</v>
      </c>
      <c r="H57" s="1">
        <f>VLOOKUP(E57,IOT!$A$6:$DO$115, 119, FALSE)</f>
        <v>9704</v>
      </c>
      <c r="I57" s="3">
        <v>4</v>
      </c>
    </row>
    <row r="58" spans="1:9" x14ac:dyDescent="0.45">
      <c r="A58" s="3" t="s">
        <v>41</v>
      </c>
      <c r="B58" s="3">
        <v>38</v>
      </c>
      <c r="C58" s="3">
        <v>0</v>
      </c>
      <c r="D58" s="4">
        <v>0</v>
      </c>
      <c r="E58" s="1" t="s">
        <v>234</v>
      </c>
      <c r="F58" s="1" t="s">
        <v>235</v>
      </c>
      <c r="G58" s="1">
        <f>VLOOKUP(E58,Effects!A:J,10,FALSE)</f>
        <v>0.71177270085150224</v>
      </c>
      <c r="H58" s="1">
        <f>VLOOKUP(E58,IOT!$A$6:$DO$115, 119, FALSE)</f>
        <v>21285</v>
      </c>
      <c r="I58" s="3">
        <v>4</v>
      </c>
    </row>
    <row r="59" spans="1:9" x14ac:dyDescent="0.45">
      <c r="A59" s="3" t="s">
        <v>41</v>
      </c>
      <c r="B59" s="3">
        <v>68.3</v>
      </c>
      <c r="C59" s="3">
        <v>0</v>
      </c>
      <c r="D59" s="4">
        <v>0</v>
      </c>
      <c r="E59" s="1" t="s">
        <v>278</v>
      </c>
      <c r="F59" s="1" t="s">
        <v>279</v>
      </c>
      <c r="G59" s="1">
        <f>VLOOKUP(E59,Effects!A:J,10,FALSE)</f>
        <v>0.92175023174090853</v>
      </c>
      <c r="H59" s="1">
        <f>VLOOKUP(E59,IOT!$A$6:$DO$115, 119, FALSE)</f>
        <v>9866</v>
      </c>
      <c r="I59" s="3">
        <v>4</v>
      </c>
    </row>
    <row r="60" spans="1:9" x14ac:dyDescent="0.45">
      <c r="A60" s="3" t="s">
        <v>42</v>
      </c>
      <c r="B60" s="3">
        <v>35.1</v>
      </c>
      <c r="C60" s="3">
        <v>1</v>
      </c>
      <c r="D60" s="4">
        <v>1</v>
      </c>
      <c r="E60" s="1" t="s">
        <v>226</v>
      </c>
      <c r="F60" s="1" t="s">
        <v>227</v>
      </c>
      <c r="G60" s="1">
        <f>VLOOKUP(E60,Effects!A:J,10,FALSE)</f>
        <v>0.77932995642215896</v>
      </c>
      <c r="H60" s="1">
        <f>VLOOKUP(E60,IOT!$A$6:$DO$115, 119, FALSE)</f>
        <v>81020</v>
      </c>
      <c r="I60" s="3">
        <v>4</v>
      </c>
    </row>
    <row r="61" spans="1:9" x14ac:dyDescent="0.45">
      <c r="A61" s="3" t="s">
        <v>43</v>
      </c>
      <c r="B61" s="3">
        <v>19</v>
      </c>
      <c r="C61" s="3">
        <v>1.1000000000000001E-2</v>
      </c>
      <c r="D61" s="4">
        <v>5.5857752822132539E-3</v>
      </c>
      <c r="E61" s="1" t="s">
        <v>172</v>
      </c>
      <c r="F61" s="1" t="s">
        <v>173</v>
      </c>
      <c r="G61" s="1">
        <f>VLOOKUP(E61,Effects!A:J,10,FALSE)</f>
        <v>0.19626931656829261</v>
      </c>
      <c r="H61" s="1">
        <f>VLOOKUP(E61,IOT!$A$6:$DO$115, 119, FALSE)</f>
        <v>30700</v>
      </c>
      <c r="I61" s="3">
        <v>4</v>
      </c>
    </row>
    <row r="62" spans="1:9" x14ac:dyDescent="0.45">
      <c r="A62" s="3" t="s">
        <v>43</v>
      </c>
      <c r="B62" s="3" t="s">
        <v>44</v>
      </c>
      <c r="C62" s="3">
        <v>0.9890000000000001</v>
      </c>
      <c r="D62" s="4">
        <v>1</v>
      </c>
      <c r="E62" s="1" t="s">
        <v>228</v>
      </c>
      <c r="F62" s="1" t="s">
        <v>229</v>
      </c>
      <c r="G62" s="1">
        <f>VLOOKUP(E62,Effects!A:J,10,FALSE)</f>
        <v>0.77550639218731154</v>
      </c>
      <c r="H62" s="1">
        <f>VLOOKUP(E62,IOT!$A$6:$DO$115, 119, FALSE)</f>
        <v>40651</v>
      </c>
      <c r="I62" s="3">
        <v>4</v>
      </c>
    </row>
    <row r="63" spans="1:9" x14ac:dyDescent="0.45">
      <c r="A63" s="3" t="s">
        <v>45</v>
      </c>
      <c r="B63" s="3">
        <v>19</v>
      </c>
      <c r="C63" s="3">
        <v>1</v>
      </c>
      <c r="D63" s="4">
        <v>4.5943732818623149E-2</v>
      </c>
      <c r="E63" s="1" t="s">
        <v>172</v>
      </c>
      <c r="F63" s="1" t="s">
        <v>173</v>
      </c>
      <c r="G63" s="1">
        <f>VLOOKUP(E63,Effects!A:J,10,FALSE)</f>
        <v>0.19626931656829261</v>
      </c>
      <c r="H63" s="1">
        <f>VLOOKUP(E63,IOT!$A$6:$DO$115, 119, FALSE)</f>
        <v>30700</v>
      </c>
      <c r="I63" s="3">
        <v>4</v>
      </c>
    </row>
    <row r="64" spans="1:9" x14ac:dyDescent="0.45">
      <c r="A64" s="3" t="s">
        <v>46</v>
      </c>
      <c r="B64" s="3">
        <v>2</v>
      </c>
      <c r="C64" s="3">
        <v>6.8000000000000005E-2</v>
      </c>
      <c r="D64" s="4">
        <v>0.12048192771084337</v>
      </c>
      <c r="E64" s="1" t="s">
        <v>128</v>
      </c>
      <c r="F64" s="1" t="s">
        <v>129</v>
      </c>
      <c r="G64" s="1">
        <f>VLOOKUP(E64,Effects!A:J,10,FALSE)</f>
        <v>0.87928163457535535</v>
      </c>
      <c r="H64" s="1">
        <f>VLOOKUP(E64,IOT!$A$6:$DO$115, 119, FALSE)</f>
        <v>1482</v>
      </c>
      <c r="I64" s="3">
        <v>4</v>
      </c>
    </row>
    <row r="65" spans="1:9" x14ac:dyDescent="0.45">
      <c r="A65" s="3" t="s">
        <v>46</v>
      </c>
      <c r="B65" s="3">
        <v>5</v>
      </c>
      <c r="C65" s="3">
        <v>0.93200000000000005</v>
      </c>
      <c r="D65" s="4">
        <v>1</v>
      </c>
      <c r="E65" s="1" t="s">
        <v>132</v>
      </c>
      <c r="F65" s="1" t="s">
        <v>133</v>
      </c>
      <c r="G65" s="1">
        <f>VLOOKUP(E65,Effects!A:J,10,FALSE)</f>
        <v>0.83547764119143098</v>
      </c>
      <c r="H65" s="1">
        <f>VLOOKUP(E65,IOT!$A$6:$DO$115, 119, FALSE)</f>
        <v>360</v>
      </c>
      <c r="I65" s="3">
        <v>4</v>
      </c>
    </row>
    <row r="66" spans="1:9" x14ac:dyDescent="0.45">
      <c r="A66" s="3" t="s">
        <v>47</v>
      </c>
      <c r="B66" s="3" t="s">
        <v>44</v>
      </c>
      <c r="C66" s="3">
        <v>1</v>
      </c>
      <c r="D66" s="4">
        <v>0</v>
      </c>
      <c r="E66" s="1" t="s">
        <v>228</v>
      </c>
      <c r="F66" s="1" t="s">
        <v>229</v>
      </c>
      <c r="G66" s="1">
        <f>VLOOKUP(E66,Effects!A:J,10,FALSE)</f>
        <v>0.77550639218731154</v>
      </c>
      <c r="H66" s="1">
        <f>VLOOKUP(E66,IOT!$A$6:$DO$115, 119, FALSE)</f>
        <v>40651</v>
      </c>
      <c r="I66" s="3">
        <v>4</v>
      </c>
    </row>
    <row r="67" spans="1:9" x14ac:dyDescent="0.45">
      <c r="A67" s="3" t="s">
        <v>48</v>
      </c>
      <c r="B67" s="3">
        <v>13</v>
      </c>
      <c r="C67" s="3">
        <v>0.02</v>
      </c>
      <c r="D67" s="4">
        <v>1.7737896494156927E-2</v>
      </c>
      <c r="E67" s="1" t="s">
        <v>160</v>
      </c>
      <c r="F67" s="1" t="s">
        <v>161</v>
      </c>
      <c r="G67" s="1">
        <f>VLOOKUP(E67,Effects!A:J,10,FALSE)</f>
        <v>0.79013404483086158</v>
      </c>
      <c r="H67" s="1">
        <f>VLOOKUP(E67,IOT!$A$6:$DO$115, 119, FALSE)</f>
        <v>6589</v>
      </c>
      <c r="I67" s="3">
        <v>5</v>
      </c>
    </row>
    <row r="68" spans="1:9" x14ac:dyDescent="0.45">
      <c r="A68" s="3" t="s">
        <v>48</v>
      </c>
      <c r="B68" s="3">
        <v>31</v>
      </c>
      <c r="C68" s="3">
        <v>0.84</v>
      </c>
      <c r="D68" s="4">
        <v>0.9645224870094965</v>
      </c>
      <c r="E68" s="1" t="s">
        <v>216</v>
      </c>
      <c r="F68" s="1" t="s">
        <v>217</v>
      </c>
      <c r="G68" s="1">
        <f>VLOOKUP(E68,Effects!A:J,10,FALSE)</f>
        <v>0.7714049221456698</v>
      </c>
      <c r="H68" s="1">
        <f>VLOOKUP(E68,IOT!$A$6:$DO$115, 119, FALSE)</f>
        <v>8151</v>
      </c>
      <c r="I68" s="3">
        <v>5</v>
      </c>
    </row>
    <row r="69" spans="1:9" x14ac:dyDescent="0.45">
      <c r="A69" s="3" t="s">
        <v>48</v>
      </c>
      <c r="B69" s="3">
        <v>32</v>
      </c>
      <c r="C69" s="3">
        <v>0.14000000000000001</v>
      </c>
      <c r="D69" s="4">
        <v>6.9330653887772459E-2</v>
      </c>
      <c r="E69" s="1" t="s">
        <v>218</v>
      </c>
      <c r="F69" s="1" t="s">
        <v>219</v>
      </c>
      <c r="G69" s="1">
        <f>VLOOKUP(E69,Effects!A:J,10,FALSE)</f>
        <v>0.74699995664052998</v>
      </c>
      <c r="H69" s="1">
        <f>VLOOKUP(E69,IOT!$A$6:$DO$115, 119, FALSE)</f>
        <v>9742</v>
      </c>
      <c r="I69" s="3">
        <v>5</v>
      </c>
    </row>
    <row r="70" spans="1:9" x14ac:dyDescent="0.45">
      <c r="A70" s="3" t="s">
        <v>49</v>
      </c>
      <c r="B70" s="3">
        <v>13</v>
      </c>
      <c r="C70" s="3">
        <v>1</v>
      </c>
      <c r="D70" s="4">
        <v>0.3550361713967724</v>
      </c>
      <c r="E70" s="1" t="s">
        <v>160</v>
      </c>
      <c r="F70" s="1" t="s">
        <v>161</v>
      </c>
      <c r="G70" s="1">
        <f>VLOOKUP(E70,Effects!A:J,10,FALSE)</f>
        <v>0.79013404483086158</v>
      </c>
      <c r="H70" s="1">
        <f>VLOOKUP(E70,IOT!$A$6:$DO$115, 119, FALSE)</f>
        <v>6589</v>
      </c>
      <c r="I70" s="3">
        <v>5</v>
      </c>
    </row>
    <row r="71" spans="1:9" x14ac:dyDescent="0.45">
      <c r="A71" s="3" t="s">
        <v>50</v>
      </c>
      <c r="B71" s="3">
        <v>95</v>
      </c>
      <c r="C71" s="3">
        <v>1</v>
      </c>
      <c r="D71" s="4">
        <v>2.85451197053407E-2</v>
      </c>
      <c r="E71" s="1" t="s">
        <v>330</v>
      </c>
      <c r="F71" s="1" t="s">
        <v>331</v>
      </c>
      <c r="G71" s="1">
        <f>VLOOKUP(E71,Effects!A:J,10,FALSE)</f>
        <v>0.87457352494221907</v>
      </c>
      <c r="H71" s="1">
        <f>VLOOKUP(E71,IOT!$A$6:$DO$115, 119, FALSE)</f>
        <v>3698</v>
      </c>
      <c r="I71" s="3">
        <v>5</v>
      </c>
    </row>
    <row r="72" spans="1:9" x14ac:dyDescent="0.45">
      <c r="A72" s="3">
        <v>5.2</v>
      </c>
      <c r="B72" s="3">
        <v>13</v>
      </c>
      <c r="C72" s="3">
        <v>1</v>
      </c>
      <c r="D72" s="4">
        <v>0.38126043405676124</v>
      </c>
      <c r="E72" s="1" t="s">
        <v>160</v>
      </c>
      <c r="F72" s="1" t="s">
        <v>161</v>
      </c>
      <c r="G72" s="1">
        <f>VLOOKUP(E72,Effects!A:J,10,FALSE)</f>
        <v>0.79013404483086158</v>
      </c>
      <c r="H72" s="1">
        <f>VLOOKUP(E72,IOT!$A$6:$DO$115, 119, FALSE)</f>
        <v>6589</v>
      </c>
      <c r="I72" s="3">
        <v>5</v>
      </c>
    </row>
    <row r="73" spans="1:9" x14ac:dyDescent="0.45">
      <c r="A73" s="3" t="s">
        <v>51</v>
      </c>
      <c r="B73" s="3">
        <v>27</v>
      </c>
      <c r="C73" s="3">
        <v>0.97</v>
      </c>
      <c r="D73" s="4">
        <v>0.49381680989310417</v>
      </c>
      <c r="E73" s="1" t="s">
        <v>204</v>
      </c>
      <c r="F73" s="1" t="s">
        <v>205</v>
      </c>
      <c r="G73" s="1">
        <f>VLOOKUP(E73,Effects!A:J,10,FALSE)</f>
        <v>0.66145105140926663</v>
      </c>
      <c r="H73" s="1">
        <f>VLOOKUP(E73,IOT!$A$6:$DO$115, 119, FALSE)</f>
        <v>12633</v>
      </c>
      <c r="I73" s="3">
        <v>5</v>
      </c>
    </row>
    <row r="74" spans="1:9" x14ac:dyDescent="0.45">
      <c r="A74" s="3" t="s">
        <v>51</v>
      </c>
      <c r="B74" s="3">
        <v>28</v>
      </c>
      <c r="C74" s="3">
        <v>0.03</v>
      </c>
      <c r="D74" s="4">
        <v>5.805168986083499E-2</v>
      </c>
      <c r="E74" s="1" t="s">
        <v>206</v>
      </c>
      <c r="F74" s="1" t="s">
        <v>207</v>
      </c>
      <c r="G74" s="1">
        <f>VLOOKUP(E74,Effects!A:J,10,FALSE)</f>
        <v>0.66982495668491859</v>
      </c>
      <c r="H74" s="1">
        <f>VLOOKUP(E74,IOT!$A$6:$DO$115, 119, FALSE)</f>
        <v>29360</v>
      </c>
      <c r="I74" s="3">
        <v>5</v>
      </c>
    </row>
    <row r="75" spans="1:9" x14ac:dyDescent="0.45">
      <c r="A75" s="3" t="s">
        <v>52</v>
      </c>
      <c r="B75" s="3">
        <v>27</v>
      </c>
      <c r="C75" s="3">
        <v>1</v>
      </c>
      <c r="D75" s="4">
        <v>8.604066233494026E-2</v>
      </c>
      <c r="E75" s="1" t="s">
        <v>204</v>
      </c>
      <c r="F75" s="1" t="s">
        <v>205</v>
      </c>
      <c r="G75" s="1">
        <f>VLOOKUP(E75,Effects!A:J,10,FALSE)</f>
        <v>0.66145105140926663</v>
      </c>
      <c r="H75" s="1">
        <f>VLOOKUP(E75,IOT!$A$6:$DO$115, 119, FALSE)</f>
        <v>12633</v>
      </c>
      <c r="I75" s="3">
        <v>5</v>
      </c>
    </row>
    <row r="76" spans="1:9" x14ac:dyDescent="0.45">
      <c r="A76" s="3" t="s">
        <v>53</v>
      </c>
      <c r="B76" s="3">
        <v>95</v>
      </c>
      <c r="C76" s="3">
        <v>1</v>
      </c>
      <c r="D76" s="4">
        <v>0.43922651933701656</v>
      </c>
      <c r="E76" s="1" t="s">
        <v>330</v>
      </c>
      <c r="F76" s="1" t="s">
        <v>331</v>
      </c>
      <c r="G76" s="1">
        <f>VLOOKUP(E76,Effects!A:J,10,FALSE)</f>
        <v>0.87457352494221907</v>
      </c>
      <c r="H76" s="1">
        <f>VLOOKUP(E76,IOT!$A$6:$DO$115, 119, FALSE)</f>
        <v>3698</v>
      </c>
      <c r="I76" s="3">
        <v>5</v>
      </c>
    </row>
    <row r="77" spans="1:9" x14ac:dyDescent="0.45">
      <c r="A77" s="3">
        <v>5.4</v>
      </c>
      <c r="B77" s="3">
        <v>22</v>
      </c>
      <c r="C77" s="3">
        <v>0.08</v>
      </c>
      <c r="D77" s="4">
        <v>0.11606391925988226</v>
      </c>
      <c r="E77" s="1" t="s">
        <v>188</v>
      </c>
      <c r="F77" s="1" t="s">
        <v>189</v>
      </c>
      <c r="G77" s="1">
        <f>VLOOKUP(E77,Effects!A:J,10,FALSE)</f>
        <v>0.60896888628506152</v>
      </c>
      <c r="H77" s="1">
        <f>VLOOKUP(E77,IOT!$A$6:$DO$115, 119, FALSE)</f>
        <v>21213</v>
      </c>
      <c r="I77" s="3">
        <v>5</v>
      </c>
    </row>
    <row r="78" spans="1:9" x14ac:dyDescent="0.45">
      <c r="A78" s="3">
        <v>5.4</v>
      </c>
      <c r="B78" s="3" t="s">
        <v>33</v>
      </c>
      <c r="C78" s="3">
        <v>0.59</v>
      </c>
      <c r="D78" s="4">
        <v>0.93089802130898025</v>
      </c>
      <c r="E78" s="1" t="s">
        <v>192</v>
      </c>
      <c r="F78" s="1" t="s">
        <v>193</v>
      </c>
      <c r="G78" s="1">
        <f>VLOOKUP(E78,Effects!A:J,10,FALSE)</f>
        <v>0.69529776883867012</v>
      </c>
      <c r="H78" s="1">
        <f>VLOOKUP(E78,IOT!$A$6:$DO$115, 119, FALSE)</f>
        <v>7120</v>
      </c>
      <c r="I78" s="3">
        <v>5</v>
      </c>
    </row>
    <row r="79" spans="1:9" x14ac:dyDescent="0.45">
      <c r="A79" s="3">
        <v>5.4</v>
      </c>
      <c r="B79" s="3" t="s">
        <v>36</v>
      </c>
      <c r="C79" s="3">
        <v>0.33</v>
      </c>
      <c r="D79" s="4">
        <v>0.33867775138558986</v>
      </c>
      <c r="E79" s="1" t="s">
        <v>200</v>
      </c>
      <c r="F79" s="1" t="s">
        <v>201</v>
      </c>
      <c r="G79" s="1">
        <f>VLOOKUP(E79,Effects!A:J,10,FALSE)</f>
        <v>0.72791781533727107</v>
      </c>
      <c r="H79" s="1">
        <f>VLOOKUP(E79,IOT!$A$6:$DO$115, 119, FALSE)</f>
        <v>30969</v>
      </c>
      <c r="I79" s="3">
        <v>5</v>
      </c>
    </row>
    <row r="80" spans="1:9" x14ac:dyDescent="0.45">
      <c r="A80" s="3" t="s">
        <v>54</v>
      </c>
      <c r="B80" s="3">
        <v>28</v>
      </c>
      <c r="C80" s="3">
        <v>1</v>
      </c>
      <c r="D80" s="4">
        <v>0.15705765407554673</v>
      </c>
      <c r="E80" s="1" t="s">
        <v>206</v>
      </c>
      <c r="F80" s="1" t="s">
        <v>207</v>
      </c>
      <c r="G80" s="1">
        <f>VLOOKUP(E80,Effects!A:J,10,FALSE)</f>
        <v>0.66982495668491859</v>
      </c>
      <c r="H80" s="1">
        <f>VLOOKUP(E80,IOT!$A$6:$DO$115, 119, FALSE)</f>
        <v>29360</v>
      </c>
      <c r="I80" s="3">
        <v>5</v>
      </c>
    </row>
    <row r="81" spans="1:9" x14ac:dyDescent="0.45">
      <c r="A81" s="3" t="s">
        <v>55</v>
      </c>
      <c r="B81" s="3">
        <v>22</v>
      </c>
      <c r="C81" s="3">
        <v>0.21600000000000003</v>
      </c>
      <c r="D81" s="4">
        <v>0.23605270535463976</v>
      </c>
      <c r="E81" s="1" t="s">
        <v>188</v>
      </c>
      <c r="F81" s="1" t="s">
        <v>189</v>
      </c>
      <c r="G81" s="1">
        <f>VLOOKUP(E81,Effects!A:J,10,FALSE)</f>
        <v>0.60896888628506152</v>
      </c>
      <c r="H81" s="1">
        <f>VLOOKUP(E81,IOT!$A$6:$DO$115, 119, FALSE)</f>
        <v>21213</v>
      </c>
      <c r="I81" s="3">
        <v>5</v>
      </c>
    </row>
    <row r="82" spans="1:9" x14ac:dyDescent="0.45">
      <c r="A82" s="3" t="s">
        <v>55</v>
      </c>
      <c r="B82" s="3" t="s">
        <v>36</v>
      </c>
      <c r="C82" s="3">
        <v>0.5</v>
      </c>
      <c r="D82" s="4">
        <v>0.385193982581156</v>
      </c>
      <c r="E82" s="1" t="s">
        <v>200</v>
      </c>
      <c r="F82" s="1" t="s">
        <v>201</v>
      </c>
      <c r="G82" s="1">
        <f>VLOOKUP(E82,Effects!A:J,10,FALSE)</f>
        <v>0.72791781533727107</v>
      </c>
      <c r="H82" s="1">
        <f>VLOOKUP(E82,IOT!$A$6:$DO$115, 119, FALSE)</f>
        <v>30969</v>
      </c>
      <c r="I82" s="3">
        <v>5</v>
      </c>
    </row>
    <row r="83" spans="1:9" x14ac:dyDescent="0.45">
      <c r="A83" s="3" t="s">
        <v>55</v>
      </c>
      <c r="B83" s="3">
        <v>27</v>
      </c>
      <c r="C83" s="3">
        <v>0.28399999999999997</v>
      </c>
      <c r="D83" s="4">
        <v>0.11601341437853699</v>
      </c>
      <c r="E83" s="1" t="s">
        <v>204</v>
      </c>
      <c r="F83" s="1" t="s">
        <v>205</v>
      </c>
      <c r="G83" s="1">
        <f>VLOOKUP(E83,Effects!A:J,10,FALSE)</f>
        <v>0.66145105140926663</v>
      </c>
      <c r="H83" s="1">
        <f>VLOOKUP(E83,IOT!$A$6:$DO$115, 119, FALSE)</f>
        <v>12633</v>
      </c>
      <c r="I83" s="3">
        <v>5</v>
      </c>
    </row>
    <row r="84" spans="1:9" x14ac:dyDescent="0.45">
      <c r="A84" s="3" t="s">
        <v>56</v>
      </c>
      <c r="B84" s="3">
        <v>13</v>
      </c>
      <c r="C84" s="3">
        <v>0.01</v>
      </c>
      <c r="D84" s="4">
        <v>2.8519755147468004E-3</v>
      </c>
      <c r="E84" s="1" t="s">
        <v>160</v>
      </c>
      <c r="F84" s="1" t="s">
        <v>161</v>
      </c>
      <c r="G84" s="1">
        <f>VLOOKUP(E84,Effects!A:J,10,FALSE)</f>
        <v>0.79013404483086158</v>
      </c>
      <c r="H84" s="1">
        <f>VLOOKUP(E84,IOT!$A$6:$DO$115, 119, FALSE)</f>
        <v>6589</v>
      </c>
      <c r="I84" s="3">
        <v>5</v>
      </c>
    </row>
    <row r="85" spans="1:9" x14ac:dyDescent="0.45">
      <c r="A85" s="3" t="s">
        <v>56</v>
      </c>
      <c r="B85" s="3">
        <v>15</v>
      </c>
      <c r="C85" s="3">
        <v>1.1000000000000001E-2</v>
      </c>
      <c r="D85" s="4">
        <v>4.2004773269689738E-3</v>
      </c>
      <c r="E85" s="1" t="s">
        <v>164</v>
      </c>
      <c r="F85" s="1" t="s">
        <v>165</v>
      </c>
      <c r="G85" s="1">
        <f>VLOOKUP(E85,Effects!A:J,10,FALSE)</f>
        <v>0.78616305881060056</v>
      </c>
      <c r="H85" s="1">
        <f>VLOOKUP(E85,IOT!$A$6:$DO$115, 119, FALSE)</f>
        <v>985</v>
      </c>
      <c r="I85" s="3">
        <v>5</v>
      </c>
    </row>
    <row r="86" spans="1:9" x14ac:dyDescent="0.45">
      <c r="A86" s="3" t="s">
        <v>56</v>
      </c>
      <c r="B86" s="3">
        <v>17</v>
      </c>
      <c r="C86" s="3">
        <v>0.01</v>
      </c>
      <c r="D86" s="4">
        <v>9.8628818859754636E-3</v>
      </c>
      <c r="E86" s="1" t="s">
        <v>168</v>
      </c>
      <c r="F86" s="1" t="s">
        <v>169</v>
      </c>
      <c r="G86" s="1">
        <f>VLOOKUP(E86,Effects!A:J,10,FALSE)</f>
        <v>0.68547157251781998</v>
      </c>
      <c r="H86" s="1">
        <f>VLOOKUP(E86,IOT!$A$6:$DO$115, 119, FALSE)</f>
        <v>12424</v>
      </c>
      <c r="I86" s="3">
        <v>5</v>
      </c>
    </row>
    <row r="87" spans="1:9" x14ac:dyDescent="0.45">
      <c r="A87" s="3" t="s">
        <v>56</v>
      </c>
      <c r="B87" s="3">
        <v>20.399999999999999</v>
      </c>
      <c r="C87" s="3">
        <v>0.9</v>
      </c>
      <c r="D87" s="4">
        <v>0.21350936095145961</v>
      </c>
      <c r="E87" s="1" t="s">
        <v>176</v>
      </c>
      <c r="F87" s="1" t="s">
        <v>177</v>
      </c>
      <c r="G87" s="1">
        <f>VLOOKUP(E87,Effects!A:J,10,FALSE)</f>
        <v>0.7685987896898826</v>
      </c>
      <c r="H87" s="1">
        <f>VLOOKUP(E87,IOT!$A$6:$DO$115, 119, FALSE)</f>
        <v>8680</v>
      </c>
      <c r="I87" s="3">
        <v>5</v>
      </c>
    </row>
    <row r="88" spans="1:9" x14ac:dyDescent="0.45">
      <c r="A88" s="3" t="s">
        <v>56</v>
      </c>
      <c r="B88" s="3">
        <v>22</v>
      </c>
      <c r="C88" s="3">
        <v>0.05</v>
      </c>
      <c r="D88" s="4">
        <v>5.8312307261003643E-2</v>
      </c>
      <c r="E88" s="1" t="s">
        <v>188</v>
      </c>
      <c r="F88" s="1" t="s">
        <v>189</v>
      </c>
      <c r="G88" s="1">
        <f>VLOOKUP(E88,Effects!A:J,10,FALSE)</f>
        <v>0.60896888628506152</v>
      </c>
      <c r="H88" s="1">
        <f>VLOOKUP(E88,IOT!$A$6:$DO$115, 119, FALSE)</f>
        <v>21213</v>
      </c>
      <c r="I88" s="3">
        <v>5</v>
      </c>
    </row>
    <row r="89" spans="1:9" x14ac:dyDescent="0.45">
      <c r="A89" s="3" t="s">
        <v>56</v>
      </c>
      <c r="B89" s="3" t="s">
        <v>36</v>
      </c>
      <c r="C89" s="3">
        <v>0.01</v>
      </c>
      <c r="D89" s="4">
        <v>8.1155977830562158E-3</v>
      </c>
      <c r="E89" s="1" t="s">
        <v>200</v>
      </c>
      <c r="F89" s="1" t="s">
        <v>201</v>
      </c>
      <c r="G89" s="1">
        <f>VLOOKUP(E89,Effects!A:J,10,FALSE)</f>
        <v>0.72791781533727107</v>
      </c>
      <c r="H89" s="1">
        <f>VLOOKUP(E89,IOT!$A$6:$DO$115, 119, FALSE)</f>
        <v>30969</v>
      </c>
      <c r="I89" s="3">
        <v>5</v>
      </c>
    </row>
    <row r="90" spans="1:9" x14ac:dyDescent="0.45">
      <c r="A90" s="3" t="s">
        <v>56</v>
      </c>
      <c r="B90" s="3">
        <v>32</v>
      </c>
      <c r="C90" s="3">
        <v>0.01</v>
      </c>
      <c r="D90" s="4">
        <v>1.5844798268665945E-3</v>
      </c>
      <c r="E90" s="1" t="s">
        <v>218</v>
      </c>
      <c r="F90" s="1" t="s">
        <v>219</v>
      </c>
      <c r="G90" s="1">
        <f>VLOOKUP(E90,Effects!A:J,10,FALSE)</f>
        <v>0.74699995664052998</v>
      </c>
      <c r="H90" s="1">
        <f>VLOOKUP(E90,IOT!$A$6:$DO$115, 119, FALSE)</f>
        <v>9742</v>
      </c>
      <c r="I90" s="3">
        <v>5</v>
      </c>
    </row>
    <row r="91" spans="1:9" x14ac:dyDescent="0.45">
      <c r="A91" s="3" t="s">
        <v>57</v>
      </c>
      <c r="B91" s="3">
        <v>77</v>
      </c>
      <c r="C91" s="3">
        <v>5.0000000000000001E-3</v>
      </c>
      <c r="D91" s="4">
        <v>2.9333705824835872E-3</v>
      </c>
      <c r="E91" s="1" t="s">
        <v>300</v>
      </c>
      <c r="F91" s="1" t="s">
        <v>301</v>
      </c>
      <c r="G91" s="1">
        <f>VLOOKUP(E91,Effects!A:J,10,FALSE)</f>
        <v>0.89792723145054176</v>
      </c>
      <c r="H91" s="1">
        <f>VLOOKUP(E91,IOT!$A$6:$DO$115, 119, FALSE)</f>
        <v>43159</v>
      </c>
      <c r="I91" s="3">
        <v>5</v>
      </c>
    </row>
    <row r="92" spans="1:9" x14ac:dyDescent="0.45">
      <c r="A92" s="3" t="s">
        <v>57</v>
      </c>
      <c r="B92" s="3">
        <v>81</v>
      </c>
      <c r="C92" s="3">
        <v>6.0000000000000001E-3</v>
      </c>
      <c r="D92" s="4">
        <v>1</v>
      </c>
      <c r="E92" s="1" t="s">
        <v>308</v>
      </c>
      <c r="F92" s="1" t="s">
        <v>309</v>
      </c>
      <c r="G92" s="1">
        <f>VLOOKUP(E92,Effects!A:J,10,FALSE)</f>
        <v>0.90616899371013715</v>
      </c>
      <c r="H92" s="1">
        <f>VLOOKUP(E92,IOT!$A$6:$DO$115, 119, FALSE)</f>
        <v>22056</v>
      </c>
      <c r="I92" s="3">
        <v>5</v>
      </c>
    </row>
    <row r="93" spans="1:9" x14ac:dyDescent="0.45">
      <c r="A93" s="3" t="s">
        <v>57</v>
      </c>
      <c r="B93" s="3">
        <v>82</v>
      </c>
      <c r="C93" s="3">
        <v>0.01</v>
      </c>
      <c r="D93" s="4">
        <v>0.17333333333333334</v>
      </c>
      <c r="E93" s="1" t="s">
        <v>310</v>
      </c>
      <c r="F93" s="1" t="s">
        <v>311</v>
      </c>
      <c r="G93" s="1">
        <f>VLOOKUP(E93,Effects!A:J,10,FALSE)</f>
        <v>0.82417035216514034</v>
      </c>
      <c r="H93" s="1">
        <f>VLOOKUP(E93,IOT!$A$6:$DO$115, 119, FALSE)</f>
        <v>48362</v>
      </c>
      <c r="I93" s="3">
        <v>5</v>
      </c>
    </row>
    <row r="94" spans="1:9" x14ac:dyDescent="0.45">
      <c r="A94" s="3" t="s">
        <v>57</v>
      </c>
      <c r="B94" s="3">
        <v>96</v>
      </c>
      <c r="C94" s="3">
        <v>6.0000000000000001E-3</v>
      </c>
      <c r="D94" s="4">
        <v>1.3722126929674098E-3</v>
      </c>
      <c r="E94" s="1" t="s">
        <v>332</v>
      </c>
      <c r="F94" s="1" t="s">
        <v>333</v>
      </c>
      <c r="G94" s="1">
        <f>VLOOKUP(E94,Effects!A:J,10,FALSE)</f>
        <v>0.9285979457005854</v>
      </c>
      <c r="H94" s="1">
        <f>VLOOKUP(E94,IOT!$A$6:$DO$115, 119, FALSE)</f>
        <v>28154</v>
      </c>
      <c r="I94" s="3">
        <v>5</v>
      </c>
    </row>
    <row r="95" spans="1:9" x14ac:dyDescent="0.45">
      <c r="A95" s="3" t="s">
        <v>57</v>
      </c>
      <c r="B95" s="3">
        <v>97</v>
      </c>
      <c r="C95" s="3">
        <v>0.97299999999999998</v>
      </c>
      <c r="D95" s="4">
        <v>1</v>
      </c>
      <c r="E95" s="1" t="s">
        <v>334</v>
      </c>
      <c r="F95" s="1" t="s">
        <v>335</v>
      </c>
      <c r="G95" s="1">
        <f>VLOOKUP(E95,Effects!A:J,10,FALSE)</f>
        <v>1</v>
      </c>
      <c r="H95" s="1">
        <f>VLOOKUP(E95,IOT!$A$6:$DO$115, 119, FALSE)</f>
        <v>3917</v>
      </c>
      <c r="I95" s="3">
        <v>5</v>
      </c>
    </row>
    <row r="96" spans="1:9" x14ac:dyDescent="0.45">
      <c r="A96" s="3" t="s">
        <v>58</v>
      </c>
      <c r="B96" s="3">
        <v>21</v>
      </c>
      <c r="C96" s="3">
        <v>0.95400000000000007</v>
      </c>
      <c r="D96" s="4">
        <v>0.42409658899020602</v>
      </c>
      <c r="E96" s="1" t="s">
        <v>186</v>
      </c>
      <c r="F96" s="1" t="s">
        <v>187</v>
      </c>
      <c r="G96" s="1">
        <f>VLOOKUP(E96,Effects!A:J,10,FALSE)</f>
        <v>0.75185057085669671</v>
      </c>
      <c r="H96" s="1">
        <f>VLOOKUP(E96,IOT!$A$6:$DO$115, 119, FALSE)</f>
        <v>25174</v>
      </c>
      <c r="I96" s="3">
        <v>6</v>
      </c>
    </row>
    <row r="97" spans="1:9" x14ac:dyDescent="0.45">
      <c r="A97" s="3" t="s">
        <v>58</v>
      </c>
      <c r="B97" s="3">
        <v>84</v>
      </c>
      <c r="C97" s="3">
        <v>4.5999999999999999E-2</v>
      </c>
      <c r="D97" s="4">
        <v>9.1557223264540341E-2</v>
      </c>
      <c r="E97" s="1" t="s">
        <v>312</v>
      </c>
      <c r="F97" s="1" t="s">
        <v>313</v>
      </c>
      <c r="G97" s="1">
        <f>VLOOKUP(E97,Effects!A:J,10,FALSE)</f>
        <v>0.85820281436537482</v>
      </c>
      <c r="H97" s="1">
        <f>VLOOKUP(E97,IOT!$A$6:$DO$115, 119, FALSE)</f>
        <v>168186</v>
      </c>
      <c r="I97" s="3">
        <v>6</v>
      </c>
    </row>
    <row r="98" spans="1:9" x14ac:dyDescent="0.45">
      <c r="A98" s="3" t="s">
        <v>59</v>
      </c>
      <c r="B98" s="3">
        <v>22</v>
      </c>
      <c r="C98" s="3">
        <v>0.60799999999999998</v>
      </c>
      <c r="D98" s="4">
        <v>9.6159237454443505E-2</v>
      </c>
      <c r="E98" s="1" t="s">
        <v>188</v>
      </c>
      <c r="F98" s="1" t="s">
        <v>189</v>
      </c>
      <c r="G98" s="1">
        <f>VLOOKUP(E98,Effects!A:J,10,FALSE)</f>
        <v>0.60896888628506152</v>
      </c>
      <c r="H98" s="1">
        <f>VLOOKUP(E98,IOT!$A$6:$DO$115, 119, FALSE)</f>
        <v>21213</v>
      </c>
      <c r="I98" s="3">
        <v>6</v>
      </c>
    </row>
    <row r="99" spans="1:9" x14ac:dyDescent="0.45">
      <c r="A99" s="3" t="s">
        <v>59</v>
      </c>
      <c r="B99" s="3">
        <v>32</v>
      </c>
      <c r="C99" s="3">
        <v>0.39200000000000002</v>
      </c>
      <c r="D99" s="4">
        <v>8.5407327253053025E-3</v>
      </c>
      <c r="E99" s="1" t="s">
        <v>218</v>
      </c>
      <c r="F99" s="1" t="s">
        <v>219</v>
      </c>
      <c r="G99" s="1">
        <f>VLOOKUP(E99,Effects!A:J,10,FALSE)</f>
        <v>0.74699995664052998</v>
      </c>
      <c r="H99" s="1">
        <f>VLOOKUP(E99,IOT!$A$6:$DO$115, 119, FALSE)</f>
        <v>9742</v>
      </c>
      <c r="I99" s="3">
        <v>6</v>
      </c>
    </row>
    <row r="100" spans="1:9" x14ac:dyDescent="0.45">
      <c r="A100" s="3" t="s">
        <v>60</v>
      </c>
      <c r="B100" s="3">
        <v>26</v>
      </c>
      <c r="C100" s="3">
        <v>0.29899999999999999</v>
      </c>
      <c r="D100" s="4">
        <v>5.6417081356324499E-2</v>
      </c>
      <c r="E100" s="1" t="s">
        <v>202</v>
      </c>
      <c r="F100" s="1" t="s">
        <v>203</v>
      </c>
      <c r="G100" s="1">
        <f>VLOOKUP(E100,Effects!A:J,10,FALSE)</f>
        <v>0.81515016553025754</v>
      </c>
      <c r="H100" s="1">
        <f>VLOOKUP(E100,IOT!$A$6:$DO$115, 119, FALSE)</f>
        <v>24708</v>
      </c>
      <c r="I100" s="3">
        <v>6</v>
      </c>
    </row>
    <row r="101" spans="1:9" x14ac:dyDescent="0.45">
      <c r="A101" s="3" t="s">
        <v>60</v>
      </c>
      <c r="B101" s="3" t="s">
        <v>61</v>
      </c>
      <c r="C101" s="3">
        <v>0.10300000000000001</v>
      </c>
      <c r="D101" s="4">
        <v>8.245656961096158E-2</v>
      </c>
      <c r="E101" s="1" t="s">
        <v>214</v>
      </c>
      <c r="F101" s="1" t="s">
        <v>215</v>
      </c>
      <c r="G101" s="1">
        <f>VLOOKUP(E101,Effects!A:J,10,FALSE)</f>
        <v>0.64627036106026881</v>
      </c>
      <c r="H101" s="1">
        <f>VLOOKUP(E101,IOT!$A$6:$DO$115, 119, FALSE)</f>
        <v>2714</v>
      </c>
      <c r="I101" s="3">
        <v>6</v>
      </c>
    </row>
    <row r="102" spans="1:9" x14ac:dyDescent="0.45">
      <c r="A102" s="3" t="s">
        <v>60</v>
      </c>
      <c r="B102" s="3">
        <v>32</v>
      </c>
      <c r="C102" s="3">
        <v>0.59799999999999998</v>
      </c>
      <c r="D102" s="4">
        <v>7.5282114700881128E-2</v>
      </c>
      <c r="E102" s="1" t="s">
        <v>218</v>
      </c>
      <c r="F102" s="1" t="s">
        <v>219</v>
      </c>
      <c r="G102" s="1">
        <f>VLOOKUP(E102,Effects!A:J,10,FALSE)</f>
        <v>0.74699995664052998</v>
      </c>
      <c r="H102" s="1">
        <f>VLOOKUP(E102,IOT!$A$6:$DO$115, 119, FALSE)</f>
        <v>9742</v>
      </c>
      <c r="I102" s="3">
        <v>6</v>
      </c>
    </row>
    <row r="103" spans="1:9" x14ac:dyDescent="0.45">
      <c r="A103" s="3" t="s">
        <v>62</v>
      </c>
      <c r="B103" s="3">
        <v>86</v>
      </c>
      <c r="C103" s="3">
        <v>1</v>
      </c>
      <c r="D103" s="4">
        <v>0.10887364461163974</v>
      </c>
      <c r="E103" s="1" t="s">
        <v>316</v>
      </c>
      <c r="F103" s="1" t="s">
        <v>317</v>
      </c>
      <c r="G103" s="1">
        <f>VLOOKUP(E103,Effects!A:J,10,FALSE)</f>
        <v>0.85158028789274831</v>
      </c>
      <c r="H103" s="1">
        <f>VLOOKUP(E103,IOT!$A$6:$DO$115, 119, FALSE)</f>
        <v>170635</v>
      </c>
      <c r="I103" s="3">
        <v>6</v>
      </c>
    </row>
    <row r="104" spans="1:9" x14ac:dyDescent="0.45">
      <c r="A104" s="3" t="s">
        <v>63</v>
      </c>
      <c r="B104" s="3">
        <v>86</v>
      </c>
      <c r="C104" s="3">
        <v>1</v>
      </c>
      <c r="D104" s="4">
        <v>0.22427528214206682</v>
      </c>
      <c r="E104" s="1" t="s">
        <v>316</v>
      </c>
      <c r="F104" s="1" t="s">
        <v>317</v>
      </c>
      <c r="G104" s="1">
        <f>VLOOKUP(E104,Effects!A:J,10,FALSE)</f>
        <v>0.85158028789274831</v>
      </c>
      <c r="H104" s="1">
        <f>VLOOKUP(E104,IOT!$A$6:$DO$115, 119, FALSE)</f>
        <v>170635</v>
      </c>
      <c r="I104" s="3">
        <v>6</v>
      </c>
    </row>
    <row r="105" spans="1:9" x14ac:dyDescent="0.45">
      <c r="A105" s="3" t="s">
        <v>64</v>
      </c>
      <c r="B105" s="3">
        <v>86</v>
      </c>
      <c r="C105" s="3">
        <v>1</v>
      </c>
      <c r="D105" s="4">
        <v>6.561186103120159E-2</v>
      </c>
      <c r="E105" s="1" t="s">
        <v>316</v>
      </c>
      <c r="F105" s="1" t="s">
        <v>317</v>
      </c>
      <c r="G105" s="1">
        <f>VLOOKUP(E105,Effects!A:J,10,FALSE)</f>
        <v>0.85158028789274831</v>
      </c>
      <c r="H105" s="1">
        <f>VLOOKUP(E105,IOT!$A$6:$DO$115, 119, FALSE)</f>
        <v>170635</v>
      </c>
      <c r="I105" s="3">
        <v>6</v>
      </c>
    </row>
    <row r="106" spans="1:9" x14ac:dyDescent="0.45">
      <c r="A106" s="3">
        <v>6.3</v>
      </c>
      <c r="B106" s="3">
        <v>86</v>
      </c>
      <c r="C106" s="3">
        <v>1</v>
      </c>
      <c r="D106" s="4">
        <v>0.33746404071697278</v>
      </c>
      <c r="E106" s="1" t="s">
        <v>316</v>
      </c>
      <c r="F106" s="1" t="s">
        <v>317</v>
      </c>
      <c r="G106" s="1">
        <f>VLOOKUP(E106,Effects!A:J,10,FALSE)</f>
        <v>0.85158028789274831</v>
      </c>
      <c r="H106" s="1">
        <f>VLOOKUP(E106,IOT!$A$6:$DO$115, 119, FALSE)</f>
        <v>170635</v>
      </c>
      <c r="I106" s="3">
        <v>6</v>
      </c>
    </row>
    <row r="107" spans="1:9" x14ac:dyDescent="0.45">
      <c r="A107" s="3" t="s">
        <v>65</v>
      </c>
      <c r="B107" s="3">
        <v>29</v>
      </c>
      <c r="C107" s="3">
        <v>0.90400000000000003</v>
      </c>
      <c r="D107" s="4">
        <v>0.82022957590893808</v>
      </c>
      <c r="E107" s="1" t="s">
        <v>208</v>
      </c>
      <c r="F107" s="1" t="s">
        <v>209</v>
      </c>
      <c r="G107" s="1">
        <f>VLOOKUP(E107,Effects!A:J,10,FALSE)</f>
        <v>0.56763628267462674</v>
      </c>
      <c r="H107" s="1">
        <f>VLOOKUP(E107,IOT!$A$6:$DO$115, 119, FALSE)</f>
        <v>58610</v>
      </c>
      <c r="I107" s="3">
        <v>7</v>
      </c>
    </row>
    <row r="108" spans="1:9" x14ac:dyDescent="0.45">
      <c r="A108" s="3" t="s">
        <v>65</v>
      </c>
      <c r="B108" s="3">
        <v>77</v>
      </c>
      <c r="C108" s="3">
        <v>9.6000000000000002E-2</v>
      </c>
      <c r="D108" s="4">
        <v>0.50747311076966062</v>
      </c>
      <c r="E108" s="1" t="s">
        <v>300</v>
      </c>
      <c r="F108" s="1" t="s">
        <v>301</v>
      </c>
      <c r="G108" s="1">
        <f>VLOOKUP(E108,Effects!A:J,10,FALSE)</f>
        <v>0.89792723145054176</v>
      </c>
      <c r="H108" s="1">
        <f>VLOOKUP(E108,IOT!$A$6:$DO$115, 119, FALSE)</f>
        <v>43159</v>
      </c>
      <c r="I108" s="3">
        <v>7</v>
      </c>
    </row>
    <row r="109" spans="1:9" x14ac:dyDescent="0.45">
      <c r="A109" s="3" t="s">
        <v>66</v>
      </c>
      <c r="B109" s="3" t="s">
        <v>61</v>
      </c>
      <c r="C109" s="3">
        <v>1</v>
      </c>
      <c r="D109" s="4">
        <v>0.14289209689258625</v>
      </c>
      <c r="E109" s="1" t="s">
        <v>214</v>
      </c>
      <c r="F109" s="1" t="s">
        <v>215</v>
      </c>
      <c r="G109" s="1">
        <f>VLOOKUP(E109,Effects!A:J,10,FALSE)</f>
        <v>0.64627036106026881</v>
      </c>
      <c r="H109" s="1">
        <f>VLOOKUP(E109,IOT!$A$6:$DO$115, 119, FALSE)</f>
        <v>2714</v>
      </c>
      <c r="I109" s="3">
        <v>7</v>
      </c>
    </row>
    <row r="110" spans="1:9" x14ac:dyDescent="0.45">
      <c r="A110" s="3" t="s">
        <v>67</v>
      </c>
      <c r="B110" s="3" t="s">
        <v>61</v>
      </c>
      <c r="C110" s="3">
        <v>1</v>
      </c>
      <c r="D110" s="4">
        <v>0.38096403229752873</v>
      </c>
      <c r="E110" s="1" t="s">
        <v>214</v>
      </c>
      <c r="F110" s="1" t="s">
        <v>215</v>
      </c>
      <c r="G110" s="1">
        <f>VLOOKUP(E110,Effects!A:J,10,FALSE)</f>
        <v>0.64627036106026881</v>
      </c>
      <c r="H110" s="1">
        <f>VLOOKUP(E110,IOT!$A$6:$DO$115, 119, FALSE)</f>
        <v>2714</v>
      </c>
      <c r="I110" s="3">
        <v>7</v>
      </c>
    </row>
    <row r="111" spans="1:9" x14ac:dyDescent="0.45">
      <c r="A111" s="3" t="s">
        <v>68</v>
      </c>
      <c r="B111" s="3">
        <v>20.3</v>
      </c>
      <c r="C111" s="3">
        <v>1E-3</v>
      </c>
      <c r="D111" s="4">
        <v>3.7974683544303799E-2</v>
      </c>
      <c r="E111" s="1" t="s">
        <v>174</v>
      </c>
      <c r="F111" s="1" t="s">
        <v>175</v>
      </c>
      <c r="G111" s="1">
        <f>VLOOKUP(E111,Effects!A:J,10,FALSE)</f>
        <v>0.6831533284766913</v>
      </c>
      <c r="H111" s="1">
        <f>VLOOKUP(E111,IOT!$A$6:$DO$115, 119, FALSE)</f>
        <v>3179</v>
      </c>
      <c r="I111" s="3">
        <v>7</v>
      </c>
    </row>
    <row r="112" spans="1:9" x14ac:dyDescent="0.45">
      <c r="A112" s="3" t="s">
        <v>68</v>
      </c>
      <c r="B112" s="3">
        <v>22</v>
      </c>
      <c r="C112" s="3">
        <v>0.25</v>
      </c>
      <c r="D112" s="4">
        <v>0.33501541911970845</v>
      </c>
      <c r="E112" s="1" t="s">
        <v>188</v>
      </c>
      <c r="F112" s="1" t="s">
        <v>189</v>
      </c>
      <c r="G112" s="1">
        <f>VLOOKUP(E112,Effects!A:J,10,FALSE)</f>
        <v>0.60896888628506152</v>
      </c>
      <c r="H112" s="1">
        <f>VLOOKUP(E112,IOT!$A$6:$DO$115, 119, FALSE)</f>
        <v>21213</v>
      </c>
      <c r="I112" s="3">
        <v>7</v>
      </c>
    </row>
    <row r="113" spans="1:9" x14ac:dyDescent="0.45">
      <c r="A113" s="3" t="s">
        <v>68</v>
      </c>
      <c r="B113" s="3">
        <v>29</v>
      </c>
      <c r="C113" s="3">
        <v>0.74900000000000011</v>
      </c>
      <c r="D113" s="4">
        <v>8.5874837904039186E-2</v>
      </c>
      <c r="E113" s="1" t="s">
        <v>208</v>
      </c>
      <c r="F113" s="1" t="s">
        <v>209</v>
      </c>
      <c r="G113" s="1">
        <f>VLOOKUP(E113,Effects!A:J,10,FALSE)</f>
        <v>0.56763628267462674</v>
      </c>
      <c r="H113" s="1">
        <f>VLOOKUP(E113,IOT!$A$6:$DO$115, 119, FALSE)</f>
        <v>58610</v>
      </c>
      <c r="I113" s="3">
        <v>7</v>
      </c>
    </row>
    <row r="114" spans="1:9" x14ac:dyDescent="0.45">
      <c r="A114" s="3" t="s">
        <v>69</v>
      </c>
      <c r="B114" s="3">
        <v>19</v>
      </c>
      <c r="C114" s="3">
        <v>0.996</v>
      </c>
      <c r="D114" s="4">
        <v>0.94847049189916355</v>
      </c>
      <c r="E114" s="1" t="s">
        <v>172</v>
      </c>
      <c r="F114" s="1" t="s">
        <v>173</v>
      </c>
      <c r="G114" s="1">
        <f>VLOOKUP(E114,Effects!A:J,10,FALSE)</f>
        <v>0.19626931656829261</v>
      </c>
      <c r="H114" s="1">
        <f>VLOOKUP(E114,IOT!$A$6:$DO$115, 119, FALSE)</f>
        <v>30700</v>
      </c>
      <c r="I114" s="3">
        <v>7</v>
      </c>
    </row>
    <row r="115" spans="1:9" x14ac:dyDescent="0.45">
      <c r="A115" s="3" t="s">
        <v>69</v>
      </c>
      <c r="B115" s="3">
        <v>20.5</v>
      </c>
      <c r="C115" s="3">
        <v>4.0000000000000001E-3</v>
      </c>
      <c r="D115" s="4">
        <v>9.9332839140103782E-2</v>
      </c>
      <c r="E115" s="1" t="s">
        <v>178</v>
      </c>
      <c r="F115" s="1" t="s">
        <v>179</v>
      </c>
      <c r="G115" s="1">
        <f>VLOOKUP(E115,Effects!A:J,10,FALSE)</f>
        <v>0.60529104288966107</v>
      </c>
      <c r="H115" s="1">
        <f>VLOOKUP(E115,IOT!$A$6:$DO$115, 119, FALSE)</f>
        <v>5965</v>
      </c>
      <c r="I115" s="3">
        <v>7</v>
      </c>
    </row>
    <row r="116" spans="1:9" x14ac:dyDescent="0.45">
      <c r="A116" s="3" t="s">
        <v>70</v>
      </c>
      <c r="B116" s="3">
        <v>45</v>
      </c>
      <c r="C116" s="3">
        <v>0.97</v>
      </c>
      <c r="D116" s="4">
        <v>1</v>
      </c>
      <c r="E116" s="1" t="s">
        <v>240</v>
      </c>
      <c r="F116" s="1" t="s">
        <v>241</v>
      </c>
      <c r="G116" s="1">
        <f>VLOOKUP(E116,Effects!A:J,10,FALSE)</f>
        <v>0.82345352055876131</v>
      </c>
      <c r="H116" s="1">
        <f>VLOOKUP(E116,IOT!$A$6:$DO$115, 119, FALSE)</f>
        <v>55360</v>
      </c>
      <c r="I116" s="3">
        <v>7</v>
      </c>
    </row>
    <row r="117" spans="1:9" x14ac:dyDescent="0.45">
      <c r="A117" s="3" t="s">
        <v>70</v>
      </c>
      <c r="B117" s="3">
        <v>94</v>
      </c>
      <c r="C117" s="3">
        <v>0.03</v>
      </c>
      <c r="D117" s="4">
        <v>0.44093851132686085</v>
      </c>
      <c r="E117" s="1" t="s">
        <v>328</v>
      </c>
      <c r="F117" s="1" t="s">
        <v>329</v>
      </c>
      <c r="G117" s="1">
        <f>VLOOKUP(E117,Effects!A:J,10,FALSE)</f>
        <v>0.87412602860902311</v>
      </c>
      <c r="H117" s="1">
        <f>VLOOKUP(E117,IOT!$A$6:$DO$115, 119, FALSE)</f>
        <v>15848</v>
      </c>
      <c r="I117" s="3">
        <v>7</v>
      </c>
    </row>
    <row r="118" spans="1:9" x14ac:dyDescent="0.45">
      <c r="A118" s="3" t="s">
        <v>71</v>
      </c>
      <c r="B118" s="3">
        <v>52</v>
      </c>
      <c r="C118" s="3">
        <v>0.17399999999999999</v>
      </c>
      <c r="D118" s="4">
        <v>0.86522911051212936</v>
      </c>
      <c r="E118" s="1" t="s">
        <v>254</v>
      </c>
      <c r="F118" s="1" t="s">
        <v>255</v>
      </c>
      <c r="G118" s="1">
        <f>VLOOKUP(E118,Effects!A:J,10,FALSE)</f>
        <v>0.84960375034326352</v>
      </c>
      <c r="H118" s="1">
        <f>VLOOKUP(E118,IOT!$A$6:$DO$115, 119, FALSE)</f>
        <v>43991</v>
      </c>
      <c r="I118" s="3">
        <v>7</v>
      </c>
    </row>
    <row r="119" spans="1:9" x14ac:dyDescent="0.45">
      <c r="A119" s="3" t="s">
        <v>71</v>
      </c>
      <c r="B119" s="3" t="s">
        <v>27</v>
      </c>
      <c r="C119" s="3">
        <v>1.2E-2</v>
      </c>
      <c r="D119" s="4">
        <v>1.1272462038326371E-3</v>
      </c>
      <c r="E119" s="1" t="s">
        <v>282</v>
      </c>
      <c r="F119" s="1" t="s">
        <v>283</v>
      </c>
      <c r="G119" s="1">
        <f>VLOOKUP(E119,Effects!A:J,10,FALSE)</f>
        <v>0.91331865929778733</v>
      </c>
      <c r="H119" s="1">
        <f>VLOOKUP(E119,IOT!$A$6:$DO$115, 119, FALSE)</f>
        <v>138823</v>
      </c>
      <c r="I119" s="3">
        <v>7</v>
      </c>
    </row>
    <row r="120" spans="1:9" x14ac:dyDescent="0.45">
      <c r="A120" s="3" t="s">
        <v>71</v>
      </c>
      <c r="B120" s="3">
        <v>71</v>
      </c>
      <c r="C120" s="3">
        <v>7.0000000000000007E-2</v>
      </c>
      <c r="D120" s="4">
        <v>0.89220183486238536</v>
      </c>
      <c r="E120" s="1" t="s">
        <v>290</v>
      </c>
      <c r="F120" s="1" t="s">
        <v>291</v>
      </c>
      <c r="G120" s="1">
        <f>VLOOKUP(E120,Effects!A:J,10,FALSE)</f>
        <v>0.78310977568414475</v>
      </c>
      <c r="H120" s="1">
        <f>VLOOKUP(E120,IOT!$A$6:$DO$115, 119, FALSE)</f>
        <v>47099</v>
      </c>
      <c r="I120" s="3">
        <v>7</v>
      </c>
    </row>
    <row r="121" spans="1:9" x14ac:dyDescent="0.45">
      <c r="A121" s="3" t="s">
        <v>71</v>
      </c>
      <c r="B121" s="3">
        <v>77</v>
      </c>
      <c r="C121" s="3">
        <v>0.52500000000000002</v>
      </c>
      <c r="D121" s="4">
        <v>0.40564324626344461</v>
      </c>
      <c r="E121" s="1" t="s">
        <v>300</v>
      </c>
      <c r="F121" s="1" t="s">
        <v>301</v>
      </c>
      <c r="G121" s="1">
        <f>VLOOKUP(E121,Effects!A:J,10,FALSE)</f>
        <v>0.89792723145054176</v>
      </c>
      <c r="H121" s="1">
        <f>VLOOKUP(E121,IOT!$A$6:$DO$115, 119, FALSE)</f>
        <v>43159</v>
      </c>
      <c r="I121" s="3">
        <v>7</v>
      </c>
    </row>
    <row r="122" spans="1:9" x14ac:dyDescent="0.45">
      <c r="A122" s="3" t="s">
        <v>71</v>
      </c>
      <c r="B122" s="3">
        <v>84</v>
      </c>
      <c r="C122" s="3">
        <v>0.20100000000000001</v>
      </c>
      <c r="D122" s="4">
        <v>0.41726078799249533</v>
      </c>
      <c r="E122" s="1" t="s">
        <v>312</v>
      </c>
      <c r="F122" s="1" t="s">
        <v>313</v>
      </c>
      <c r="G122" s="1">
        <f>VLOOKUP(E122,Effects!A:J,10,FALSE)</f>
        <v>0.85820281436537482</v>
      </c>
      <c r="H122" s="1">
        <f>VLOOKUP(E122,IOT!$A$6:$DO$115, 119, FALSE)</f>
        <v>168186</v>
      </c>
      <c r="I122" s="3">
        <v>7</v>
      </c>
    </row>
    <row r="123" spans="1:9" x14ac:dyDescent="0.45">
      <c r="A123" s="3" t="s">
        <v>71</v>
      </c>
      <c r="B123" s="3">
        <v>85</v>
      </c>
      <c r="C123" s="3">
        <v>1.8000000000000002E-2</v>
      </c>
      <c r="D123" s="4">
        <v>6.0094694670389708E-3</v>
      </c>
      <c r="E123" s="1" t="s">
        <v>314</v>
      </c>
      <c r="F123" s="1" t="s">
        <v>315</v>
      </c>
      <c r="G123" s="1">
        <f>VLOOKUP(E123,Effects!A:J,10,FALSE)</f>
        <v>0.93021507448426122</v>
      </c>
      <c r="H123" s="1">
        <f>VLOOKUP(E123,IOT!$A$6:$DO$115, 119, FALSE)</f>
        <v>147438</v>
      </c>
      <c r="I123" s="3">
        <v>7</v>
      </c>
    </row>
    <row r="124" spans="1:9" x14ac:dyDescent="0.45">
      <c r="A124" s="3" t="s">
        <v>72</v>
      </c>
      <c r="B124" s="3" t="s">
        <v>73</v>
      </c>
      <c r="C124" s="3">
        <v>0.74</v>
      </c>
      <c r="D124" s="4">
        <v>1</v>
      </c>
      <c r="E124" s="1" t="s">
        <v>246</v>
      </c>
      <c r="F124" s="1" t="s">
        <v>247</v>
      </c>
      <c r="G124" s="1">
        <f>VLOOKUP(E124,Effects!A:J,10,FALSE)</f>
        <v>0.85905825037801731</v>
      </c>
      <c r="H124" s="1">
        <f>VLOOKUP(E124,IOT!$A$6:$DO$115, 119, FALSE)</f>
        <v>15334</v>
      </c>
      <c r="I124" s="3">
        <v>7</v>
      </c>
    </row>
    <row r="125" spans="1:9" x14ac:dyDescent="0.45">
      <c r="A125" s="3" t="s">
        <v>72</v>
      </c>
      <c r="B125" s="3" t="s">
        <v>74</v>
      </c>
      <c r="C125" s="3">
        <v>0.26</v>
      </c>
      <c r="D125" s="4">
        <v>0.2067779115774987</v>
      </c>
      <c r="E125" s="1" t="s">
        <v>248</v>
      </c>
      <c r="F125" s="1" t="s">
        <v>249</v>
      </c>
      <c r="G125" s="1">
        <f>VLOOKUP(E125,Effects!A:J,10,FALSE)</f>
        <v>0.80676346211924543</v>
      </c>
      <c r="H125" s="1">
        <f>VLOOKUP(E125,IOT!$A$6:$DO$115, 119, FALSE)</f>
        <v>53433</v>
      </c>
      <c r="I125" s="3">
        <v>7</v>
      </c>
    </row>
    <row r="126" spans="1:9" x14ac:dyDescent="0.45">
      <c r="A126" s="3" t="s">
        <v>75</v>
      </c>
      <c r="B126" s="3" t="s">
        <v>74</v>
      </c>
      <c r="C126" s="3">
        <v>1</v>
      </c>
      <c r="D126" s="4">
        <v>0.72183038018234991</v>
      </c>
      <c r="E126" s="1" t="s">
        <v>248</v>
      </c>
      <c r="F126" s="1" t="s">
        <v>249</v>
      </c>
      <c r="G126" s="1">
        <f>VLOOKUP(E126,Effects!A:J,10,FALSE)</f>
        <v>0.80676346211924543</v>
      </c>
      <c r="H126" s="1">
        <f>VLOOKUP(E126,IOT!$A$6:$DO$115, 119, FALSE)</f>
        <v>53433</v>
      </c>
      <c r="I126" s="3">
        <v>7</v>
      </c>
    </row>
    <row r="127" spans="1:9" x14ac:dyDescent="0.45">
      <c r="A127" s="3" t="s">
        <v>76</v>
      </c>
      <c r="B127" s="3">
        <v>51</v>
      </c>
      <c r="C127" s="3">
        <v>1</v>
      </c>
      <c r="D127" s="4">
        <v>1</v>
      </c>
      <c r="E127" s="1" t="s">
        <v>252</v>
      </c>
      <c r="F127" s="1" t="s">
        <v>253</v>
      </c>
      <c r="G127" s="1">
        <f>VLOOKUP(E127,Effects!A:J,10,FALSE)</f>
        <v>0.55030420331992458</v>
      </c>
      <c r="H127" s="1">
        <f>VLOOKUP(E127,IOT!$A$6:$DO$115, 119, FALSE)</f>
        <v>26158</v>
      </c>
      <c r="I127" s="3">
        <v>7</v>
      </c>
    </row>
    <row r="128" spans="1:9" x14ac:dyDescent="0.45">
      <c r="A128" s="3" t="s">
        <v>77</v>
      </c>
      <c r="B128" s="3">
        <v>50</v>
      </c>
      <c r="C128" s="3">
        <v>1</v>
      </c>
      <c r="D128" s="4">
        <v>1</v>
      </c>
      <c r="E128" s="1" t="s">
        <v>250</v>
      </c>
      <c r="F128" s="1" t="s">
        <v>251</v>
      </c>
      <c r="G128" s="1">
        <f>VLOOKUP(E128,Effects!A:J,10,FALSE)</f>
        <v>0.79228399304425778</v>
      </c>
      <c r="H128" s="1">
        <f>VLOOKUP(E128,IOT!$A$6:$DO$115, 119, FALSE)</f>
        <v>14878</v>
      </c>
      <c r="I128" s="3">
        <v>7</v>
      </c>
    </row>
    <row r="129" spans="1:9" x14ac:dyDescent="0.45">
      <c r="A129" s="3" t="s">
        <v>78</v>
      </c>
      <c r="B129" s="3" t="s">
        <v>74</v>
      </c>
      <c r="C129" s="3">
        <v>0.51900000000000002</v>
      </c>
      <c r="D129" s="4">
        <v>7.1391708240151383E-2</v>
      </c>
      <c r="E129" s="1" t="s">
        <v>248</v>
      </c>
      <c r="F129" s="1" t="s">
        <v>249</v>
      </c>
      <c r="G129" s="1">
        <f>VLOOKUP(E129,Effects!A:J,10,FALSE)</f>
        <v>0.80676346211924543</v>
      </c>
      <c r="H129" s="1">
        <f>VLOOKUP(E129,IOT!$A$6:$DO$115, 119, FALSE)</f>
        <v>53433</v>
      </c>
      <c r="I129" s="3">
        <v>7</v>
      </c>
    </row>
    <row r="130" spans="1:9" x14ac:dyDescent="0.45">
      <c r="A130" s="3" t="s">
        <v>78</v>
      </c>
      <c r="B130" s="3">
        <v>79</v>
      </c>
      <c r="C130" s="3">
        <v>0.48100000000000004</v>
      </c>
      <c r="D130" s="4">
        <v>1</v>
      </c>
      <c r="E130" s="1" t="s">
        <v>304</v>
      </c>
      <c r="F130" s="1" t="s">
        <v>305</v>
      </c>
      <c r="G130" s="1">
        <f>VLOOKUP(E130,Effects!A:J,10,FALSE)</f>
        <v>0.74444588249080679</v>
      </c>
      <c r="H130" s="1">
        <f>VLOOKUP(E130,IOT!$A$6:$DO$115, 119, FALSE)</f>
        <v>24877</v>
      </c>
      <c r="I130" s="3">
        <v>7</v>
      </c>
    </row>
    <row r="131" spans="1:9" x14ac:dyDescent="0.45">
      <c r="A131" s="3">
        <v>8.1</v>
      </c>
      <c r="B131" s="3">
        <v>53</v>
      </c>
      <c r="C131" s="3">
        <v>1</v>
      </c>
      <c r="D131" s="4">
        <v>1</v>
      </c>
      <c r="E131" s="1" t="s">
        <v>256</v>
      </c>
      <c r="F131" s="1" t="s">
        <v>257</v>
      </c>
      <c r="G131" s="1">
        <f>VLOOKUP(E131,Effects!A:J,10,FALSE)</f>
        <v>0.84211441561065492</v>
      </c>
      <c r="H131" s="1">
        <f>VLOOKUP(E131,IOT!$A$6:$DO$115, 119, FALSE)</f>
        <v>25311</v>
      </c>
      <c r="I131" s="3">
        <v>8</v>
      </c>
    </row>
    <row r="132" spans="1:9" x14ac:dyDescent="0.45">
      <c r="A132" s="3">
        <v>8.1999999999999993</v>
      </c>
      <c r="B132" s="3">
        <v>26</v>
      </c>
      <c r="C132" s="3">
        <v>1</v>
      </c>
      <c r="D132" s="4">
        <v>4.5596574470547394E-2</v>
      </c>
      <c r="E132" s="1" t="s">
        <v>202</v>
      </c>
      <c r="F132" s="1" t="s">
        <v>203</v>
      </c>
      <c r="G132" s="1">
        <f>VLOOKUP(E132,Effects!A:J,10,FALSE)</f>
        <v>0.81515016553025754</v>
      </c>
      <c r="H132" s="1">
        <f>VLOOKUP(E132,IOT!$A$6:$DO$115, 119, FALSE)</f>
        <v>24708</v>
      </c>
      <c r="I132" s="3">
        <v>8</v>
      </c>
    </row>
    <row r="133" spans="1:9" x14ac:dyDescent="0.45">
      <c r="A133" s="3">
        <v>8.3000000000000007</v>
      </c>
      <c r="B133" s="3">
        <v>61</v>
      </c>
      <c r="C133" s="3">
        <v>1</v>
      </c>
      <c r="D133" s="4">
        <v>1</v>
      </c>
      <c r="E133" s="1" t="s">
        <v>266</v>
      </c>
      <c r="F133" s="1" t="s">
        <v>267</v>
      </c>
      <c r="G133" s="1">
        <f>VLOOKUP(E133,Effects!A:J,10,FALSE)</f>
        <v>0.8447878645847342</v>
      </c>
      <c r="H133" s="1">
        <f>VLOOKUP(E133,IOT!$A$6:$DO$115, 119, FALSE)</f>
        <v>47438</v>
      </c>
      <c r="I133" s="3">
        <v>8</v>
      </c>
    </row>
    <row r="134" spans="1:9" x14ac:dyDescent="0.45">
      <c r="A134" s="3" t="s">
        <v>79</v>
      </c>
      <c r="B134" s="3">
        <v>26</v>
      </c>
      <c r="C134" s="3">
        <v>1</v>
      </c>
      <c r="D134" s="4">
        <v>0.27693553986807085</v>
      </c>
      <c r="E134" s="1" t="s">
        <v>202</v>
      </c>
      <c r="F134" s="1" t="s">
        <v>203</v>
      </c>
      <c r="G134" s="1">
        <f>VLOOKUP(E134,Effects!A:J,10,FALSE)</f>
        <v>0.81515016553025754</v>
      </c>
      <c r="H134" s="1">
        <f>VLOOKUP(E134,IOT!$A$6:$DO$115, 119, FALSE)</f>
        <v>24708</v>
      </c>
      <c r="I134" s="3">
        <v>9</v>
      </c>
    </row>
    <row r="135" spans="1:9" x14ac:dyDescent="0.45">
      <c r="A135" s="3" t="s">
        <v>80</v>
      </c>
      <c r="B135" s="3">
        <v>26</v>
      </c>
      <c r="C135" s="3">
        <v>1</v>
      </c>
      <c r="D135" s="4">
        <v>0.14211318134475176</v>
      </c>
      <c r="E135" s="1" t="s">
        <v>202</v>
      </c>
      <c r="F135" s="1" t="s">
        <v>203</v>
      </c>
      <c r="G135" s="1">
        <f>VLOOKUP(E135,Effects!A:J,10,FALSE)</f>
        <v>0.81515016553025754</v>
      </c>
      <c r="H135" s="1">
        <f>VLOOKUP(E135,IOT!$A$6:$DO$115, 119, FALSE)</f>
        <v>24708</v>
      </c>
      <c r="I135" s="3">
        <v>9</v>
      </c>
    </row>
    <row r="136" spans="1:9" x14ac:dyDescent="0.45">
      <c r="A136" s="3" t="s">
        <v>81</v>
      </c>
      <c r="B136" s="3">
        <v>26</v>
      </c>
      <c r="C136" s="3">
        <v>0.77</v>
      </c>
      <c r="D136" s="4">
        <v>0.37686610346024768</v>
      </c>
      <c r="E136" s="1" t="s">
        <v>202</v>
      </c>
      <c r="F136" s="1" t="s">
        <v>203</v>
      </c>
      <c r="G136" s="1">
        <f>VLOOKUP(E136,Effects!A:J,10,FALSE)</f>
        <v>0.81515016553025754</v>
      </c>
      <c r="H136" s="1">
        <f>VLOOKUP(E136,IOT!$A$6:$DO$115, 119, FALSE)</f>
        <v>24708</v>
      </c>
      <c r="I136" s="3">
        <v>9</v>
      </c>
    </row>
    <row r="137" spans="1:9" x14ac:dyDescent="0.45">
      <c r="A137" s="3" t="s">
        <v>81</v>
      </c>
      <c r="B137" s="3">
        <v>28</v>
      </c>
      <c r="C137" s="3">
        <v>0.23</v>
      </c>
      <c r="D137" s="4">
        <v>0.77375745526838968</v>
      </c>
      <c r="E137" s="1" t="s">
        <v>206</v>
      </c>
      <c r="F137" s="1" t="s">
        <v>207</v>
      </c>
      <c r="G137" s="1">
        <f>VLOOKUP(E137,Effects!A:J,10,FALSE)</f>
        <v>0.66982495668491859</v>
      </c>
      <c r="H137" s="1">
        <f>VLOOKUP(E137,IOT!$A$6:$DO$115, 119, FALSE)</f>
        <v>29360</v>
      </c>
      <c r="I137" s="3">
        <v>9</v>
      </c>
    </row>
    <row r="138" spans="1:9" x14ac:dyDescent="0.45">
      <c r="A138" s="3" t="s">
        <v>82</v>
      </c>
      <c r="B138" s="3">
        <v>20.5</v>
      </c>
      <c r="C138" s="3">
        <v>0.05</v>
      </c>
      <c r="D138" s="4">
        <v>0.167531504818384</v>
      </c>
      <c r="E138" s="1" t="s">
        <v>178</v>
      </c>
      <c r="F138" s="1" t="s">
        <v>179</v>
      </c>
      <c r="G138" s="1">
        <f>VLOOKUP(E138,Effects!A:J,10,FALSE)</f>
        <v>0.60529104288966107</v>
      </c>
      <c r="H138" s="1">
        <f>VLOOKUP(E138,IOT!$A$6:$DO$115, 119, FALSE)</f>
        <v>5965</v>
      </c>
      <c r="I138" s="3">
        <v>9</v>
      </c>
    </row>
    <row r="139" spans="1:9" x14ac:dyDescent="0.45">
      <c r="A139" s="3" t="s">
        <v>82</v>
      </c>
      <c r="B139" s="3">
        <v>26</v>
      </c>
      <c r="C139" s="3">
        <v>0.27</v>
      </c>
      <c r="D139" s="4">
        <v>7.0420090267330177E-2</v>
      </c>
      <c r="E139" s="1" t="s">
        <v>202</v>
      </c>
      <c r="F139" s="1" t="s">
        <v>203</v>
      </c>
      <c r="G139" s="1">
        <f>VLOOKUP(E139,Effects!A:J,10,FALSE)</f>
        <v>0.81515016553025754</v>
      </c>
      <c r="H139" s="1">
        <f>VLOOKUP(E139,IOT!$A$6:$DO$115, 119, FALSE)</f>
        <v>24708</v>
      </c>
      <c r="I139" s="3">
        <v>9</v>
      </c>
    </row>
    <row r="140" spans="1:9" x14ac:dyDescent="0.45">
      <c r="A140" s="3" t="s">
        <v>82</v>
      </c>
      <c r="B140" s="3">
        <v>59</v>
      </c>
      <c r="C140" s="3">
        <v>0.68</v>
      </c>
      <c r="D140" s="4">
        <v>0.72479886417415995</v>
      </c>
      <c r="E140" s="1" t="s">
        <v>264</v>
      </c>
      <c r="F140" s="1" t="s">
        <v>265</v>
      </c>
      <c r="G140" s="1">
        <f>VLOOKUP(E140,Effects!A:J,10,FALSE)</f>
        <v>0.8114819962488582</v>
      </c>
      <c r="H140" s="1">
        <f>VLOOKUP(E140,IOT!$A$6:$DO$115, 119, FALSE)</f>
        <v>38451</v>
      </c>
      <c r="I140" s="3">
        <v>9</v>
      </c>
    </row>
    <row r="141" spans="1:9" x14ac:dyDescent="0.45">
      <c r="A141" s="3" t="s">
        <v>83</v>
      </c>
      <c r="B141" s="3">
        <v>95</v>
      </c>
      <c r="C141" s="3">
        <v>1</v>
      </c>
      <c r="D141" s="4">
        <v>9.7605893186003684E-2</v>
      </c>
      <c r="E141" s="1" t="s">
        <v>330</v>
      </c>
      <c r="F141" s="1" t="s">
        <v>331</v>
      </c>
      <c r="G141" s="1">
        <f>VLOOKUP(E141,Effects!A:J,10,FALSE)</f>
        <v>0.87457352494221907</v>
      </c>
      <c r="H141" s="1">
        <f>VLOOKUP(E141,IOT!$A$6:$DO$115, 119, FALSE)</f>
        <v>3698</v>
      </c>
      <c r="I141" s="3">
        <v>9</v>
      </c>
    </row>
    <row r="142" spans="1:9" x14ac:dyDescent="0.45">
      <c r="A142" s="3" t="s">
        <v>84</v>
      </c>
      <c r="B142" s="3">
        <v>1</v>
      </c>
      <c r="C142" s="3">
        <v>2.2000000000000002E-2</v>
      </c>
      <c r="D142" s="4">
        <v>9.7312051266836772E-3</v>
      </c>
      <c r="E142" s="1" t="s">
        <v>126</v>
      </c>
      <c r="F142" s="1" t="s">
        <v>127</v>
      </c>
      <c r="G142" s="1">
        <f>VLOOKUP(E142,Effects!A:J,10,FALSE)</f>
        <v>0.82751497358447768</v>
      </c>
      <c r="H142" s="1">
        <f>VLOOKUP(E142,IOT!$A$6:$DO$115, 119, FALSE)</f>
        <v>28145</v>
      </c>
      <c r="I142" s="3">
        <v>9</v>
      </c>
    </row>
    <row r="143" spans="1:9" x14ac:dyDescent="0.45">
      <c r="A143" s="3" t="s">
        <v>84</v>
      </c>
      <c r="B143" s="3">
        <v>29</v>
      </c>
      <c r="C143" s="3">
        <v>0.51300000000000001</v>
      </c>
      <c r="D143" s="4">
        <v>9.389558618702272E-2</v>
      </c>
      <c r="E143" s="1" t="s">
        <v>208</v>
      </c>
      <c r="F143" s="1" t="s">
        <v>209</v>
      </c>
      <c r="G143" s="1">
        <f>VLOOKUP(E143,Effects!A:J,10,FALSE)</f>
        <v>0.56763628267462674</v>
      </c>
      <c r="H143" s="1">
        <f>VLOOKUP(E143,IOT!$A$6:$DO$115, 119, FALSE)</f>
        <v>58610</v>
      </c>
      <c r="I143" s="3">
        <v>9</v>
      </c>
    </row>
    <row r="144" spans="1:9" x14ac:dyDescent="0.45">
      <c r="A144" s="3" t="s">
        <v>84</v>
      </c>
      <c r="B144" s="3">
        <v>30.1</v>
      </c>
      <c r="C144" s="3">
        <v>0.21100000000000002</v>
      </c>
      <c r="D144" s="4">
        <v>1</v>
      </c>
      <c r="E144" s="1" t="s">
        <v>210</v>
      </c>
      <c r="F144" s="1" t="s">
        <v>211</v>
      </c>
      <c r="G144" s="1">
        <f>VLOOKUP(E144,Effects!A:J,10,FALSE)</f>
        <v>0.81411131429599481</v>
      </c>
      <c r="H144" s="1">
        <f>VLOOKUP(E144,IOT!$A$6:$DO$115, 119, FALSE)</f>
        <v>4738</v>
      </c>
      <c r="I144" s="3">
        <v>9</v>
      </c>
    </row>
    <row r="145" spans="1:9" x14ac:dyDescent="0.45">
      <c r="A145" s="3" t="s">
        <v>84</v>
      </c>
      <c r="B145" s="3">
        <v>30.3</v>
      </c>
      <c r="C145" s="3">
        <v>4.2999999999999997E-2</v>
      </c>
      <c r="D145" s="4">
        <v>1</v>
      </c>
      <c r="E145" s="1" t="s">
        <v>212</v>
      </c>
      <c r="F145" s="1" t="s">
        <v>213</v>
      </c>
      <c r="G145" s="1">
        <f>VLOOKUP(E145,Effects!A:J,10,FALSE)</f>
        <v>0.68340556312877077</v>
      </c>
      <c r="H145" s="1">
        <f>VLOOKUP(E145,IOT!$A$6:$DO$115, 119, FALSE)</f>
        <v>22827</v>
      </c>
      <c r="I145" s="3">
        <v>9</v>
      </c>
    </row>
    <row r="146" spans="1:9" x14ac:dyDescent="0.45">
      <c r="A146" s="3" t="s">
        <v>84</v>
      </c>
      <c r="B146" s="3" t="s">
        <v>61</v>
      </c>
      <c r="C146" s="3">
        <v>0.21100000000000002</v>
      </c>
      <c r="D146" s="4">
        <v>0.39368730119892342</v>
      </c>
      <c r="E146" s="1" t="s">
        <v>214</v>
      </c>
      <c r="F146" s="1" t="s">
        <v>215</v>
      </c>
      <c r="G146" s="1">
        <f>VLOOKUP(E146,Effects!A:J,10,FALSE)</f>
        <v>0.64627036106026881</v>
      </c>
      <c r="H146" s="1">
        <f>VLOOKUP(E146,IOT!$A$6:$DO$115, 119, FALSE)</f>
        <v>2714</v>
      </c>
      <c r="I146" s="3">
        <v>9</v>
      </c>
    </row>
    <row r="147" spans="1:9" x14ac:dyDescent="0.45">
      <c r="A147" s="3" t="s">
        <v>85</v>
      </c>
      <c r="B147" s="3">
        <v>32</v>
      </c>
      <c r="C147" s="3">
        <v>1</v>
      </c>
      <c r="D147" s="4">
        <v>1.3100942958726233E-2</v>
      </c>
      <c r="E147" s="1" t="s">
        <v>218</v>
      </c>
      <c r="F147" s="1" t="s">
        <v>219</v>
      </c>
      <c r="G147" s="1">
        <f>VLOOKUP(E147,Effects!A:J,10,FALSE)</f>
        <v>0.74699995664052998</v>
      </c>
      <c r="H147" s="1">
        <f>VLOOKUP(E147,IOT!$A$6:$DO$115, 119, FALSE)</f>
        <v>9742</v>
      </c>
      <c r="I147" s="3">
        <v>9</v>
      </c>
    </row>
    <row r="148" spans="1:9" x14ac:dyDescent="0.45">
      <c r="A148" s="3" t="s">
        <v>86</v>
      </c>
      <c r="B148" s="3">
        <v>52</v>
      </c>
      <c r="C148" s="3">
        <v>1</v>
      </c>
      <c r="D148" s="4">
        <v>0.13477088948787061</v>
      </c>
      <c r="E148" s="1" t="s">
        <v>254</v>
      </c>
      <c r="F148" s="1" t="s">
        <v>255</v>
      </c>
      <c r="G148" s="1">
        <f>VLOOKUP(E148,Effects!A:J,10,FALSE)</f>
        <v>0.84960375034326352</v>
      </c>
      <c r="H148" s="1">
        <f>VLOOKUP(E148,IOT!$A$6:$DO$115, 119, FALSE)</f>
        <v>43991</v>
      </c>
      <c r="I148" s="3">
        <v>9</v>
      </c>
    </row>
    <row r="149" spans="1:9" x14ac:dyDescent="0.45">
      <c r="A149" s="3" t="s">
        <v>87</v>
      </c>
      <c r="B149" s="3">
        <v>18</v>
      </c>
      <c r="C149" s="3">
        <v>0.01</v>
      </c>
      <c r="D149" s="4">
        <v>1</v>
      </c>
      <c r="E149" s="1" t="s">
        <v>170</v>
      </c>
      <c r="F149" s="1" t="s">
        <v>171</v>
      </c>
      <c r="G149" s="1">
        <f>VLOOKUP(E149,Effects!A:J,10,FALSE)</f>
        <v>0.71765539521578126</v>
      </c>
      <c r="H149" s="1">
        <f>VLOOKUP(E149,IOT!$A$6:$DO$115, 119, FALSE)</f>
        <v>9143</v>
      </c>
      <c r="I149" s="3">
        <v>9</v>
      </c>
    </row>
    <row r="150" spans="1:9" x14ac:dyDescent="0.45">
      <c r="A150" s="3" t="s">
        <v>87</v>
      </c>
      <c r="B150" s="3">
        <v>20.5</v>
      </c>
      <c r="C150" s="3">
        <v>0.01</v>
      </c>
      <c r="D150" s="4">
        <v>0.12750185322461083</v>
      </c>
      <c r="E150" s="1" t="s">
        <v>178</v>
      </c>
      <c r="F150" s="1" t="s">
        <v>179</v>
      </c>
      <c r="G150" s="1">
        <f>VLOOKUP(E150,Effects!A:J,10,FALSE)</f>
        <v>0.60529104288966107</v>
      </c>
      <c r="H150" s="1">
        <f>VLOOKUP(E150,IOT!$A$6:$DO$115, 119, FALSE)</f>
        <v>5965</v>
      </c>
      <c r="I150" s="3">
        <v>9</v>
      </c>
    </row>
    <row r="151" spans="1:9" x14ac:dyDescent="0.45">
      <c r="A151" s="3" t="s">
        <v>87</v>
      </c>
      <c r="B151" s="3">
        <v>32</v>
      </c>
      <c r="C151" s="3">
        <v>0.68</v>
      </c>
      <c r="D151" s="4">
        <v>0.45432060596691914</v>
      </c>
      <c r="E151" s="1" t="s">
        <v>218</v>
      </c>
      <c r="F151" s="1" t="s">
        <v>219</v>
      </c>
      <c r="G151" s="1">
        <f>VLOOKUP(E151,Effects!A:J,10,FALSE)</f>
        <v>0.74699995664052998</v>
      </c>
      <c r="H151" s="1">
        <f>VLOOKUP(E151,IOT!$A$6:$DO$115, 119, FALSE)</f>
        <v>9742</v>
      </c>
      <c r="I151" s="3">
        <v>9</v>
      </c>
    </row>
    <row r="152" spans="1:9" x14ac:dyDescent="0.45">
      <c r="A152" s="3" t="s">
        <v>87</v>
      </c>
      <c r="B152" s="3">
        <v>58</v>
      </c>
      <c r="C152" s="3">
        <v>0.3</v>
      </c>
      <c r="D152" s="4">
        <v>0.37680738211145826</v>
      </c>
      <c r="E152" s="1" t="s">
        <v>262</v>
      </c>
      <c r="F152" s="1" t="s">
        <v>263</v>
      </c>
      <c r="G152" s="1">
        <f>VLOOKUP(E152,Effects!A:J,10,FALSE)</f>
        <v>0.85233000001281345</v>
      </c>
      <c r="H152" s="1">
        <f>VLOOKUP(E152,IOT!$A$6:$DO$115, 119, FALSE)</f>
        <v>23264</v>
      </c>
      <c r="I152" s="3">
        <v>9</v>
      </c>
    </row>
    <row r="153" spans="1:9" x14ac:dyDescent="0.45">
      <c r="A153" s="3" t="s">
        <v>88</v>
      </c>
      <c r="B153" s="3">
        <v>13</v>
      </c>
      <c r="C153" s="3">
        <v>0.15</v>
      </c>
      <c r="D153" s="4">
        <v>3.0467445742904841E-2</v>
      </c>
      <c r="E153" s="1" t="s">
        <v>160</v>
      </c>
      <c r="F153" s="1" t="s">
        <v>161</v>
      </c>
      <c r="G153" s="1">
        <f>VLOOKUP(E153,Effects!A:J,10,FALSE)</f>
        <v>0.79013404483086158</v>
      </c>
      <c r="H153" s="1">
        <f>VLOOKUP(E153,IOT!$A$6:$DO$115, 119, FALSE)</f>
        <v>6589</v>
      </c>
      <c r="I153" s="3">
        <v>9</v>
      </c>
    </row>
    <row r="154" spans="1:9" x14ac:dyDescent="0.45">
      <c r="A154" s="3" t="s">
        <v>88</v>
      </c>
      <c r="B154" s="3">
        <v>15</v>
      </c>
      <c r="C154" s="3">
        <v>0.23100000000000001</v>
      </c>
      <c r="D154" s="4">
        <v>6.4248210023866353E-2</v>
      </c>
      <c r="E154" s="1" t="s">
        <v>164</v>
      </c>
      <c r="F154" s="1" t="s">
        <v>165</v>
      </c>
      <c r="G154" s="1">
        <f>VLOOKUP(E154,Effects!A:J,10,FALSE)</f>
        <v>0.78616305881060056</v>
      </c>
      <c r="H154" s="1">
        <f>VLOOKUP(E154,IOT!$A$6:$DO$115, 119, FALSE)</f>
        <v>985</v>
      </c>
      <c r="I154" s="3">
        <v>9</v>
      </c>
    </row>
    <row r="155" spans="1:9" x14ac:dyDescent="0.45">
      <c r="A155" s="3" t="s">
        <v>88</v>
      </c>
      <c r="B155" s="3">
        <v>25.4</v>
      </c>
      <c r="C155" s="3">
        <v>0.01</v>
      </c>
      <c r="D155" s="4">
        <v>1</v>
      </c>
      <c r="E155" s="1" t="s">
        <v>198</v>
      </c>
      <c r="F155" s="1" t="s">
        <v>199</v>
      </c>
      <c r="G155" s="1">
        <f>VLOOKUP(E155,Effects!A:J,10,FALSE)</f>
        <v>0.73803597498804929</v>
      </c>
      <c r="H155" s="1">
        <f>VLOOKUP(E155,IOT!$A$6:$DO$115, 119, FALSE)</f>
        <v>2908</v>
      </c>
      <c r="I155" s="3">
        <v>9</v>
      </c>
    </row>
    <row r="156" spans="1:9" x14ac:dyDescent="0.45">
      <c r="A156" s="3" t="s">
        <v>88</v>
      </c>
      <c r="B156" s="3">
        <v>27</v>
      </c>
      <c r="C156" s="3">
        <v>0.51</v>
      </c>
      <c r="D156" s="4">
        <v>0.15615175015719976</v>
      </c>
      <c r="E156" s="1" t="s">
        <v>204</v>
      </c>
      <c r="F156" s="1" t="s">
        <v>205</v>
      </c>
      <c r="G156" s="1">
        <f>VLOOKUP(E156,Effects!A:J,10,FALSE)</f>
        <v>0.66145105140926663</v>
      </c>
      <c r="H156" s="1">
        <f>VLOOKUP(E156,IOT!$A$6:$DO$115, 119, FALSE)</f>
        <v>12633</v>
      </c>
      <c r="I156" s="3">
        <v>9</v>
      </c>
    </row>
    <row r="157" spans="1:9" x14ac:dyDescent="0.45">
      <c r="A157" s="3" t="s">
        <v>88</v>
      </c>
      <c r="B157" s="3">
        <v>28</v>
      </c>
      <c r="C157" s="3">
        <v>0.01</v>
      </c>
      <c r="D157" s="4">
        <v>1.1133200795228629E-2</v>
      </c>
      <c r="E157" s="1" t="s">
        <v>206</v>
      </c>
      <c r="F157" s="1" t="s">
        <v>207</v>
      </c>
      <c r="G157" s="1">
        <f>VLOOKUP(E157,Effects!A:J,10,FALSE)</f>
        <v>0.66982495668491859</v>
      </c>
      <c r="H157" s="1">
        <f>VLOOKUP(E157,IOT!$A$6:$DO$115, 119, FALSE)</f>
        <v>29360</v>
      </c>
      <c r="I157" s="3">
        <v>9</v>
      </c>
    </row>
    <row r="158" spans="1:9" x14ac:dyDescent="0.45">
      <c r="A158" s="3" t="s">
        <v>88</v>
      </c>
      <c r="B158" s="3">
        <v>31</v>
      </c>
      <c r="C158" s="3">
        <v>0.02</v>
      </c>
      <c r="D158" s="4">
        <v>5.1066117183300487E-3</v>
      </c>
      <c r="E158" s="1" t="s">
        <v>216</v>
      </c>
      <c r="F158" s="1" t="s">
        <v>217</v>
      </c>
      <c r="G158" s="1">
        <f>VLOOKUP(E158,Effects!A:J,10,FALSE)</f>
        <v>0.7714049221456698</v>
      </c>
      <c r="H158" s="1">
        <f>VLOOKUP(E158,IOT!$A$6:$DO$115, 119, FALSE)</f>
        <v>8151</v>
      </c>
      <c r="I158" s="3">
        <v>9</v>
      </c>
    </row>
    <row r="159" spans="1:9" x14ac:dyDescent="0.45">
      <c r="A159" s="3" t="s">
        <v>88</v>
      </c>
      <c r="B159" s="3">
        <v>32</v>
      </c>
      <c r="C159" s="3">
        <v>7.0000000000000007E-2</v>
      </c>
      <c r="D159" s="4">
        <v>7.9223991343329719E-3</v>
      </c>
      <c r="E159" s="1" t="s">
        <v>218</v>
      </c>
      <c r="F159" s="1" t="s">
        <v>219</v>
      </c>
      <c r="G159" s="1">
        <f>VLOOKUP(E159,Effects!A:J,10,FALSE)</f>
        <v>0.74699995664052998</v>
      </c>
      <c r="H159" s="1">
        <f>VLOOKUP(E159,IOT!$A$6:$DO$115, 119, FALSE)</f>
        <v>9742</v>
      </c>
      <c r="I159" s="3">
        <v>9</v>
      </c>
    </row>
    <row r="160" spans="1:9" x14ac:dyDescent="0.45">
      <c r="A160" s="3" t="s">
        <v>89</v>
      </c>
      <c r="B160" s="3">
        <v>1</v>
      </c>
      <c r="C160" s="3">
        <v>0.74900000000000011</v>
      </c>
      <c r="D160" s="4">
        <v>0.12970984394469828</v>
      </c>
      <c r="E160" s="1" t="s">
        <v>126</v>
      </c>
      <c r="F160" s="1" t="s">
        <v>127</v>
      </c>
      <c r="G160" s="1">
        <f>VLOOKUP(E160,Effects!A:J,10,FALSE)</f>
        <v>0.82751497358447768</v>
      </c>
      <c r="H160" s="1">
        <f>VLOOKUP(E160,IOT!$A$6:$DO$115, 119, FALSE)</f>
        <v>28145</v>
      </c>
      <c r="I160" s="3">
        <v>9</v>
      </c>
    </row>
    <row r="161" spans="1:9" x14ac:dyDescent="0.45">
      <c r="A161" s="3" t="s">
        <v>89</v>
      </c>
      <c r="B161" s="3">
        <v>2</v>
      </c>
      <c r="C161" s="3">
        <v>0.05</v>
      </c>
      <c r="D161" s="4">
        <v>0.87951807228915657</v>
      </c>
      <c r="E161" s="1" t="s">
        <v>128</v>
      </c>
      <c r="F161" s="1" t="s">
        <v>129</v>
      </c>
      <c r="G161" s="1">
        <f>VLOOKUP(E161,Effects!A:J,10,FALSE)</f>
        <v>0.87928163457535535</v>
      </c>
      <c r="H161" s="1">
        <f>VLOOKUP(E161,IOT!$A$6:$DO$115, 119, FALSE)</f>
        <v>1482</v>
      </c>
      <c r="I161" s="3">
        <v>9</v>
      </c>
    </row>
    <row r="162" spans="1:9" x14ac:dyDescent="0.45">
      <c r="A162" s="3" t="s">
        <v>89</v>
      </c>
      <c r="B162" s="3">
        <v>8</v>
      </c>
      <c r="C162" s="3">
        <v>0.01</v>
      </c>
      <c r="D162" s="4">
        <v>0.41666666666666669</v>
      </c>
      <c r="E162" s="1" t="s">
        <v>136</v>
      </c>
      <c r="F162" s="1" t="s">
        <v>137</v>
      </c>
      <c r="G162" s="1">
        <f>VLOOKUP(E162,Effects!A:J,10,FALSE)</f>
        <v>0.69550670246940349</v>
      </c>
      <c r="H162" s="1">
        <f>VLOOKUP(E162,IOT!$A$6:$DO$115, 119, FALSE)</f>
        <v>3978</v>
      </c>
      <c r="I162" s="3">
        <v>9</v>
      </c>
    </row>
    <row r="163" spans="1:9" x14ac:dyDescent="0.45">
      <c r="A163" s="3" t="s">
        <v>89</v>
      </c>
      <c r="B163" s="3" t="s">
        <v>90</v>
      </c>
      <c r="C163" s="3">
        <v>0.08</v>
      </c>
      <c r="D163" s="4">
        <v>1</v>
      </c>
      <c r="E163" s="1" t="s">
        <v>180</v>
      </c>
      <c r="F163" s="1" t="s">
        <v>181</v>
      </c>
      <c r="G163" s="1">
        <f>VLOOKUP(E163,Effects!A:J,10,FALSE)</f>
        <v>0.57738486728920901</v>
      </c>
      <c r="H163" s="1">
        <f>VLOOKUP(E163,IOT!$A$6:$DO$115, 119, FALSE)</f>
        <v>3029</v>
      </c>
      <c r="I163" s="3">
        <v>9</v>
      </c>
    </row>
    <row r="164" spans="1:9" x14ac:dyDescent="0.45">
      <c r="A164" s="3" t="s">
        <v>89</v>
      </c>
      <c r="B164" s="3" t="s">
        <v>91</v>
      </c>
      <c r="C164" s="3">
        <v>0.05</v>
      </c>
      <c r="D164" s="4">
        <v>0.72499999999999998</v>
      </c>
      <c r="E164" s="1" t="s">
        <v>184</v>
      </c>
      <c r="F164" s="1" t="s">
        <v>185</v>
      </c>
      <c r="G164" s="1">
        <f>VLOOKUP(E164,Effects!A:J,10,FALSE)</f>
        <v>0.67630607906212203</v>
      </c>
      <c r="H164" s="1">
        <f>VLOOKUP(E164,IOT!$A$6:$DO$115, 119, FALSE)</f>
        <v>2545</v>
      </c>
      <c r="I164" s="3">
        <v>9</v>
      </c>
    </row>
    <row r="165" spans="1:9" x14ac:dyDescent="0.45">
      <c r="A165" s="3" t="s">
        <v>89</v>
      </c>
      <c r="B165" s="3">
        <v>22</v>
      </c>
      <c r="C165" s="3">
        <v>0.02</v>
      </c>
      <c r="D165" s="4">
        <v>1.6260162601626018E-2</v>
      </c>
      <c r="E165" s="1" t="s">
        <v>188</v>
      </c>
      <c r="F165" s="1" t="s">
        <v>189</v>
      </c>
      <c r="G165" s="1">
        <f>VLOOKUP(E165,Effects!A:J,10,FALSE)</f>
        <v>0.60896888628506152</v>
      </c>
      <c r="H165" s="1">
        <f>VLOOKUP(E165,IOT!$A$6:$DO$115, 119, FALSE)</f>
        <v>21213</v>
      </c>
      <c r="I165" s="3">
        <v>9</v>
      </c>
    </row>
    <row r="166" spans="1:9" x14ac:dyDescent="0.45">
      <c r="A166" s="3" t="s">
        <v>89</v>
      </c>
      <c r="B166" s="3" t="s">
        <v>33</v>
      </c>
      <c r="C166" s="3">
        <v>0.03</v>
      </c>
      <c r="D166" s="4">
        <v>2.6788432267884323E-2</v>
      </c>
      <c r="E166" s="1" t="s">
        <v>192</v>
      </c>
      <c r="F166" s="1" t="s">
        <v>193</v>
      </c>
      <c r="G166" s="1">
        <f>VLOOKUP(E166,Effects!A:J,10,FALSE)</f>
        <v>0.69529776883867012</v>
      </c>
      <c r="H166" s="1">
        <f>VLOOKUP(E166,IOT!$A$6:$DO$115, 119, FALSE)</f>
        <v>7120</v>
      </c>
      <c r="I166" s="3">
        <v>9</v>
      </c>
    </row>
    <row r="167" spans="1:9" x14ac:dyDescent="0.45">
      <c r="A167" s="3" t="s">
        <v>89</v>
      </c>
      <c r="B167" s="3">
        <v>32</v>
      </c>
      <c r="C167" s="3">
        <v>0.01</v>
      </c>
      <c r="D167" s="4">
        <v>1.159375483073118E-3</v>
      </c>
      <c r="E167" s="1" t="s">
        <v>218</v>
      </c>
      <c r="F167" s="1" t="s">
        <v>219</v>
      </c>
      <c r="G167" s="1">
        <f>VLOOKUP(E167,Effects!A:J,10,FALSE)</f>
        <v>0.74699995664052998</v>
      </c>
      <c r="H167" s="1">
        <f>VLOOKUP(E167,IOT!$A$6:$DO$115, 119, FALSE)</f>
        <v>9742</v>
      </c>
      <c r="I167" s="3">
        <v>9</v>
      </c>
    </row>
    <row r="168" spans="1:9" x14ac:dyDescent="0.45">
      <c r="A168" s="3" t="s">
        <v>92</v>
      </c>
      <c r="B168" s="3">
        <v>1</v>
      </c>
      <c r="C168" s="3">
        <v>0.04</v>
      </c>
      <c r="D168" s="4">
        <v>8.3071263276567973E-3</v>
      </c>
      <c r="E168" s="1" t="s">
        <v>126</v>
      </c>
      <c r="F168" s="1" t="s">
        <v>127</v>
      </c>
      <c r="G168" s="1">
        <f>VLOOKUP(E168,Effects!A:J,10,FALSE)</f>
        <v>0.82751497358447768</v>
      </c>
      <c r="H168" s="1">
        <f>VLOOKUP(E168,IOT!$A$6:$DO$115, 119, FALSE)</f>
        <v>28145</v>
      </c>
      <c r="I168" s="3">
        <v>9</v>
      </c>
    </row>
    <row r="169" spans="1:9" x14ac:dyDescent="0.45">
      <c r="A169" s="3" t="s">
        <v>92</v>
      </c>
      <c r="B169" s="3">
        <v>10.9</v>
      </c>
      <c r="C169" s="3">
        <v>0.86699999999999999</v>
      </c>
      <c r="D169" s="4">
        <v>1</v>
      </c>
      <c r="E169" s="1" t="s">
        <v>154</v>
      </c>
      <c r="F169" s="1" t="s">
        <v>155</v>
      </c>
      <c r="G169" s="1">
        <f>VLOOKUP(E169,Effects!A:J,10,FALSE)</f>
        <v>0.75319088758458919</v>
      </c>
      <c r="H169" s="1">
        <f>VLOOKUP(E169,IOT!$A$6:$DO$115, 119, FALSE)</f>
        <v>6301</v>
      </c>
      <c r="I169" s="3">
        <v>9</v>
      </c>
    </row>
    <row r="170" spans="1:9" x14ac:dyDescent="0.45">
      <c r="A170" s="3" t="s">
        <v>92</v>
      </c>
      <c r="B170" s="3">
        <v>15</v>
      </c>
      <c r="C170" s="3">
        <v>1.6E-2</v>
      </c>
      <c r="D170" s="4">
        <v>5.4415274463007158E-3</v>
      </c>
      <c r="E170" s="1" t="s">
        <v>164</v>
      </c>
      <c r="F170" s="1" t="s">
        <v>165</v>
      </c>
      <c r="G170" s="1">
        <f>VLOOKUP(E170,Effects!A:J,10,FALSE)</f>
        <v>0.78616305881060056</v>
      </c>
      <c r="H170" s="1">
        <f>VLOOKUP(E170,IOT!$A$6:$DO$115, 119, FALSE)</f>
        <v>985</v>
      </c>
      <c r="I170" s="3">
        <v>9</v>
      </c>
    </row>
    <row r="171" spans="1:9" x14ac:dyDescent="0.45">
      <c r="A171" s="3" t="s">
        <v>92</v>
      </c>
      <c r="B171" s="3">
        <v>16</v>
      </c>
      <c r="C171" s="3">
        <v>4.0000000000000001E-3</v>
      </c>
      <c r="D171" s="4">
        <v>1.3224821973550356E-2</v>
      </c>
      <c r="E171" s="1" t="s">
        <v>166</v>
      </c>
      <c r="F171" s="1" t="s">
        <v>167</v>
      </c>
      <c r="G171" s="1">
        <f>VLOOKUP(E171,Effects!A:J,10,FALSE)</f>
        <v>0.64666559912038191</v>
      </c>
      <c r="H171" s="1">
        <f>VLOOKUP(E171,IOT!$A$6:$DO$115, 119, FALSE)</f>
        <v>8295</v>
      </c>
      <c r="I171" s="3">
        <v>9</v>
      </c>
    </row>
    <row r="172" spans="1:9" x14ac:dyDescent="0.45">
      <c r="A172" s="3" t="s">
        <v>92</v>
      </c>
      <c r="B172" s="3">
        <v>17</v>
      </c>
      <c r="C172" s="3">
        <v>4.0000000000000001E-3</v>
      </c>
      <c r="D172" s="4">
        <v>3.6083714216983403E-3</v>
      </c>
      <c r="E172" s="1" t="s">
        <v>168</v>
      </c>
      <c r="F172" s="1" t="s">
        <v>169</v>
      </c>
      <c r="G172" s="1">
        <f>VLOOKUP(E172,Effects!A:J,10,FALSE)</f>
        <v>0.68547157251781998</v>
      </c>
      <c r="H172" s="1">
        <f>VLOOKUP(E172,IOT!$A$6:$DO$115, 119, FALSE)</f>
        <v>12424</v>
      </c>
      <c r="I172" s="3">
        <v>9</v>
      </c>
    </row>
    <row r="173" spans="1:9" x14ac:dyDescent="0.45">
      <c r="A173" s="3" t="s">
        <v>92</v>
      </c>
      <c r="B173" s="3" t="s">
        <v>91</v>
      </c>
      <c r="C173" s="3">
        <v>1.6E-2</v>
      </c>
      <c r="D173" s="4">
        <v>0.27500000000000002</v>
      </c>
      <c r="E173" s="1" t="s">
        <v>184</v>
      </c>
      <c r="F173" s="1" t="s">
        <v>185</v>
      </c>
      <c r="G173" s="1">
        <f>VLOOKUP(E173,Effects!A:J,10,FALSE)</f>
        <v>0.67630607906212203</v>
      </c>
      <c r="H173" s="1">
        <f>VLOOKUP(E173,IOT!$A$6:$DO$115, 119, FALSE)</f>
        <v>2545</v>
      </c>
      <c r="I173" s="3">
        <v>9</v>
      </c>
    </row>
    <row r="174" spans="1:9" x14ac:dyDescent="0.45">
      <c r="A174" s="3" t="s">
        <v>92</v>
      </c>
      <c r="B174" s="3">
        <v>21</v>
      </c>
      <c r="C174" s="3">
        <v>3.3000000000000002E-2</v>
      </c>
      <c r="D174" s="4">
        <v>9.7095575818980078E-3</v>
      </c>
      <c r="E174" s="1" t="s">
        <v>186</v>
      </c>
      <c r="F174" s="1" t="s">
        <v>187</v>
      </c>
      <c r="G174" s="1">
        <f>VLOOKUP(E174,Effects!A:J,10,FALSE)</f>
        <v>0.75185057085669671</v>
      </c>
      <c r="H174" s="1">
        <f>VLOOKUP(E174,IOT!$A$6:$DO$115, 119, FALSE)</f>
        <v>25174</v>
      </c>
      <c r="I174" s="3">
        <v>9</v>
      </c>
    </row>
    <row r="175" spans="1:9" x14ac:dyDescent="0.45">
      <c r="A175" s="3" t="s">
        <v>92</v>
      </c>
      <c r="B175" s="3">
        <v>22</v>
      </c>
      <c r="C175" s="3">
        <v>6.0000000000000001E-3</v>
      </c>
      <c r="D175" s="4">
        <v>6.1676478833753851E-3</v>
      </c>
      <c r="E175" s="1" t="s">
        <v>188</v>
      </c>
      <c r="F175" s="1" t="s">
        <v>189</v>
      </c>
      <c r="G175" s="1">
        <f>VLOOKUP(E175,Effects!A:J,10,FALSE)</f>
        <v>0.60896888628506152</v>
      </c>
      <c r="H175" s="1">
        <f>VLOOKUP(E175,IOT!$A$6:$DO$115, 119, FALSE)</f>
        <v>21213</v>
      </c>
      <c r="I175" s="3">
        <v>9</v>
      </c>
    </row>
    <row r="176" spans="1:9" x14ac:dyDescent="0.45">
      <c r="A176" s="3" t="s">
        <v>92</v>
      </c>
      <c r="B176" s="3" t="s">
        <v>33</v>
      </c>
      <c r="C176" s="3">
        <v>9.0000000000000011E-3</v>
      </c>
      <c r="D176" s="4">
        <v>1.0045662100456621E-2</v>
      </c>
      <c r="E176" s="1" t="s">
        <v>192</v>
      </c>
      <c r="F176" s="1" t="s">
        <v>193</v>
      </c>
      <c r="G176" s="1">
        <f>VLOOKUP(E176,Effects!A:J,10,FALSE)</f>
        <v>0.69529776883867012</v>
      </c>
      <c r="H176" s="1">
        <f>VLOOKUP(E176,IOT!$A$6:$DO$115, 119, FALSE)</f>
        <v>7120</v>
      </c>
      <c r="I176" s="3">
        <v>9</v>
      </c>
    </row>
    <row r="177" spans="1:9" x14ac:dyDescent="0.45">
      <c r="A177" s="3" t="s">
        <v>92</v>
      </c>
      <c r="B177" s="3" t="s">
        <v>36</v>
      </c>
      <c r="C177" s="3">
        <v>4.0000000000000001E-3</v>
      </c>
      <c r="D177" s="4">
        <v>2.7711797307996833E-3</v>
      </c>
      <c r="E177" s="1" t="s">
        <v>200</v>
      </c>
      <c r="F177" s="1" t="s">
        <v>201</v>
      </c>
      <c r="G177" s="1">
        <f>VLOOKUP(E177,Effects!A:J,10,FALSE)</f>
        <v>0.72791781533727107</v>
      </c>
      <c r="H177" s="1">
        <f>VLOOKUP(E177,IOT!$A$6:$DO$115, 119, FALSE)</f>
        <v>30969</v>
      </c>
      <c r="I177" s="3">
        <v>9</v>
      </c>
    </row>
    <row r="178" spans="1:9" x14ac:dyDescent="0.45">
      <c r="A178" s="3" t="s">
        <v>93</v>
      </c>
      <c r="B178" s="3">
        <v>75</v>
      </c>
      <c r="C178" s="3">
        <v>1</v>
      </c>
      <c r="D178" s="4">
        <v>1</v>
      </c>
      <c r="E178" s="1" t="s">
        <v>298</v>
      </c>
      <c r="F178" s="1" t="s">
        <v>299</v>
      </c>
      <c r="G178" s="1">
        <f>VLOOKUP(E178,Effects!A:J,10,FALSE)</f>
        <v>0.9262180962950225</v>
      </c>
      <c r="H178" s="1">
        <f>VLOOKUP(E178,IOT!$A$6:$DO$115, 119, FALSE)</f>
        <v>5468</v>
      </c>
      <c r="I178" s="3">
        <v>9</v>
      </c>
    </row>
    <row r="179" spans="1:9" x14ac:dyDescent="0.45">
      <c r="A179" s="3" t="s">
        <v>94</v>
      </c>
      <c r="B179" s="3">
        <v>77</v>
      </c>
      <c r="C179" s="3">
        <v>0.02</v>
      </c>
      <c r="D179" s="4">
        <v>1.7041486241095125E-2</v>
      </c>
      <c r="E179" s="1" t="s">
        <v>300</v>
      </c>
      <c r="F179" s="1" t="s">
        <v>301</v>
      </c>
      <c r="G179" s="1">
        <f>VLOOKUP(E179,Effects!A:J,10,FALSE)</f>
        <v>0.89792723145054176</v>
      </c>
      <c r="H179" s="1">
        <f>VLOOKUP(E179,IOT!$A$6:$DO$115, 119, FALSE)</f>
        <v>43159</v>
      </c>
      <c r="I179" s="3">
        <v>9</v>
      </c>
    </row>
    <row r="180" spans="1:9" x14ac:dyDescent="0.45">
      <c r="A180" s="3" t="s">
        <v>94</v>
      </c>
      <c r="B180" s="3">
        <v>93</v>
      </c>
      <c r="C180" s="3">
        <v>0.98</v>
      </c>
      <c r="D180" s="4">
        <v>0.78939901986071703</v>
      </c>
      <c r="E180" s="1" t="s">
        <v>326</v>
      </c>
      <c r="F180" s="1" t="s">
        <v>327</v>
      </c>
      <c r="G180" s="1">
        <f>VLOOKUP(E180,Effects!A:J,10,FALSE)</f>
        <v>0.86054234691352471</v>
      </c>
      <c r="H180" s="1">
        <f>VLOOKUP(E180,IOT!$A$6:$DO$115, 119, FALSE)</f>
        <v>18175</v>
      </c>
      <c r="I180" s="3">
        <v>9</v>
      </c>
    </row>
    <row r="181" spans="1:9" x14ac:dyDescent="0.45">
      <c r="A181" s="3" t="s">
        <v>95</v>
      </c>
      <c r="B181" s="3">
        <v>59</v>
      </c>
      <c r="C181" s="3">
        <v>7.2999999999999995E-2</v>
      </c>
      <c r="D181" s="4">
        <v>0.27520113582584005</v>
      </c>
      <c r="E181" s="1" t="s">
        <v>264</v>
      </c>
      <c r="F181" s="1" t="s">
        <v>265</v>
      </c>
      <c r="G181" s="1">
        <f>VLOOKUP(E181,Effects!A:J,10,FALSE)</f>
        <v>0.8114819962488582</v>
      </c>
      <c r="H181" s="1">
        <f>VLOOKUP(E181,IOT!$A$6:$DO$115, 119, FALSE)</f>
        <v>38451</v>
      </c>
      <c r="I181" s="3">
        <v>9</v>
      </c>
    </row>
    <row r="182" spans="1:9" x14ac:dyDescent="0.45">
      <c r="A182" s="3" t="s">
        <v>95</v>
      </c>
      <c r="B182" s="3">
        <v>60</v>
      </c>
      <c r="C182" s="3">
        <v>0.38900000000000001</v>
      </c>
      <c r="D182" s="4">
        <v>1</v>
      </c>
      <c r="E182" s="1" t="s">
        <v>264</v>
      </c>
      <c r="F182" s="1" t="s">
        <v>265</v>
      </c>
      <c r="G182" s="1">
        <f>VLOOKUP(E182,Effects!A:J,10,FALSE)</f>
        <v>0.8114819962488582</v>
      </c>
      <c r="H182" s="1">
        <f>VLOOKUP(E182,IOT!$A$6:$DO$115, 119, FALSE)</f>
        <v>38451</v>
      </c>
      <c r="I182" s="3">
        <v>9</v>
      </c>
    </row>
    <row r="183" spans="1:9" x14ac:dyDescent="0.45">
      <c r="A183" s="3" t="s">
        <v>95</v>
      </c>
      <c r="B183" s="3">
        <v>74</v>
      </c>
      <c r="C183" s="3">
        <v>3.4000000000000002E-2</v>
      </c>
      <c r="D183" s="4">
        <v>1</v>
      </c>
      <c r="E183" s="1" t="s">
        <v>296</v>
      </c>
      <c r="F183" s="1" t="s">
        <v>297</v>
      </c>
      <c r="G183" s="1">
        <f>VLOOKUP(E183,Effects!A:J,10,FALSE)</f>
        <v>0.87230831577313861</v>
      </c>
      <c r="H183" s="1">
        <f>VLOOKUP(E183,IOT!$A$6:$DO$115, 119, FALSE)</f>
        <v>28497</v>
      </c>
      <c r="I183" s="3">
        <v>9</v>
      </c>
    </row>
    <row r="184" spans="1:9" x14ac:dyDescent="0.45">
      <c r="A184" s="3" t="s">
        <v>95</v>
      </c>
      <c r="B184" s="3">
        <v>77</v>
      </c>
      <c r="C184" s="3">
        <v>2.5000000000000001E-2</v>
      </c>
      <c r="D184" s="4">
        <v>5.6292778320994552E-2</v>
      </c>
      <c r="E184" s="1" t="s">
        <v>300</v>
      </c>
      <c r="F184" s="1" t="s">
        <v>301</v>
      </c>
      <c r="G184" s="1">
        <f>VLOOKUP(E184,Effects!A:J,10,FALSE)</f>
        <v>0.89792723145054176</v>
      </c>
      <c r="H184" s="1">
        <f>VLOOKUP(E184,IOT!$A$6:$DO$115, 119, FALSE)</f>
        <v>43159</v>
      </c>
      <c r="I184" s="3">
        <v>9</v>
      </c>
    </row>
    <row r="185" spans="1:9" x14ac:dyDescent="0.45">
      <c r="A185" s="3" t="s">
        <v>95</v>
      </c>
      <c r="B185" s="3">
        <v>90</v>
      </c>
      <c r="C185" s="3">
        <v>0.19699999999999998</v>
      </c>
      <c r="D185" s="4">
        <v>1</v>
      </c>
      <c r="E185" s="1" t="s">
        <v>320</v>
      </c>
      <c r="F185" s="1" t="s">
        <v>321</v>
      </c>
      <c r="G185" s="1">
        <f>VLOOKUP(E185,Effects!A:J,10,FALSE)</f>
        <v>0.87166084447464076</v>
      </c>
      <c r="H185" s="1">
        <f>VLOOKUP(E185,IOT!$A$6:$DO$115, 119, FALSE)</f>
        <v>14335</v>
      </c>
      <c r="I185" s="3">
        <v>9</v>
      </c>
    </row>
    <row r="186" spans="1:9" x14ac:dyDescent="0.45">
      <c r="A186" s="3" t="s">
        <v>95</v>
      </c>
      <c r="B186" s="3">
        <v>91</v>
      </c>
      <c r="C186" s="3">
        <v>0.17899999999999999</v>
      </c>
      <c r="D186" s="4">
        <v>1</v>
      </c>
      <c r="E186" s="1" t="s">
        <v>322</v>
      </c>
      <c r="F186" s="1" t="s">
        <v>323</v>
      </c>
      <c r="G186" s="1">
        <f>VLOOKUP(E186,Effects!A:J,10,FALSE)</f>
        <v>0.88529494244536089</v>
      </c>
      <c r="H186" s="1">
        <f>VLOOKUP(E186,IOT!$A$6:$DO$115, 119, FALSE)</f>
        <v>5289</v>
      </c>
      <c r="I186" s="3">
        <v>9</v>
      </c>
    </row>
    <row r="187" spans="1:9" x14ac:dyDescent="0.45">
      <c r="A187" s="3" t="s">
        <v>95</v>
      </c>
      <c r="B187" s="3">
        <v>93</v>
      </c>
      <c r="C187" s="3">
        <v>0.10199999999999999</v>
      </c>
      <c r="D187" s="4">
        <v>0.21060098013928294</v>
      </c>
      <c r="E187" s="1" t="s">
        <v>326</v>
      </c>
      <c r="F187" s="1" t="s">
        <v>327</v>
      </c>
      <c r="G187" s="1">
        <f>VLOOKUP(E187,Effects!A:J,10,FALSE)</f>
        <v>0.86054234691352471</v>
      </c>
      <c r="H187" s="1">
        <f>VLOOKUP(E187,IOT!$A$6:$DO$115, 119, FALSE)</f>
        <v>18175</v>
      </c>
      <c r="I187" s="3">
        <v>9</v>
      </c>
    </row>
    <row r="188" spans="1:9" x14ac:dyDescent="0.45">
      <c r="A188" s="3" t="s">
        <v>96</v>
      </c>
      <c r="B188" s="3">
        <v>92</v>
      </c>
      <c r="C188" s="3">
        <v>1</v>
      </c>
      <c r="D188" s="4">
        <v>1</v>
      </c>
      <c r="E188" s="1" t="s">
        <v>324</v>
      </c>
      <c r="F188" s="1" t="s">
        <v>325</v>
      </c>
      <c r="G188" s="1">
        <f>VLOOKUP(E188,Effects!A:J,10,FALSE)</f>
        <v>0.87451677963483199</v>
      </c>
      <c r="H188" s="1">
        <f>VLOOKUP(E188,IOT!$A$6:$DO$115, 119, FALSE)</f>
        <v>10006</v>
      </c>
      <c r="I188" s="3">
        <v>9</v>
      </c>
    </row>
    <row r="189" spans="1:9" x14ac:dyDescent="0.45">
      <c r="A189" s="3" t="s">
        <v>97</v>
      </c>
      <c r="B189" s="3">
        <v>58</v>
      </c>
      <c r="C189" s="3">
        <v>1</v>
      </c>
      <c r="D189" s="4">
        <v>0.21114582576473154</v>
      </c>
      <c r="E189" s="1" t="s">
        <v>262</v>
      </c>
      <c r="F189" s="1" t="s">
        <v>263</v>
      </c>
      <c r="G189" s="1">
        <f>VLOOKUP(E189,Effects!A:J,10,FALSE)</f>
        <v>0.85233000001281345</v>
      </c>
      <c r="H189" s="1">
        <f>VLOOKUP(E189,IOT!$A$6:$DO$115, 119, FALSE)</f>
        <v>23264</v>
      </c>
      <c r="I189" s="3">
        <v>9</v>
      </c>
    </row>
    <row r="190" spans="1:9" x14ac:dyDescent="0.45">
      <c r="A190" s="3" t="s">
        <v>98</v>
      </c>
      <c r="B190" s="3">
        <v>58</v>
      </c>
      <c r="C190" s="3">
        <v>1</v>
      </c>
      <c r="D190" s="4">
        <v>0.2840223788418223</v>
      </c>
      <c r="E190" s="1" t="s">
        <v>262</v>
      </c>
      <c r="F190" s="1" t="s">
        <v>263</v>
      </c>
      <c r="G190" s="1">
        <f>VLOOKUP(E190,Effects!A:J,10,FALSE)</f>
        <v>0.85233000001281345</v>
      </c>
      <c r="H190" s="1">
        <f>VLOOKUP(E190,IOT!$A$6:$DO$115, 119, FALSE)</f>
        <v>23264</v>
      </c>
      <c r="I190" s="3">
        <v>9</v>
      </c>
    </row>
    <row r="191" spans="1:9" x14ac:dyDescent="0.45">
      <c r="A191" s="3" t="s">
        <v>99</v>
      </c>
      <c r="B191" s="3">
        <v>58</v>
      </c>
      <c r="C191" s="3">
        <v>1</v>
      </c>
      <c r="D191" s="4">
        <v>0.10520961999564049</v>
      </c>
      <c r="E191" s="1" t="s">
        <v>262</v>
      </c>
      <c r="F191" s="1" t="s">
        <v>263</v>
      </c>
      <c r="G191" s="1">
        <f>VLOOKUP(E191,Effects!A:J,10,FALSE)</f>
        <v>0.85233000001281345</v>
      </c>
      <c r="H191" s="1">
        <f>VLOOKUP(E191,IOT!$A$6:$DO$115, 119, FALSE)</f>
        <v>23264</v>
      </c>
      <c r="I191" s="3">
        <v>9</v>
      </c>
    </row>
    <row r="192" spans="1:9" x14ac:dyDescent="0.45">
      <c r="A192" s="3" t="s">
        <v>100</v>
      </c>
      <c r="B192" s="3">
        <v>16</v>
      </c>
      <c r="C192" s="3">
        <v>0.111</v>
      </c>
      <c r="D192" s="4">
        <v>0.32146490335707018</v>
      </c>
      <c r="E192" s="1" t="s">
        <v>166</v>
      </c>
      <c r="F192" s="1" t="s">
        <v>167</v>
      </c>
      <c r="G192" s="1">
        <f>VLOOKUP(E192,Effects!A:J,10,FALSE)</f>
        <v>0.64666559912038191</v>
      </c>
      <c r="H192" s="1">
        <f>VLOOKUP(E192,IOT!$A$6:$DO$115, 119, FALSE)</f>
        <v>8295</v>
      </c>
      <c r="I192" s="3">
        <v>9</v>
      </c>
    </row>
    <row r="193" spans="1:9" x14ac:dyDescent="0.45">
      <c r="A193" s="3" t="s">
        <v>100</v>
      </c>
      <c r="B193" s="3">
        <v>17</v>
      </c>
      <c r="C193" s="3">
        <v>0.222</v>
      </c>
      <c r="D193" s="4">
        <v>0.15179215780611016</v>
      </c>
      <c r="E193" s="1" t="s">
        <v>168</v>
      </c>
      <c r="F193" s="1" t="s">
        <v>169</v>
      </c>
      <c r="G193" s="1">
        <f>VLOOKUP(E193,Effects!A:J,10,FALSE)</f>
        <v>0.68547157251781998</v>
      </c>
      <c r="H193" s="1">
        <f>VLOOKUP(E193,IOT!$A$6:$DO$115, 119, FALSE)</f>
        <v>12424</v>
      </c>
      <c r="I193" s="3">
        <v>9</v>
      </c>
    </row>
    <row r="194" spans="1:9" x14ac:dyDescent="0.45">
      <c r="A194" s="3" t="s">
        <v>100</v>
      </c>
      <c r="B194" s="3">
        <v>20.5</v>
      </c>
      <c r="C194" s="3">
        <v>0.222</v>
      </c>
      <c r="D194" s="4">
        <v>0.46701260192735361</v>
      </c>
      <c r="E194" s="1" t="s">
        <v>178</v>
      </c>
      <c r="F194" s="1" t="s">
        <v>179</v>
      </c>
      <c r="G194" s="1">
        <f>VLOOKUP(E194,Effects!A:J,10,FALSE)</f>
        <v>0.60529104288966107</v>
      </c>
      <c r="H194" s="1">
        <f>VLOOKUP(E194,IOT!$A$6:$DO$115, 119, FALSE)</f>
        <v>5965</v>
      </c>
      <c r="I194" s="3">
        <v>9</v>
      </c>
    </row>
    <row r="195" spans="1:9" x14ac:dyDescent="0.45">
      <c r="A195" s="3" t="s">
        <v>100</v>
      </c>
      <c r="B195" s="3">
        <v>22</v>
      </c>
      <c r="C195" s="3">
        <v>0.111</v>
      </c>
      <c r="D195" s="4">
        <v>8.8029156153630508E-2</v>
      </c>
      <c r="E195" s="1" t="s">
        <v>188</v>
      </c>
      <c r="F195" s="1" t="s">
        <v>189</v>
      </c>
      <c r="G195" s="1">
        <f>VLOOKUP(E195,Effects!A:J,10,FALSE)</f>
        <v>0.60896888628506152</v>
      </c>
      <c r="H195" s="1">
        <f>VLOOKUP(E195,IOT!$A$6:$DO$115, 119, FALSE)</f>
        <v>21213</v>
      </c>
      <c r="I195" s="3">
        <v>9</v>
      </c>
    </row>
    <row r="196" spans="1:9" x14ac:dyDescent="0.45">
      <c r="A196" s="3" t="s">
        <v>100</v>
      </c>
      <c r="B196" s="3" t="s">
        <v>36</v>
      </c>
      <c r="C196" s="3">
        <v>0.111</v>
      </c>
      <c r="D196" s="4">
        <v>6.2153602533650036E-2</v>
      </c>
      <c r="E196" s="1" t="s">
        <v>200</v>
      </c>
      <c r="F196" s="1" t="s">
        <v>201</v>
      </c>
      <c r="G196" s="1">
        <f>VLOOKUP(E196,Effects!A:J,10,FALSE)</f>
        <v>0.72791781533727107</v>
      </c>
      <c r="H196" s="1">
        <f>VLOOKUP(E196,IOT!$A$6:$DO$115, 119, FALSE)</f>
        <v>30969</v>
      </c>
      <c r="I196" s="3">
        <v>9</v>
      </c>
    </row>
    <row r="197" spans="1:9" x14ac:dyDescent="0.45">
      <c r="A197" s="3" t="s">
        <v>100</v>
      </c>
      <c r="B197" s="3">
        <v>32</v>
      </c>
      <c r="C197" s="3">
        <v>0.11199999999999999</v>
      </c>
      <c r="D197" s="4">
        <v>1.2289380120575051E-2</v>
      </c>
      <c r="E197" s="1" t="s">
        <v>218</v>
      </c>
      <c r="F197" s="1" t="s">
        <v>219</v>
      </c>
      <c r="G197" s="1">
        <f>VLOOKUP(E197,Effects!A:J,10,FALSE)</f>
        <v>0.74699995664052998</v>
      </c>
      <c r="H197" s="1">
        <f>VLOOKUP(E197,IOT!$A$6:$DO$115, 119, FALSE)</f>
        <v>9742</v>
      </c>
      <c r="I197" s="3">
        <v>9</v>
      </c>
    </row>
    <row r="198" spans="1:9" x14ac:dyDescent="0.45">
      <c r="A198" s="3" t="s">
        <v>100</v>
      </c>
      <c r="B198" s="3">
        <v>58</v>
      </c>
      <c r="C198" s="3">
        <v>0.111</v>
      </c>
      <c r="D198" s="4">
        <v>2.2814793286347453E-2</v>
      </c>
      <c r="E198" s="1" t="s">
        <v>262</v>
      </c>
      <c r="F198" s="1" t="s">
        <v>263</v>
      </c>
      <c r="G198" s="1">
        <f>VLOOKUP(E198,Effects!A:J,10,FALSE)</f>
        <v>0.85233000001281345</v>
      </c>
      <c r="H198" s="1">
        <f>VLOOKUP(E198,IOT!$A$6:$DO$115, 119, FALSE)</f>
        <v>23264</v>
      </c>
      <c r="I198" s="3">
        <v>9</v>
      </c>
    </row>
    <row r="199" spans="1:9" x14ac:dyDescent="0.45">
      <c r="A199" s="3">
        <v>9.6</v>
      </c>
      <c r="B199" s="3">
        <v>79</v>
      </c>
      <c r="C199" s="3">
        <v>1</v>
      </c>
      <c r="D199" s="4">
        <v>0</v>
      </c>
      <c r="E199" s="1" t="s">
        <v>304</v>
      </c>
      <c r="F199" s="1" t="s">
        <v>305</v>
      </c>
      <c r="G199" s="1">
        <f>VLOOKUP(E199,Effects!A:J,10,FALSE)</f>
        <v>0.74444588249080679</v>
      </c>
      <c r="H199" s="1">
        <f>VLOOKUP(E199,IOT!$A$6:$DO$115, 119, FALSE)</f>
        <v>24877</v>
      </c>
      <c r="I199" s="3">
        <v>9</v>
      </c>
    </row>
    <row r="200" spans="1:9" x14ac:dyDescent="0.45">
      <c r="A200" s="3">
        <v>10.1</v>
      </c>
      <c r="B200" s="3">
        <v>85</v>
      </c>
      <c r="C200" s="3">
        <v>1</v>
      </c>
      <c r="D200" s="4">
        <v>6.9321354862207113E-2</v>
      </c>
      <c r="E200" s="1" t="s">
        <v>314</v>
      </c>
      <c r="F200" s="1" t="s">
        <v>315</v>
      </c>
      <c r="G200" s="1">
        <f>VLOOKUP(E200,Effects!A:J,10,FALSE)</f>
        <v>0.93021507448426122</v>
      </c>
      <c r="H200" s="1">
        <f>VLOOKUP(E200,IOT!$A$6:$DO$115, 119, FALSE)</f>
        <v>147438</v>
      </c>
      <c r="I200" s="3">
        <v>10</v>
      </c>
    </row>
    <row r="201" spans="1:9" x14ac:dyDescent="0.45">
      <c r="A201" s="3">
        <v>10.199999999999999</v>
      </c>
      <c r="B201" s="3">
        <v>85</v>
      </c>
      <c r="C201" s="3">
        <v>1</v>
      </c>
      <c r="D201" s="4">
        <v>0.1389462182833556</v>
      </c>
      <c r="E201" s="1" t="s">
        <v>314</v>
      </c>
      <c r="F201" s="1" t="s">
        <v>315</v>
      </c>
      <c r="G201" s="1">
        <f>VLOOKUP(E201,Effects!A:J,10,FALSE)</f>
        <v>0.93021507448426122</v>
      </c>
      <c r="H201" s="1">
        <f>VLOOKUP(E201,IOT!$A$6:$DO$115, 119, FALSE)</f>
        <v>147438</v>
      </c>
      <c r="I201" s="3">
        <v>10</v>
      </c>
    </row>
    <row r="202" spans="1:9" x14ac:dyDescent="0.45">
      <c r="A202" s="3">
        <v>10.3</v>
      </c>
      <c r="B202" s="3">
        <v>85</v>
      </c>
      <c r="C202" s="3">
        <v>1</v>
      </c>
      <c r="D202" s="4">
        <v>0.13287604710452836</v>
      </c>
      <c r="E202" s="1" t="s">
        <v>314</v>
      </c>
      <c r="F202" s="1" t="s">
        <v>315</v>
      </c>
      <c r="G202" s="1">
        <f>VLOOKUP(E202,Effects!A:J,10,FALSE)</f>
        <v>0.93021507448426122</v>
      </c>
      <c r="H202" s="1">
        <f>VLOOKUP(E202,IOT!$A$6:$DO$115, 119, FALSE)</f>
        <v>147438</v>
      </c>
      <c r="I202" s="3">
        <v>10</v>
      </c>
    </row>
    <row r="203" spans="1:9" x14ac:dyDescent="0.45">
      <c r="A203" s="3">
        <v>10.4</v>
      </c>
      <c r="B203" s="3">
        <v>85</v>
      </c>
      <c r="C203" s="3">
        <v>1</v>
      </c>
      <c r="D203" s="4">
        <v>0.55511715430375141</v>
      </c>
      <c r="E203" s="1" t="s">
        <v>314</v>
      </c>
      <c r="F203" s="1" t="s">
        <v>315</v>
      </c>
      <c r="G203" s="1">
        <f>VLOOKUP(E203,Effects!A:J,10,FALSE)</f>
        <v>0.93021507448426122</v>
      </c>
      <c r="H203" s="1">
        <f>VLOOKUP(E203,IOT!$A$6:$DO$115, 119, FALSE)</f>
        <v>147438</v>
      </c>
      <c r="I203" s="3">
        <v>10</v>
      </c>
    </row>
    <row r="204" spans="1:9" x14ac:dyDescent="0.45">
      <c r="A204" s="3">
        <v>10.5</v>
      </c>
      <c r="B204" s="3">
        <v>85</v>
      </c>
      <c r="C204" s="3">
        <v>1</v>
      </c>
      <c r="D204" s="4">
        <v>9.4876775525069804E-2</v>
      </c>
      <c r="E204" s="1" t="s">
        <v>314</v>
      </c>
      <c r="F204" s="1" t="s">
        <v>315</v>
      </c>
      <c r="G204" s="1">
        <f>VLOOKUP(E204,Effects!A:J,10,FALSE)</f>
        <v>0.93021507448426122</v>
      </c>
      <c r="H204" s="1">
        <f>VLOOKUP(E204,IOT!$A$6:$DO$115, 119, FALSE)</f>
        <v>147438</v>
      </c>
      <c r="I204" s="3">
        <v>10</v>
      </c>
    </row>
    <row r="205" spans="1:9" x14ac:dyDescent="0.45">
      <c r="A205" s="3" t="s">
        <v>101</v>
      </c>
      <c r="B205" s="3">
        <v>56</v>
      </c>
      <c r="C205" s="3">
        <v>1</v>
      </c>
      <c r="D205" s="4">
        <v>0.91163492666966206</v>
      </c>
      <c r="E205" s="1" t="s">
        <v>260</v>
      </c>
      <c r="F205" s="1" t="s">
        <v>261</v>
      </c>
      <c r="G205" s="1">
        <f>VLOOKUP(E205,Effects!A:J,10,FALSE)</f>
        <v>0.85813421300374437</v>
      </c>
      <c r="H205" s="1">
        <f>VLOOKUP(E205,IOT!$A$6:$DO$115, 119, FALSE)</f>
        <v>113993</v>
      </c>
      <c r="I205" s="3">
        <v>11</v>
      </c>
    </row>
    <row r="206" spans="1:9" x14ac:dyDescent="0.45">
      <c r="A206" s="3" t="s">
        <v>102</v>
      </c>
      <c r="B206" s="3">
        <v>56</v>
      </c>
      <c r="C206" s="3">
        <v>1</v>
      </c>
      <c r="D206" s="4">
        <v>8.8365073330337912E-2</v>
      </c>
      <c r="E206" s="1" t="s">
        <v>260</v>
      </c>
      <c r="F206" s="1" t="s">
        <v>261</v>
      </c>
      <c r="G206" s="1">
        <f>VLOOKUP(E206,Effects!A:J,10,FALSE)</f>
        <v>0.85813421300374437</v>
      </c>
      <c r="H206" s="1">
        <f>VLOOKUP(E206,IOT!$A$6:$DO$115, 119, FALSE)</f>
        <v>113993</v>
      </c>
      <c r="I206" s="3">
        <v>11</v>
      </c>
    </row>
    <row r="207" spans="1:9" x14ac:dyDescent="0.45">
      <c r="A207" s="3">
        <v>11.2</v>
      </c>
      <c r="B207" s="3">
        <v>55</v>
      </c>
      <c r="C207" s="3">
        <v>0.97</v>
      </c>
      <c r="D207" s="4">
        <v>1</v>
      </c>
      <c r="E207" s="1" t="s">
        <v>258</v>
      </c>
      <c r="F207" s="1" t="s">
        <v>259</v>
      </c>
      <c r="G207" s="1">
        <f>VLOOKUP(E207,Effects!A:J,10,FALSE)</f>
        <v>0.89562142927470811</v>
      </c>
      <c r="H207" s="1">
        <f>VLOOKUP(E207,IOT!$A$6:$DO$115, 119, FALSE)</f>
        <v>29726</v>
      </c>
      <c r="I207" s="3">
        <v>11</v>
      </c>
    </row>
    <row r="208" spans="1:9" x14ac:dyDescent="0.45">
      <c r="A208" s="3">
        <v>11.2</v>
      </c>
      <c r="B208" s="3" t="s">
        <v>27</v>
      </c>
      <c r="C208" s="3">
        <v>0.03</v>
      </c>
      <c r="D208" s="4">
        <v>8.4211922286320535E-3</v>
      </c>
      <c r="E208" s="1" t="s">
        <v>282</v>
      </c>
      <c r="F208" s="1" t="s">
        <v>283</v>
      </c>
      <c r="G208" s="1">
        <f>VLOOKUP(E208,Effects!A:J,10,FALSE)</f>
        <v>0.91331865929778733</v>
      </c>
      <c r="H208" s="1">
        <f>VLOOKUP(E208,IOT!$A$6:$DO$115, 119, FALSE)</f>
        <v>138823</v>
      </c>
      <c r="I208" s="3">
        <v>11</v>
      </c>
    </row>
    <row r="209" spans="1:9" x14ac:dyDescent="0.45">
      <c r="A209" s="3" t="s">
        <v>103</v>
      </c>
      <c r="B209" s="3">
        <v>96</v>
      </c>
      <c r="C209" s="3">
        <v>1</v>
      </c>
      <c r="D209" s="4">
        <v>0.34505431675242998</v>
      </c>
      <c r="E209" s="1" t="s">
        <v>332</v>
      </c>
      <c r="F209" s="1" t="s">
        <v>333</v>
      </c>
      <c r="G209" s="1">
        <f>VLOOKUP(E209,Effects!A:J,10,FALSE)</f>
        <v>0.9285979457005854</v>
      </c>
      <c r="H209" s="1">
        <f>VLOOKUP(E209,IOT!$A$6:$DO$115, 119, FALSE)</f>
        <v>28154</v>
      </c>
      <c r="I209" s="3" t="s">
        <v>376</v>
      </c>
    </row>
    <row r="210" spans="1:9" x14ac:dyDescent="0.45">
      <c r="A210" s="3" t="s">
        <v>104</v>
      </c>
      <c r="B210" s="3">
        <v>27</v>
      </c>
      <c r="C210" s="3">
        <v>1</v>
      </c>
      <c r="D210" s="4">
        <v>0.14797736323621882</v>
      </c>
      <c r="E210" s="1" t="s">
        <v>204</v>
      </c>
      <c r="F210" s="1" t="s">
        <v>205</v>
      </c>
      <c r="G210" s="1">
        <f>VLOOKUP(E210,Effects!A:J,10,FALSE)</f>
        <v>0.66145105140926663</v>
      </c>
      <c r="H210" s="1">
        <f>VLOOKUP(E210,IOT!$A$6:$DO$115, 119, FALSE)</f>
        <v>12633</v>
      </c>
      <c r="I210" s="3" t="s">
        <v>376</v>
      </c>
    </row>
    <row r="211" spans="1:9" x14ac:dyDescent="0.45">
      <c r="A211" s="3" t="s">
        <v>105</v>
      </c>
      <c r="B211" s="3">
        <v>17</v>
      </c>
      <c r="C211" s="3">
        <v>0.18</v>
      </c>
      <c r="D211" s="4">
        <v>0.80875631464998798</v>
      </c>
      <c r="E211" s="1" t="s">
        <v>168</v>
      </c>
      <c r="F211" s="1" t="s">
        <v>169</v>
      </c>
      <c r="G211" s="1">
        <f>VLOOKUP(E211,Effects!A:J,10,FALSE)</f>
        <v>0.68547157251781998</v>
      </c>
      <c r="H211" s="1">
        <f>VLOOKUP(E211,IOT!$A$6:$DO$115, 119, FALSE)</f>
        <v>12424</v>
      </c>
      <c r="I211" s="3" t="s">
        <v>376</v>
      </c>
    </row>
    <row r="212" spans="1:9" x14ac:dyDescent="0.45">
      <c r="A212" s="3" t="s">
        <v>105</v>
      </c>
      <c r="B212" s="3">
        <v>20.399999999999999</v>
      </c>
      <c r="C212" s="3">
        <v>0.74</v>
      </c>
      <c r="D212" s="4">
        <v>0.78649063904854033</v>
      </c>
      <c r="E212" s="1" t="s">
        <v>176</v>
      </c>
      <c r="F212" s="1" t="s">
        <v>177</v>
      </c>
      <c r="G212" s="1">
        <f>VLOOKUP(E212,Effects!A:J,10,FALSE)</f>
        <v>0.7685987896898826</v>
      </c>
      <c r="H212" s="1">
        <f>VLOOKUP(E212,IOT!$A$6:$DO$115, 119, FALSE)</f>
        <v>8680</v>
      </c>
      <c r="I212" s="3" t="s">
        <v>376</v>
      </c>
    </row>
    <row r="213" spans="1:9" x14ac:dyDescent="0.45">
      <c r="A213" s="3" t="s">
        <v>105</v>
      </c>
      <c r="B213" s="3">
        <v>20.5</v>
      </c>
      <c r="C213" s="3">
        <v>0.01</v>
      </c>
      <c r="D213" s="4">
        <v>0.13862120088954782</v>
      </c>
      <c r="E213" s="1" t="s">
        <v>178</v>
      </c>
      <c r="F213" s="1" t="s">
        <v>179</v>
      </c>
      <c r="G213" s="1">
        <f>VLOOKUP(E213,Effects!A:J,10,FALSE)</f>
        <v>0.60529104288966107</v>
      </c>
      <c r="H213" s="1">
        <f>VLOOKUP(E213,IOT!$A$6:$DO$115, 119, FALSE)</f>
        <v>5965</v>
      </c>
      <c r="I213" s="3" t="s">
        <v>376</v>
      </c>
    </row>
    <row r="214" spans="1:9" x14ac:dyDescent="0.45">
      <c r="A214" s="3" t="s">
        <v>105</v>
      </c>
      <c r="B214" s="3" t="s">
        <v>36</v>
      </c>
      <c r="C214" s="3">
        <v>0.02</v>
      </c>
      <c r="D214" s="4">
        <v>7.3832145684877282E-2</v>
      </c>
      <c r="E214" s="1" t="s">
        <v>200</v>
      </c>
      <c r="F214" s="1" t="s">
        <v>201</v>
      </c>
      <c r="G214" s="1">
        <f>VLOOKUP(E214,Effects!A:J,10,FALSE)</f>
        <v>0.72791781533727107</v>
      </c>
      <c r="H214" s="1">
        <f>VLOOKUP(E214,IOT!$A$6:$DO$115, 119, FALSE)</f>
        <v>30969</v>
      </c>
      <c r="I214" s="3" t="s">
        <v>376</v>
      </c>
    </row>
    <row r="215" spans="1:9" x14ac:dyDescent="0.45">
      <c r="A215" s="3" t="s">
        <v>105</v>
      </c>
      <c r="B215" s="3">
        <v>32</v>
      </c>
      <c r="C215" s="3">
        <v>0.05</v>
      </c>
      <c r="D215" s="4">
        <v>3.6056577523573968E-2</v>
      </c>
      <c r="E215" s="1" t="s">
        <v>218</v>
      </c>
      <c r="F215" s="1" t="s">
        <v>219</v>
      </c>
      <c r="G215" s="1">
        <f>VLOOKUP(E215,Effects!A:J,10,FALSE)</f>
        <v>0.74699995664052998</v>
      </c>
      <c r="H215" s="1">
        <f>VLOOKUP(E215,IOT!$A$6:$DO$115, 119, FALSE)</f>
        <v>9742</v>
      </c>
      <c r="I215" s="3" t="s">
        <v>376</v>
      </c>
    </row>
    <row r="216" spans="1:9" x14ac:dyDescent="0.45">
      <c r="A216" s="3">
        <v>12.2</v>
      </c>
      <c r="B216" s="3">
        <v>96</v>
      </c>
      <c r="C216" s="3">
        <v>1</v>
      </c>
      <c r="D216" s="4">
        <v>0.33676386506575184</v>
      </c>
      <c r="E216" s="1" t="s">
        <v>332</v>
      </c>
      <c r="F216" s="1" t="s">
        <v>333</v>
      </c>
      <c r="G216" s="1">
        <f>VLOOKUP(E216,Effects!A:J,10,FALSE)</f>
        <v>0.9285979457005854</v>
      </c>
      <c r="H216" s="1">
        <f>VLOOKUP(E216,IOT!$A$6:$DO$115, 119, FALSE)</f>
        <v>28154</v>
      </c>
      <c r="I216" s="3" t="s">
        <v>376</v>
      </c>
    </row>
    <row r="217" spans="1:9" x14ac:dyDescent="0.45">
      <c r="A217" s="3" t="s">
        <v>106</v>
      </c>
      <c r="B217" s="3">
        <v>15</v>
      </c>
      <c r="C217" s="3">
        <v>4.8000000000000001E-2</v>
      </c>
      <c r="D217" s="4">
        <v>3.1885441527446302E-2</v>
      </c>
      <c r="E217" s="1" t="s">
        <v>164</v>
      </c>
      <c r="F217" s="1" t="s">
        <v>165</v>
      </c>
      <c r="G217" s="1">
        <f>VLOOKUP(E217,Effects!A:J,10,FALSE)</f>
        <v>0.78616305881060056</v>
      </c>
      <c r="H217" s="1">
        <f>VLOOKUP(E217,IOT!$A$6:$DO$115, 119, FALSE)</f>
        <v>985</v>
      </c>
      <c r="I217" s="3" t="s">
        <v>376</v>
      </c>
    </row>
    <row r="218" spans="1:9" x14ac:dyDescent="0.45">
      <c r="A218" s="3" t="s">
        <v>106</v>
      </c>
      <c r="B218" s="3">
        <v>26</v>
      </c>
      <c r="C218" s="3">
        <v>4.8000000000000001E-2</v>
      </c>
      <c r="D218" s="4">
        <v>1.9384330517301238E-2</v>
      </c>
      <c r="E218" s="1" t="s">
        <v>202</v>
      </c>
      <c r="F218" s="1" t="s">
        <v>203</v>
      </c>
      <c r="G218" s="1">
        <f>VLOOKUP(E218,Effects!A:J,10,FALSE)</f>
        <v>0.81515016553025754</v>
      </c>
      <c r="H218" s="1">
        <f>VLOOKUP(E218,IOT!$A$6:$DO$115, 119, FALSE)</f>
        <v>24708</v>
      </c>
      <c r="I218" s="3" t="s">
        <v>376</v>
      </c>
    </row>
    <row r="219" spans="1:9" x14ac:dyDescent="0.45">
      <c r="A219" s="3" t="s">
        <v>106</v>
      </c>
      <c r="B219" s="3">
        <v>32</v>
      </c>
      <c r="C219" s="3">
        <v>0.85599999999999998</v>
      </c>
      <c r="D219" s="4">
        <v>0.23245478435616015</v>
      </c>
      <c r="E219" s="1" t="s">
        <v>218</v>
      </c>
      <c r="F219" s="1" t="s">
        <v>219</v>
      </c>
      <c r="G219" s="1">
        <f>VLOOKUP(E219,Effects!A:J,10,FALSE)</f>
        <v>0.74699995664052998</v>
      </c>
      <c r="H219" s="1">
        <f>VLOOKUP(E219,IOT!$A$6:$DO$115, 119, FALSE)</f>
        <v>9742</v>
      </c>
      <c r="I219" s="3" t="s">
        <v>376</v>
      </c>
    </row>
    <row r="220" spans="1:9" x14ac:dyDescent="0.45">
      <c r="A220" s="3" t="s">
        <v>106</v>
      </c>
      <c r="B220" s="3">
        <v>95</v>
      </c>
      <c r="C220" s="3">
        <v>4.9000000000000002E-2</v>
      </c>
      <c r="D220" s="4">
        <v>0.31767955801104975</v>
      </c>
      <c r="E220" s="1" t="s">
        <v>330</v>
      </c>
      <c r="F220" s="1" t="s">
        <v>331</v>
      </c>
      <c r="G220" s="1">
        <f>VLOOKUP(E220,Effects!A:J,10,FALSE)</f>
        <v>0.87457352494221907</v>
      </c>
      <c r="H220" s="1">
        <f>VLOOKUP(E220,IOT!$A$6:$DO$115, 119, FALSE)</f>
        <v>3698</v>
      </c>
      <c r="I220" s="3" t="s">
        <v>376</v>
      </c>
    </row>
    <row r="221" spans="1:9" x14ac:dyDescent="0.45">
      <c r="A221" s="3" t="s">
        <v>107</v>
      </c>
      <c r="B221" s="3">
        <v>8</v>
      </c>
      <c r="C221" s="3">
        <v>0.01</v>
      </c>
      <c r="D221" s="4">
        <v>0.58333333333333337</v>
      </c>
      <c r="E221" s="1" t="s">
        <v>136</v>
      </c>
      <c r="F221" s="1" t="s">
        <v>137</v>
      </c>
      <c r="G221" s="1">
        <f>VLOOKUP(E221,Effects!A:J,10,FALSE)</f>
        <v>0.69550670246940349</v>
      </c>
      <c r="H221" s="1">
        <f>VLOOKUP(E221,IOT!$A$6:$DO$115, 119, FALSE)</f>
        <v>3978</v>
      </c>
      <c r="I221" s="3" t="s">
        <v>376</v>
      </c>
    </row>
    <row r="222" spans="1:9" x14ac:dyDescent="0.45">
      <c r="A222" s="3" t="s">
        <v>107</v>
      </c>
      <c r="B222" s="3">
        <v>15</v>
      </c>
      <c r="C222" s="3">
        <v>0.2</v>
      </c>
      <c r="D222" s="4">
        <v>8.1050119331742249E-2</v>
      </c>
      <c r="E222" s="1" t="s">
        <v>164</v>
      </c>
      <c r="F222" s="1" t="s">
        <v>165</v>
      </c>
      <c r="G222" s="1">
        <f>VLOOKUP(E222,Effects!A:J,10,FALSE)</f>
        <v>0.78616305881060056</v>
      </c>
      <c r="H222" s="1">
        <f>VLOOKUP(E222,IOT!$A$6:$DO$115, 119, FALSE)</f>
        <v>985</v>
      </c>
      <c r="I222" s="3" t="s">
        <v>376</v>
      </c>
    </row>
    <row r="223" spans="1:9" x14ac:dyDescent="0.45">
      <c r="A223" s="3" t="s">
        <v>107</v>
      </c>
      <c r="B223" s="3">
        <v>16</v>
      </c>
      <c r="C223" s="3">
        <v>0.13</v>
      </c>
      <c r="D223" s="4">
        <v>0.56154628687690744</v>
      </c>
      <c r="E223" s="1" t="s">
        <v>166</v>
      </c>
      <c r="F223" s="1" t="s">
        <v>167</v>
      </c>
      <c r="G223" s="1">
        <f>VLOOKUP(E223,Effects!A:J,10,FALSE)</f>
        <v>0.64666559912038191</v>
      </c>
      <c r="H223" s="1">
        <f>VLOOKUP(E223,IOT!$A$6:$DO$115, 119, FALSE)</f>
        <v>8295</v>
      </c>
      <c r="I223" s="3" t="s">
        <v>376</v>
      </c>
    </row>
    <row r="224" spans="1:9" x14ac:dyDescent="0.45">
      <c r="A224" s="3" t="s">
        <v>107</v>
      </c>
      <c r="B224" s="3" t="s">
        <v>33</v>
      </c>
      <c r="C224" s="3">
        <v>0.02</v>
      </c>
      <c r="D224" s="4">
        <v>2.6179604261796042E-2</v>
      </c>
      <c r="E224" s="1" t="s">
        <v>192</v>
      </c>
      <c r="F224" s="1" t="s">
        <v>193</v>
      </c>
      <c r="G224" s="1">
        <f>VLOOKUP(E224,Effects!A:J,10,FALSE)</f>
        <v>0.69529776883867012</v>
      </c>
      <c r="H224" s="1">
        <f>VLOOKUP(E224,IOT!$A$6:$DO$115, 119, FALSE)</f>
        <v>7120</v>
      </c>
      <c r="I224" s="3" t="s">
        <v>376</v>
      </c>
    </row>
    <row r="225" spans="1:9" x14ac:dyDescent="0.45">
      <c r="A225" s="3" t="s">
        <v>107</v>
      </c>
      <c r="B225" s="3" t="s">
        <v>36</v>
      </c>
      <c r="C225" s="3">
        <v>0.14000000000000001</v>
      </c>
      <c r="D225" s="4">
        <v>0.11797307996832937</v>
      </c>
      <c r="E225" s="1" t="s">
        <v>200</v>
      </c>
      <c r="F225" s="1" t="s">
        <v>201</v>
      </c>
      <c r="G225" s="1">
        <f>VLOOKUP(E225,Effects!A:J,10,FALSE)</f>
        <v>0.72791781533727107</v>
      </c>
      <c r="H225" s="1">
        <f>VLOOKUP(E225,IOT!$A$6:$DO$115, 119, FALSE)</f>
        <v>30969</v>
      </c>
      <c r="I225" s="3" t="s">
        <v>376</v>
      </c>
    </row>
    <row r="226" spans="1:9" x14ac:dyDescent="0.45">
      <c r="A226" s="3" t="s">
        <v>107</v>
      </c>
      <c r="B226" s="3">
        <v>26</v>
      </c>
      <c r="C226" s="3">
        <v>0.05</v>
      </c>
      <c r="D226" s="4">
        <v>1.2267098715426455E-2</v>
      </c>
      <c r="E226" s="1" t="s">
        <v>202</v>
      </c>
      <c r="F226" s="1" t="s">
        <v>203</v>
      </c>
      <c r="G226" s="1">
        <f>VLOOKUP(E226,Effects!A:J,10,FALSE)</f>
        <v>0.81515016553025754</v>
      </c>
      <c r="H226" s="1">
        <f>VLOOKUP(E226,IOT!$A$6:$DO$115, 119, FALSE)</f>
        <v>24708</v>
      </c>
      <c r="I226" s="3" t="s">
        <v>376</v>
      </c>
    </row>
    <row r="227" spans="1:9" x14ac:dyDescent="0.45">
      <c r="A227" s="3" t="s">
        <v>107</v>
      </c>
      <c r="B227" s="3">
        <v>31</v>
      </c>
      <c r="C227" s="3">
        <v>0.08</v>
      </c>
      <c r="D227" s="4">
        <v>3.0370901272173446E-2</v>
      </c>
      <c r="E227" s="1" t="s">
        <v>216</v>
      </c>
      <c r="F227" s="1" t="s">
        <v>217</v>
      </c>
      <c r="G227" s="1">
        <f>VLOOKUP(E227,Effects!A:J,10,FALSE)</f>
        <v>0.7714049221456698</v>
      </c>
      <c r="H227" s="1">
        <f>VLOOKUP(E227,IOT!$A$6:$DO$115, 119, FALSE)</f>
        <v>8151</v>
      </c>
      <c r="I227" s="3" t="s">
        <v>376</v>
      </c>
    </row>
    <row r="228" spans="1:9" x14ac:dyDescent="0.45">
      <c r="A228" s="3" t="s">
        <v>107</v>
      </c>
      <c r="B228" s="3">
        <v>32</v>
      </c>
      <c r="C228" s="3">
        <v>0.37</v>
      </c>
      <c r="D228" s="4">
        <v>6.0828567011902923E-2</v>
      </c>
      <c r="E228" s="1" t="s">
        <v>218</v>
      </c>
      <c r="F228" s="1" t="s">
        <v>219</v>
      </c>
      <c r="G228" s="1">
        <f>VLOOKUP(E228,Effects!A:J,10,FALSE)</f>
        <v>0.74699995664052998</v>
      </c>
      <c r="H228" s="1">
        <f>VLOOKUP(E228,IOT!$A$6:$DO$115, 119, FALSE)</f>
        <v>9742</v>
      </c>
      <c r="I228" s="3" t="s">
        <v>376</v>
      </c>
    </row>
    <row r="229" spans="1:9" x14ac:dyDescent="0.45">
      <c r="A229" s="3">
        <v>12.4</v>
      </c>
      <c r="B229" s="3">
        <v>86</v>
      </c>
      <c r="C229" s="3">
        <v>0.20199999999999999</v>
      </c>
      <c r="D229" s="4">
        <v>0.26377517149811908</v>
      </c>
      <c r="E229" s="1" t="s">
        <v>316</v>
      </c>
      <c r="F229" s="1" t="s">
        <v>317</v>
      </c>
      <c r="G229" s="1">
        <f>VLOOKUP(E229,Effects!A:J,10,FALSE)</f>
        <v>0.85158028789274831</v>
      </c>
      <c r="H229" s="1">
        <f>VLOOKUP(E229,IOT!$A$6:$DO$115, 119, FALSE)</f>
        <v>170635</v>
      </c>
      <c r="I229" s="3" t="s">
        <v>376</v>
      </c>
    </row>
    <row r="230" spans="1:9" x14ac:dyDescent="0.45">
      <c r="A230" s="3">
        <v>12.4</v>
      </c>
      <c r="B230" s="3">
        <v>87</v>
      </c>
      <c r="C230" s="3">
        <v>0.32500000000000001</v>
      </c>
      <c r="D230" s="4">
        <v>1</v>
      </c>
      <c r="E230" s="1" t="s">
        <v>318</v>
      </c>
      <c r="F230" s="1" t="s">
        <v>319</v>
      </c>
      <c r="G230" s="1">
        <f>VLOOKUP(E230,Effects!A:J,10,FALSE)</f>
        <v>0.91076386039252988</v>
      </c>
      <c r="H230" s="1">
        <f>VLOOKUP(E230,IOT!$A$6:$DO$115, 119, FALSE)</f>
        <v>76776</v>
      </c>
      <c r="I230" s="3" t="s">
        <v>376</v>
      </c>
    </row>
    <row r="231" spans="1:9" x14ac:dyDescent="0.45">
      <c r="A231" s="3">
        <v>12.4</v>
      </c>
      <c r="B231" s="3">
        <v>88</v>
      </c>
      <c r="C231" s="3">
        <v>0.47299999999999998</v>
      </c>
      <c r="D231" s="4">
        <v>1</v>
      </c>
      <c r="E231" s="1" t="s">
        <v>318</v>
      </c>
      <c r="F231" s="1" t="s">
        <v>319</v>
      </c>
      <c r="G231" s="1">
        <f>VLOOKUP(E231,Effects!A:J,10,FALSE)</f>
        <v>0.91076386039252988</v>
      </c>
      <c r="H231" s="1">
        <f>VLOOKUP(E231,IOT!$A$6:$DO$115, 119, FALSE)</f>
        <v>76776</v>
      </c>
      <c r="I231" s="3" t="s">
        <v>376</v>
      </c>
    </row>
    <row r="232" spans="1:9" x14ac:dyDescent="0.45">
      <c r="A232" s="3" t="s">
        <v>108</v>
      </c>
      <c r="B232" s="3" t="s">
        <v>109</v>
      </c>
      <c r="C232" s="3">
        <v>1</v>
      </c>
      <c r="D232" s="4">
        <v>0.37944544075044834</v>
      </c>
      <c r="E232" s="1" t="s">
        <v>274</v>
      </c>
      <c r="F232" s="1" t="s">
        <v>275</v>
      </c>
      <c r="G232" s="1">
        <f>VLOOKUP(E232,Effects!A:J,10,FALSE)</f>
        <v>0.75804459534130098</v>
      </c>
      <c r="H232" s="1">
        <f>VLOOKUP(E232,IOT!$A$6:$DO$115, 119, FALSE)</f>
        <v>57411</v>
      </c>
      <c r="I232" s="3" t="s">
        <v>376</v>
      </c>
    </row>
    <row r="233" spans="1:9" x14ac:dyDescent="0.45">
      <c r="A233" s="3" t="s">
        <v>110</v>
      </c>
      <c r="B233" s="3" t="s">
        <v>109</v>
      </c>
      <c r="C233" s="3">
        <v>1</v>
      </c>
      <c r="D233" s="4">
        <v>0.10680093806042212</v>
      </c>
      <c r="E233" s="1" t="s">
        <v>274</v>
      </c>
      <c r="F233" s="1" t="s">
        <v>275</v>
      </c>
      <c r="G233" s="1">
        <f>VLOOKUP(E233,Effects!A:J,10,FALSE)</f>
        <v>0.75804459534130098</v>
      </c>
      <c r="H233" s="1">
        <f>VLOOKUP(E233,IOT!$A$6:$DO$115, 119, FALSE)</f>
        <v>57411</v>
      </c>
      <c r="I233" s="3" t="s">
        <v>376</v>
      </c>
    </row>
    <row r="234" spans="1:9" x14ac:dyDescent="0.45">
      <c r="A234" s="3" t="s">
        <v>111</v>
      </c>
      <c r="B234" s="3" t="s">
        <v>109</v>
      </c>
      <c r="C234" s="3">
        <v>1</v>
      </c>
      <c r="D234" s="4">
        <v>4.5937370671816802E-2</v>
      </c>
      <c r="E234" s="1" t="s">
        <v>274</v>
      </c>
      <c r="F234" s="1" t="s">
        <v>275</v>
      </c>
      <c r="G234" s="1">
        <f>VLOOKUP(E234,Effects!A:J,10,FALSE)</f>
        <v>0.75804459534130098</v>
      </c>
      <c r="H234" s="1">
        <f>VLOOKUP(E234,IOT!$A$6:$DO$115, 119, FALSE)</f>
        <v>57411</v>
      </c>
      <c r="I234" s="3" t="s">
        <v>376</v>
      </c>
    </row>
    <row r="235" spans="1:9" x14ac:dyDescent="0.45">
      <c r="A235" s="3" t="s">
        <v>112</v>
      </c>
      <c r="B235" s="3" t="s">
        <v>109</v>
      </c>
      <c r="C235" s="3">
        <v>1</v>
      </c>
      <c r="D235" s="4">
        <v>7.8245275210373846E-2</v>
      </c>
      <c r="E235" s="1" t="s">
        <v>274</v>
      </c>
      <c r="F235" s="1" t="s">
        <v>275</v>
      </c>
      <c r="G235" s="1">
        <f>VLOOKUP(E235,Effects!A:J,10,FALSE)</f>
        <v>0.75804459534130098</v>
      </c>
      <c r="H235" s="1">
        <f>VLOOKUP(E235,IOT!$A$6:$DO$115, 119, FALSE)</f>
        <v>57411</v>
      </c>
      <c r="I235" s="3" t="s">
        <v>376</v>
      </c>
    </row>
    <row r="236" spans="1:9" x14ac:dyDescent="0.45">
      <c r="A236" s="3" t="s">
        <v>113</v>
      </c>
      <c r="B236" s="3" t="s">
        <v>109</v>
      </c>
      <c r="C236" s="3">
        <v>1</v>
      </c>
      <c r="D236" s="4">
        <v>0</v>
      </c>
      <c r="E236" s="1" t="s">
        <v>274</v>
      </c>
      <c r="F236" s="1" t="s">
        <v>275</v>
      </c>
      <c r="G236" s="1">
        <f>VLOOKUP(E236,Effects!A:J,10,FALSE)</f>
        <v>0.75804459534130098</v>
      </c>
      <c r="H236" s="1">
        <f>VLOOKUP(E236,IOT!$A$6:$DO$115, 119, FALSE)</f>
        <v>57411</v>
      </c>
      <c r="I236" s="3" t="s">
        <v>376</v>
      </c>
    </row>
    <row r="237" spans="1:9" x14ac:dyDescent="0.45">
      <c r="A237" s="3" t="s">
        <v>114</v>
      </c>
      <c r="B237" s="3">
        <v>64</v>
      </c>
      <c r="C237" s="3">
        <v>1</v>
      </c>
      <c r="D237" s="4">
        <v>0.63011894647408662</v>
      </c>
      <c r="E237" s="1" t="s">
        <v>272</v>
      </c>
      <c r="F237" s="1" t="s">
        <v>273</v>
      </c>
      <c r="G237" s="1">
        <f>VLOOKUP(E237,Effects!A:J,10,FALSE)</f>
        <v>0.84626989479447401</v>
      </c>
      <c r="H237" s="1">
        <f>VLOOKUP(E237,IOT!$A$6:$DO$115, 119, FALSE)</f>
        <v>157237</v>
      </c>
      <c r="I237" s="3" t="s">
        <v>376</v>
      </c>
    </row>
    <row r="238" spans="1:9" x14ac:dyDescent="0.45">
      <c r="A238" s="3" t="s">
        <v>115</v>
      </c>
      <c r="B238" s="3">
        <v>64</v>
      </c>
      <c r="C238" s="3">
        <v>0.33899999999999997</v>
      </c>
      <c r="D238" s="4">
        <v>0.36988105352591333</v>
      </c>
      <c r="E238" s="1" t="s">
        <v>272</v>
      </c>
      <c r="F238" s="1" t="s">
        <v>273</v>
      </c>
      <c r="G238" s="1">
        <f>VLOOKUP(E238,Effects!A:J,10,FALSE)</f>
        <v>0.84626989479447401</v>
      </c>
      <c r="H238" s="1">
        <f>VLOOKUP(E238,IOT!$A$6:$DO$115, 119, FALSE)</f>
        <v>157237</v>
      </c>
      <c r="I238" s="3" t="s">
        <v>376</v>
      </c>
    </row>
    <row r="239" spans="1:9" x14ac:dyDescent="0.45">
      <c r="A239" s="3" t="s">
        <v>115</v>
      </c>
      <c r="B239" s="3" t="s">
        <v>109</v>
      </c>
      <c r="C239" s="3">
        <v>0.55000000000000004</v>
      </c>
      <c r="D239" s="4">
        <v>0.3895709753069389</v>
      </c>
      <c r="E239" s="1" t="s">
        <v>274</v>
      </c>
      <c r="F239" s="1" t="s">
        <v>275</v>
      </c>
      <c r="G239" s="1">
        <f>VLOOKUP(E239,Effects!A:J,10,FALSE)</f>
        <v>0.75804459534130098</v>
      </c>
      <c r="H239" s="1">
        <f>VLOOKUP(E239,IOT!$A$6:$DO$115, 119, FALSE)</f>
        <v>57411</v>
      </c>
      <c r="I239" s="3" t="s">
        <v>376</v>
      </c>
    </row>
    <row r="240" spans="1:9" x14ac:dyDescent="0.45">
      <c r="A240" s="3" t="s">
        <v>115</v>
      </c>
      <c r="B240" s="3">
        <v>66</v>
      </c>
      <c r="C240" s="3">
        <v>0.11</v>
      </c>
      <c r="D240" s="4">
        <v>1</v>
      </c>
      <c r="E240" s="1" t="s">
        <v>276</v>
      </c>
      <c r="F240" s="1" t="s">
        <v>277</v>
      </c>
      <c r="G240" s="1">
        <f>VLOOKUP(E240,Effects!A:J,10,FALSE)</f>
        <v>0.8301819380406843</v>
      </c>
      <c r="H240" s="1">
        <f>VLOOKUP(E240,IOT!$A$6:$DO$115, 119, FALSE)</f>
        <v>83901</v>
      </c>
      <c r="I240" s="3" t="s">
        <v>376</v>
      </c>
    </row>
    <row r="241" spans="1:9" x14ac:dyDescent="0.45">
      <c r="A241" s="3">
        <v>12.7</v>
      </c>
      <c r="B241" s="3">
        <v>68.3</v>
      </c>
      <c r="C241" s="3">
        <v>6.9999999999999993E-3</v>
      </c>
      <c r="D241" s="4">
        <v>1</v>
      </c>
      <c r="E241" s="1" t="s">
        <v>278</v>
      </c>
      <c r="F241" s="1" t="s">
        <v>279</v>
      </c>
      <c r="G241" s="1">
        <f>VLOOKUP(E241,Effects!A:J,10,FALSE)</f>
        <v>0.92175023174090853</v>
      </c>
      <c r="H241" s="1">
        <f>VLOOKUP(E241,IOT!$A$6:$DO$115, 119, FALSE)</f>
        <v>9866</v>
      </c>
      <c r="I241" s="3" t="s">
        <v>376</v>
      </c>
    </row>
    <row r="242" spans="1:9" x14ac:dyDescent="0.45">
      <c r="A242" s="3">
        <v>12.7</v>
      </c>
      <c r="B242" s="3">
        <v>69.099999999999994</v>
      </c>
      <c r="C242" s="3">
        <v>7.0000000000000007E-2</v>
      </c>
      <c r="D242" s="4">
        <v>1</v>
      </c>
      <c r="E242" s="1" t="s">
        <v>284</v>
      </c>
      <c r="F242" s="1" t="s">
        <v>285</v>
      </c>
      <c r="G242" s="1">
        <f>VLOOKUP(E242,Effects!A:J,10,FALSE)</f>
        <v>0.93927239171405075</v>
      </c>
      <c r="H242" s="1">
        <f>VLOOKUP(E242,IOT!$A$6:$DO$115, 119, FALSE)</f>
        <v>38342</v>
      </c>
      <c r="I242" s="3" t="s">
        <v>376</v>
      </c>
    </row>
    <row r="243" spans="1:9" x14ac:dyDescent="0.45">
      <c r="A243" s="3">
        <v>12.7</v>
      </c>
      <c r="B243" s="3">
        <v>69.2</v>
      </c>
      <c r="C243" s="3">
        <v>6.0000000000000001E-3</v>
      </c>
      <c r="D243" s="4">
        <v>1</v>
      </c>
      <c r="E243" s="1" t="s">
        <v>286</v>
      </c>
      <c r="F243" s="1" t="s">
        <v>287</v>
      </c>
      <c r="G243" s="1">
        <f>VLOOKUP(E243,Effects!A:J,10,FALSE)</f>
        <v>0.91710427970750452</v>
      </c>
      <c r="H243" s="1">
        <f>VLOOKUP(E243,IOT!$A$6:$DO$115, 119, FALSE)</f>
        <v>23802</v>
      </c>
      <c r="I243" s="3" t="s">
        <v>376</v>
      </c>
    </row>
    <row r="244" spans="1:9" x14ac:dyDescent="0.45">
      <c r="A244" s="3">
        <v>12.7</v>
      </c>
      <c r="B244" s="3">
        <v>71</v>
      </c>
      <c r="C244" s="3">
        <v>6.9999999999999993E-3</v>
      </c>
      <c r="D244" s="4">
        <v>0.10779816513761468</v>
      </c>
      <c r="E244" s="1" t="s">
        <v>290</v>
      </c>
      <c r="F244" s="1" t="s">
        <v>291</v>
      </c>
      <c r="G244" s="1">
        <f>VLOOKUP(E244,Effects!A:J,10,FALSE)</f>
        <v>0.78310977568414475</v>
      </c>
      <c r="H244" s="1">
        <f>VLOOKUP(E244,IOT!$A$6:$DO$115, 119, FALSE)</f>
        <v>47099</v>
      </c>
      <c r="I244" s="3" t="s">
        <v>376</v>
      </c>
    </row>
    <row r="245" spans="1:9" x14ac:dyDescent="0.45">
      <c r="A245" s="3">
        <v>12.7</v>
      </c>
      <c r="B245" s="3">
        <v>73</v>
      </c>
      <c r="C245" s="3">
        <v>1.9E-2</v>
      </c>
      <c r="D245" s="4">
        <v>1</v>
      </c>
      <c r="E245" s="1" t="s">
        <v>294</v>
      </c>
      <c r="F245" s="1" t="s">
        <v>295</v>
      </c>
      <c r="G245" s="1">
        <f>VLOOKUP(E245,Effects!A:J,10,FALSE)</f>
        <v>0.88095676069032514</v>
      </c>
      <c r="H245" s="1">
        <f>VLOOKUP(E245,IOT!$A$6:$DO$115, 119, FALSE)</f>
        <v>45409</v>
      </c>
      <c r="I245" s="3" t="s">
        <v>376</v>
      </c>
    </row>
    <row r="246" spans="1:9" x14ac:dyDescent="0.45">
      <c r="A246" s="3">
        <v>12.7</v>
      </c>
      <c r="B246" s="3">
        <v>78</v>
      </c>
      <c r="C246" s="3">
        <v>6.0000000000000001E-3</v>
      </c>
      <c r="D246" s="4">
        <v>1</v>
      </c>
      <c r="E246" s="1" t="s">
        <v>302</v>
      </c>
      <c r="F246" s="1" t="s">
        <v>303</v>
      </c>
      <c r="G246" s="1">
        <f>VLOOKUP(E246,Effects!A:J,10,FALSE)</f>
        <v>0.90416768149226368</v>
      </c>
      <c r="H246" s="1">
        <f>VLOOKUP(E246,IOT!$A$6:$DO$115, 119, FALSE)</f>
        <v>49387</v>
      </c>
      <c r="I246" s="3" t="s">
        <v>376</v>
      </c>
    </row>
    <row r="247" spans="1:9" x14ac:dyDescent="0.45">
      <c r="A247" s="3">
        <v>12.7</v>
      </c>
      <c r="B247" s="3">
        <v>80</v>
      </c>
      <c r="C247" s="3">
        <v>6.9999999999999993E-3</v>
      </c>
      <c r="D247" s="4">
        <v>1</v>
      </c>
      <c r="E247" s="1" t="s">
        <v>306</v>
      </c>
      <c r="F247" s="1" t="s">
        <v>307</v>
      </c>
      <c r="G247" s="1">
        <f>VLOOKUP(E247,Effects!A:J,10,FALSE)</f>
        <v>0.92232574269633061</v>
      </c>
      <c r="H247" s="1">
        <f>VLOOKUP(E247,IOT!$A$6:$DO$115, 119, FALSE)</f>
        <v>6964</v>
      </c>
      <c r="I247" s="3" t="s">
        <v>376</v>
      </c>
    </row>
    <row r="248" spans="1:9" x14ac:dyDescent="0.45">
      <c r="A248" s="3">
        <v>12.7</v>
      </c>
      <c r="B248" s="3">
        <v>82</v>
      </c>
      <c r="C248" s="3">
        <v>2.6000000000000002E-2</v>
      </c>
      <c r="D248" s="4">
        <v>0.82666666666666666</v>
      </c>
      <c r="E248" s="1" t="s">
        <v>310</v>
      </c>
      <c r="F248" s="1" t="s">
        <v>311</v>
      </c>
      <c r="G248" s="1">
        <f>VLOOKUP(E248,Effects!A:J,10,FALSE)</f>
        <v>0.82417035216514034</v>
      </c>
      <c r="H248" s="1">
        <f>VLOOKUP(E248,IOT!$A$6:$DO$115, 119, FALSE)</f>
        <v>48362</v>
      </c>
      <c r="I248" s="3" t="s">
        <v>376</v>
      </c>
    </row>
    <row r="249" spans="1:9" x14ac:dyDescent="0.45">
      <c r="A249" s="3">
        <v>12.7</v>
      </c>
      <c r="B249" s="3">
        <v>84</v>
      </c>
      <c r="C249" s="3">
        <v>6.4000000000000001E-2</v>
      </c>
      <c r="D249" s="4">
        <v>0.17148217636022514</v>
      </c>
      <c r="E249" s="1" t="s">
        <v>312</v>
      </c>
      <c r="F249" s="1" t="s">
        <v>313</v>
      </c>
      <c r="G249" s="1">
        <f>VLOOKUP(E249,Effects!A:J,10,FALSE)</f>
        <v>0.85820281436537482</v>
      </c>
      <c r="H249" s="1">
        <f>VLOOKUP(E249,IOT!$A$6:$DO$115, 119, FALSE)</f>
        <v>168186</v>
      </c>
      <c r="I249" s="3" t="s">
        <v>376</v>
      </c>
    </row>
    <row r="250" spans="1:9" x14ac:dyDescent="0.45">
      <c r="A250" s="3">
        <v>12.7</v>
      </c>
      <c r="B250" s="3">
        <v>85</v>
      </c>
      <c r="C250" s="3">
        <v>6.9999999999999993E-3</v>
      </c>
      <c r="D250" s="4">
        <v>2.8529804540488044E-3</v>
      </c>
      <c r="E250" s="1" t="s">
        <v>314</v>
      </c>
      <c r="F250" s="1" t="s">
        <v>315</v>
      </c>
      <c r="G250" s="1">
        <f>VLOOKUP(E250,Effects!A:J,10,FALSE)</f>
        <v>0.93021507448426122</v>
      </c>
      <c r="H250" s="1">
        <f>VLOOKUP(E250,IOT!$A$6:$DO$115, 119, FALSE)</f>
        <v>147438</v>
      </c>
      <c r="I250" s="3" t="s">
        <v>376</v>
      </c>
    </row>
    <row r="251" spans="1:9" x14ac:dyDescent="0.45">
      <c r="A251" s="3">
        <v>12.7</v>
      </c>
      <c r="B251" s="3">
        <v>94</v>
      </c>
      <c r="C251" s="3">
        <v>9.6000000000000002E-2</v>
      </c>
      <c r="D251" s="4">
        <v>0.55906148867313921</v>
      </c>
      <c r="E251" s="1" t="s">
        <v>328</v>
      </c>
      <c r="F251" s="1" t="s">
        <v>329</v>
      </c>
      <c r="G251" s="1">
        <f>VLOOKUP(E251,Effects!A:J,10,FALSE)</f>
        <v>0.87412602860902311</v>
      </c>
      <c r="H251" s="1">
        <f>VLOOKUP(E251,IOT!$A$6:$DO$115, 119, FALSE)</f>
        <v>15848</v>
      </c>
      <c r="I251" s="3" t="s">
        <v>376</v>
      </c>
    </row>
    <row r="252" spans="1:9" x14ac:dyDescent="0.45">
      <c r="A252" s="3">
        <v>12.7</v>
      </c>
      <c r="B252" s="3">
        <v>96</v>
      </c>
      <c r="C252" s="3">
        <v>0.68700000000000006</v>
      </c>
      <c r="D252" s="4">
        <v>0.28221841052029734</v>
      </c>
      <c r="E252" s="1" t="s">
        <v>332</v>
      </c>
      <c r="F252" s="1" t="s">
        <v>333</v>
      </c>
      <c r="G252" s="1">
        <f>VLOOKUP(E252,Effects!A:J,10,FALSE)</f>
        <v>0.9285979457005854</v>
      </c>
      <c r="H252" s="1">
        <f>VLOOKUP(E252,IOT!$A$6:$DO$115, 119, FALSE)</f>
        <v>28154</v>
      </c>
      <c r="I252" s="3" t="s">
        <v>376</v>
      </c>
    </row>
  </sheetData>
  <autoFilter ref="A1:I252" xr:uid="{9AAC8479-01E0-4753-81E4-89D45FAD681D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00A0-7829-427C-ADF7-D87A8B52FAAD}">
  <dimension ref="A1:O106"/>
  <sheetViews>
    <sheetView tabSelected="1" zoomScale="70" zoomScaleNormal="70" workbookViewId="0">
      <pane xSplit="2" ySplit="1" topLeftCell="C2" activePane="bottomRight" state="frozen"/>
      <selection activeCell="O39" sqref="O39"/>
      <selection pane="topRight" activeCell="O39" sqref="O39"/>
      <selection pane="bottomLeft" activeCell="O39" sqref="O39"/>
      <selection pane="bottomRight"/>
    </sheetView>
  </sheetViews>
  <sheetFormatPr defaultRowHeight="14.25" outlineLevelCol="1" x14ac:dyDescent="0.45"/>
  <cols>
    <col min="1" max="1" width="15.796875" customWidth="1"/>
    <col min="2" max="2" width="68.19921875" customWidth="1"/>
    <col min="3" max="3" width="16.46484375" customWidth="1" outlineLevel="1"/>
    <col min="4" max="4" width="12.06640625" customWidth="1" outlineLevel="1"/>
    <col min="5" max="5" width="14.19921875" customWidth="1" outlineLevel="1"/>
    <col min="6" max="6" width="15.265625" customWidth="1" outlineLevel="1"/>
    <col min="7" max="7" width="9.796875" customWidth="1" outlineLevel="1"/>
    <col min="8" max="8" width="13.86328125" customWidth="1" outlineLevel="1"/>
    <col min="9" max="9" width="13.53125" customWidth="1" outlineLevel="1"/>
    <col min="10" max="10" width="18.19921875" customWidth="1"/>
    <col min="11" max="11" width="17.3984375" customWidth="1" outlineLevel="1"/>
  </cols>
  <sheetData>
    <row r="1" spans="1:15" ht="70.05" customHeight="1" x14ac:dyDescent="0.45">
      <c r="A1" s="17" t="s">
        <v>1</v>
      </c>
      <c r="B1" s="17" t="s">
        <v>116</v>
      </c>
      <c r="C1" s="18" t="s">
        <v>117</v>
      </c>
      <c r="D1" s="18" t="s">
        <v>118</v>
      </c>
      <c r="E1" s="18" t="s">
        <v>119</v>
      </c>
      <c r="F1" s="19" t="s">
        <v>120</v>
      </c>
      <c r="G1" s="19" t="s">
        <v>121</v>
      </c>
      <c r="H1" s="19" t="s">
        <v>122</v>
      </c>
      <c r="I1" s="19" t="s">
        <v>123</v>
      </c>
      <c r="J1" s="20" t="s">
        <v>124</v>
      </c>
      <c r="K1" s="21" t="s">
        <v>125</v>
      </c>
      <c r="M1" s="22"/>
      <c r="N1" s="22"/>
      <c r="O1" s="22"/>
    </row>
    <row r="2" spans="1:15" x14ac:dyDescent="0.45">
      <c r="A2" s="6" t="s">
        <v>334</v>
      </c>
      <c r="B2" s="7" t="s">
        <v>335</v>
      </c>
      <c r="C2" s="8">
        <v>0</v>
      </c>
      <c r="D2" s="8">
        <v>0</v>
      </c>
      <c r="E2" s="8">
        <v>0</v>
      </c>
      <c r="F2" s="8">
        <v>0</v>
      </c>
      <c r="G2" s="8">
        <v>1</v>
      </c>
      <c r="H2" s="8">
        <v>0</v>
      </c>
      <c r="I2" s="8">
        <v>0</v>
      </c>
      <c r="J2" s="8">
        <v>1</v>
      </c>
      <c r="K2" s="9">
        <v>1</v>
      </c>
      <c r="M2" s="10"/>
    </row>
    <row r="3" spans="1:15" x14ac:dyDescent="0.45">
      <c r="A3" s="6" t="s">
        <v>280</v>
      </c>
      <c r="B3" s="7" t="s">
        <v>281</v>
      </c>
      <c r="C3" s="8">
        <v>0.2553849161055356</v>
      </c>
      <c r="D3" s="8">
        <v>1.762599778748156E-2</v>
      </c>
      <c r="E3" s="8">
        <v>7.0672234783153371E-3</v>
      </c>
      <c r="F3" s="8">
        <v>0.28007813737133253</v>
      </c>
      <c r="G3" s="8">
        <v>6.2559812279101415E-2</v>
      </c>
      <c r="H3" s="8">
        <v>0.91029110938304081</v>
      </c>
      <c r="I3" s="8">
        <v>2.4558570720608591E-3</v>
      </c>
      <c r="J3" s="8">
        <v>0.97530677873420313</v>
      </c>
      <c r="K3" s="9">
        <v>1.2553849161055357</v>
      </c>
      <c r="M3" s="10"/>
    </row>
    <row r="4" spans="1:15" x14ac:dyDescent="0.45">
      <c r="A4" s="6" t="s">
        <v>232</v>
      </c>
      <c r="B4" s="7" t="s">
        <v>233</v>
      </c>
      <c r="C4" s="8">
        <v>0.28511170270534092</v>
      </c>
      <c r="D4" s="8">
        <v>2.0576463469774941E-2</v>
      </c>
      <c r="E4" s="8">
        <v>1.7572994395802941E-2</v>
      </c>
      <c r="F4" s="8">
        <v>0.32326116057091892</v>
      </c>
      <c r="G4" s="8">
        <v>0.21433894643742291</v>
      </c>
      <c r="H4" s="8">
        <v>0.72997156892162607</v>
      </c>
      <c r="I4" s="8">
        <v>1.754002677537304E-2</v>
      </c>
      <c r="J4" s="8">
        <v>0.96185054213442256</v>
      </c>
      <c r="K4" s="9">
        <v>1.2851117027053409</v>
      </c>
      <c r="M4" s="10"/>
    </row>
    <row r="5" spans="1:15" x14ac:dyDescent="0.45">
      <c r="A5" s="6" t="s">
        <v>284</v>
      </c>
      <c r="B5" s="7" t="s">
        <v>285</v>
      </c>
      <c r="C5" s="8">
        <v>0.32448297736674492</v>
      </c>
      <c r="D5" s="8">
        <v>5.5880565701466572E-2</v>
      </c>
      <c r="E5" s="8">
        <v>4.8470425844826769E-3</v>
      </c>
      <c r="F5" s="8">
        <v>0.38521058565269412</v>
      </c>
      <c r="G5" s="8">
        <v>0.44064940042543271</v>
      </c>
      <c r="H5" s="8">
        <v>0.48692100161751578</v>
      </c>
      <c r="I5" s="8">
        <v>1.170198967110218E-2</v>
      </c>
      <c r="J5" s="8">
        <v>0.93927239171405075</v>
      </c>
      <c r="K5" s="9">
        <v>1.3244829773667453</v>
      </c>
      <c r="M5" s="10"/>
    </row>
    <row r="6" spans="1:15" x14ac:dyDescent="0.45">
      <c r="A6" s="6" t="s">
        <v>230</v>
      </c>
      <c r="B6" s="7" t="s">
        <v>231</v>
      </c>
      <c r="C6" s="8">
        <v>0.50482427514032013</v>
      </c>
      <c r="D6" s="8">
        <v>5.5940857896286132E-2</v>
      </c>
      <c r="E6" s="8">
        <v>9.0839615645698958E-3</v>
      </c>
      <c r="F6" s="8">
        <v>0.5698490946011765</v>
      </c>
      <c r="G6" s="8">
        <v>0.29597989224537691</v>
      </c>
      <c r="H6" s="8">
        <v>0.58259619312812527</v>
      </c>
      <c r="I6" s="8">
        <v>5.6399095165642329E-2</v>
      </c>
      <c r="J6" s="8">
        <v>0.93497518053914441</v>
      </c>
      <c r="K6" s="9">
        <v>1.5048242751403198</v>
      </c>
      <c r="M6" s="10"/>
    </row>
    <row r="7" spans="1:15" x14ac:dyDescent="0.45">
      <c r="A7" s="6" t="s">
        <v>314</v>
      </c>
      <c r="B7" s="7" t="s">
        <v>315</v>
      </c>
      <c r="C7" s="8">
        <v>0.391136875962941</v>
      </c>
      <c r="D7" s="8">
        <v>4.4077897637000103E-2</v>
      </c>
      <c r="E7" s="8">
        <v>2.5707027878738489E-2</v>
      </c>
      <c r="F7" s="8">
        <v>0.46092180147867962</v>
      </c>
      <c r="G7" s="8">
        <v>0.68582908821269883</v>
      </c>
      <c r="H7" s="8">
        <v>0.23800487525853761</v>
      </c>
      <c r="I7" s="8">
        <v>6.3811110130247654E-3</v>
      </c>
      <c r="J7" s="8">
        <v>0.93021507448426122</v>
      </c>
      <c r="K7" s="9">
        <v>1.3911368759629412</v>
      </c>
      <c r="M7" s="10"/>
    </row>
    <row r="8" spans="1:15" x14ac:dyDescent="0.45">
      <c r="A8" s="6" t="s">
        <v>332</v>
      </c>
      <c r="B8" s="7" t="s">
        <v>333</v>
      </c>
      <c r="C8" s="8">
        <v>0.29134672156708907</v>
      </c>
      <c r="D8" s="8">
        <v>4.5913568747628287E-2</v>
      </c>
      <c r="E8" s="8">
        <v>2.5488485551786452E-2</v>
      </c>
      <c r="F8" s="8">
        <v>0.36274877586650378</v>
      </c>
      <c r="G8" s="8">
        <v>0.31214022920071138</v>
      </c>
      <c r="H8" s="8">
        <v>0.60517804809966314</v>
      </c>
      <c r="I8" s="8">
        <v>1.1279668400210829E-2</v>
      </c>
      <c r="J8" s="8">
        <v>0.9285979457005854</v>
      </c>
      <c r="K8" s="9">
        <v>1.2913467215670897</v>
      </c>
      <c r="M8" s="10"/>
    </row>
    <row r="9" spans="1:15" x14ac:dyDescent="0.45">
      <c r="A9" s="6" t="s">
        <v>298</v>
      </c>
      <c r="B9" s="7" t="s">
        <v>299</v>
      </c>
      <c r="C9" s="8">
        <v>0.34026350484496531</v>
      </c>
      <c r="D9" s="8">
        <v>6.7818811729935952E-2</v>
      </c>
      <c r="E9" s="8">
        <v>5.9630919750417732E-3</v>
      </c>
      <c r="F9" s="8">
        <v>0.41404540854994321</v>
      </c>
      <c r="G9" s="8">
        <v>0.58530299682764153</v>
      </c>
      <c r="H9" s="8">
        <v>0.36240077827240308</v>
      </c>
      <c r="I9" s="8">
        <v>-2.1485678805022161E-2</v>
      </c>
      <c r="J9" s="8">
        <v>0.9262180962950225</v>
      </c>
      <c r="K9" s="9">
        <v>1.3402635048449654</v>
      </c>
      <c r="M9" s="10"/>
    </row>
    <row r="10" spans="1:15" x14ac:dyDescent="0.45">
      <c r="A10" s="6" t="s">
        <v>306</v>
      </c>
      <c r="B10" s="7" t="s">
        <v>307</v>
      </c>
      <c r="C10" s="8">
        <v>0.67497009717737366</v>
      </c>
      <c r="D10" s="8">
        <v>6.8187959966396913E-2</v>
      </c>
      <c r="E10" s="8">
        <v>9.4862973372726676E-3</v>
      </c>
      <c r="F10" s="8">
        <v>0.75264435448104305</v>
      </c>
      <c r="G10" s="8">
        <v>0.54226277239647591</v>
      </c>
      <c r="H10" s="8">
        <v>0.37288420890790169</v>
      </c>
      <c r="I10" s="8">
        <v>7.178761391953367E-3</v>
      </c>
      <c r="J10" s="8">
        <v>0.92232574269633061</v>
      </c>
      <c r="K10" s="9">
        <v>1.6749700971773731</v>
      </c>
      <c r="M10" s="10"/>
    </row>
    <row r="11" spans="1:15" x14ac:dyDescent="0.45">
      <c r="A11" s="6" t="s">
        <v>278</v>
      </c>
      <c r="B11" s="7" t="s">
        <v>279</v>
      </c>
      <c r="C11" s="8">
        <v>0.62180659286893636</v>
      </c>
      <c r="D11" s="8">
        <v>6.2982109688263371E-2</v>
      </c>
      <c r="E11" s="8">
        <v>1.5267658570828241E-2</v>
      </c>
      <c r="F11" s="8">
        <v>0.70005636112802794</v>
      </c>
      <c r="G11" s="8">
        <v>0.58955740003151968</v>
      </c>
      <c r="H11" s="8">
        <v>0.29868469440472539</v>
      </c>
      <c r="I11" s="8">
        <v>3.3508137304663239E-2</v>
      </c>
      <c r="J11" s="8">
        <v>0.92175023174090853</v>
      </c>
      <c r="K11" s="9">
        <v>1.6218065928689362</v>
      </c>
      <c r="M11" s="10"/>
    </row>
    <row r="12" spans="1:15" x14ac:dyDescent="0.45">
      <c r="A12" s="6" t="s">
        <v>236</v>
      </c>
      <c r="B12" s="7" t="s">
        <v>237</v>
      </c>
      <c r="C12" s="8">
        <v>0.66213527823857832</v>
      </c>
      <c r="D12" s="8">
        <v>6.592598116659458E-2</v>
      </c>
      <c r="E12" s="8">
        <v>1.5681674689715298E-2</v>
      </c>
      <c r="F12" s="8">
        <v>0.74374293409488823</v>
      </c>
      <c r="G12" s="8">
        <v>0.44130418545071409</v>
      </c>
      <c r="H12" s="8">
        <v>0.46957361457802632</v>
      </c>
      <c r="I12" s="8">
        <v>7.5145441149500249E-3</v>
      </c>
      <c r="J12" s="8">
        <v>0.91839234414369053</v>
      </c>
      <c r="K12" s="9">
        <v>1.6621352782385783</v>
      </c>
      <c r="M12" s="10"/>
    </row>
    <row r="13" spans="1:15" x14ac:dyDescent="0.45">
      <c r="A13" s="6" t="s">
        <v>286</v>
      </c>
      <c r="B13" s="7" t="s">
        <v>287</v>
      </c>
      <c r="C13" s="8">
        <v>0.25856588010951581</v>
      </c>
      <c r="D13" s="8">
        <v>7.678163471100434E-2</v>
      </c>
      <c r="E13" s="8">
        <v>6.1140855814911556E-3</v>
      </c>
      <c r="F13" s="8">
        <v>0.34146160040201151</v>
      </c>
      <c r="G13" s="8">
        <v>0.56523811836443327</v>
      </c>
      <c r="H13" s="8">
        <v>0.34514997037273981</v>
      </c>
      <c r="I13" s="8">
        <v>6.7161909703311344E-3</v>
      </c>
      <c r="J13" s="8">
        <v>0.91710427970750452</v>
      </c>
      <c r="K13" s="9">
        <v>1.2585658801095156</v>
      </c>
      <c r="M13" s="10"/>
    </row>
    <row r="14" spans="1:15" x14ac:dyDescent="0.45">
      <c r="A14" s="6" t="s">
        <v>282</v>
      </c>
      <c r="B14" s="7" t="s">
        <v>283</v>
      </c>
      <c r="C14" s="8">
        <v>0.6048222059377566</v>
      </c>
      <c r="D14" s="8">
        <v>6.6803457314711837E-2</v>
      </c>
      <c r="E14" s="8">
        <v>1.9877883387501152E-2</v>
      </c>
      <c r="F14" s="8">
        <v>0.6915035466399696</v>
      </c>
      <c r="G14" s="8">
        <v>0.30818376288959831</v>
      </c>
      <c r="H14" s="8">
        <v>0.60841159653104782</v>
      </c>
      <c r="I14" s="8">
        <v>-3.2767001228590602E-3</v>
      </c>
      <c r="J14" s="8">
        <v>0.91331865929778733</v>
      </c>
      <c r="K14" s="9">
        <v>1.604822205937757</v>
      </c>
      <c r="M14" s="10"/>
    </row>
    <row r="15" spans="1:15" x14ac:dyDescent="0.45">
      <c r="A15" s="6" t="s">
        <v>318</v>
      </c>
      <c r="B15" s="7" t="s">
        <v>319</v>
      </c>
      <c r="C15" s="8">
        <v>0.55827761128260833</v>
      </c>
      <c r="D15" s="8">
        <v>4.5244056649326091E-2</v>
      </c>
      <c r="E15" s="8">
        <v>4.3992082958144198E-2</v>
      </c>
      <c r="F15" s="8">
        <v>0.64751375089007845</v>
      </c>
      <c r="G15" s="8">
        <v>0.73451427779325074</v>
      </c>
      <c r="H15" s="8">
        <v>0.16813070712826569</v>
      </c>
      <c r="I15" s="8">
        <v>8.118875471013625E-3</v>
      </c>
      <c r="J15" s="8">
        <v>0.91076386039252988</v>
      </c>
      <c r="K15" s="9">
        <v>1.5582776112826084</v>
      </c>
      <c r="M15" s="10"/>
    </row>
    <row r="16" spans="1:15" x14ac:dyDescent="0.45">
      <c r="A16" s="6" t="s">
        <v>308</v>
      </c>
      <c r="B16" s="7" t="s">
        <v>309</v>
      </c>
      <c r="C16" s="8">
        <v>0.85752856953379264</v>
      </c>
      <c r="D16" s="8">
        <v>8.1764232958575447E-2</v>
      </c>
      <c r="E16" s="8">
        <v>1.206677333128725E-2</v>
      </c>
      <c r="F16" s="8">
        <v>0.95135957582365505</v>
      </c>
      <c r="G16" s="8">
        <v>0.50496469602294958</v>
      </c>
      <c r="H16" s="8">
        <v>0.39068412981161532</v>
      </c>
      <c r="I16" s="8">
        <v>1.0520167875572511E-2</v>
      </c>
      <c r="J16" s="8">
        <v>0.90616899371013715</v>
      </c>
      <c r="K16" s="9">
        <v>1.8575285695337931</v>
      </c>
      <c r="M16" s="10"/>
    </row>
    <row r="17" spans="1:14" x14ac:dyDescent="0.45">
      <c r="A17" s="6" t="s">
        <v>302</v>
      </c>
      <c r="B17" s="7" t="s">
        <v>303</v>
      </c>
      <c r="C17" s="8">
        <v>0.54610286252597329</v>
      </c>
      <c r="D17" s="8">
        <v>9.0939531132285478E-2</v>
      </c>
      <c r="E17" s="8">
        <v>4.8927873754509334E-3</v>
      </c>
      <c r="F17" s="8">
        <v>0.64193518103370983</v>
      </c>
      <c r="G17" s="8">
        <v>0.70175334875043083</v>
      </c>
      <c r="H17" s="8">
        <v>0.19510658571796091</v>
      </c>
      <c r="I17" s="8">
        <v>7.3077470238719919E-3</v>
      </c>
      <c r="J17" s="8">
        <v>0.90416768149226368</v>
      </c>
      <c r="K17" s="9">
        <v>1.5461028625259732</v>
      </c>
      <c r="M17" s="10"/>
    </row>
    <row r="18" spans="1:14" x14ac:dyDescent="0.45">
      <c r="A18" s="6" t="s">
        <v>300</v>
      </c>
      <c r="B18" s="7" t="s">
        <v>301</v>
      </c>
      <c r="C18" s="8">
        <v>0.49509949544907872</v>
      </c>
      <c r="D18" s="8">
        <v>9.0098989724654271E-2</v>
      </c>
      <c r="E18" s="8">
        <v>1.197377882480399E-2</v>
      </c>
      <c r="F18" s="8">
        <v>0.59717226399853685</v>
      </c>
      <c r="G18" s="8">
        <v>0.48094897995284069</v>
      </c>
      <c r="H18" s="8">
        <v>0.40341061015726393</v>
      </c>
      <c r="I18" s="8">
        <v>1.3567641340437239E-2</v>
      </c>
      <c r="J18" s="8">
        <v>0.89792723145054176</v>
      </c>
      <c r="K18" s="9">
        <v>1.4950994954490788</v>
      </c>
      <c r="M18" s="10"/>
    </row>
    <row r="19" spans="1:14" x14ac:dyDescent="0.45">
      <c r="A19" s="6" t="s">
        <v>258</v>
      </c>
      <c r="B19" s="7" t="s">
        <v>259</v>
      </c>
      <c r="C19" s="8">
        <v>0.6389955487462341</v>
      </c>
      <c r="D19" s="8">
        <v>7.3779083700042838E-2</v>
      </c>
      <c r="E19" s="8">
        <v>3.0599487025249068E-2</v>
      </c>
      <c r="F19" s="8">
        <v>0.74337411947152587</v>
      </c>
      <c r="G19" s="8">
        <v>0.53365511572067026</v>
      </c>
      <c r="H19" s="8">
        <v>0.32706625437313358</v>
      </c>
      <c r="I19" s="8">
        <v>3.4900059180904087E-2</v>
      </c>
      <c r="J19" s="8">
        <v>0.89562142927470811</v>
      </c>
      <c r="K19" s="9">
        <v>1.6389955487462335</v>
      </c>
      <c r="M19" s="10"/>
    </row>
    <row r="20" spans="1:14" x14ac:dyDescent="0.45">
      <c r="A20" s="6" t="s">
        <v>244</v>
      </c>
      <c r="B20" s="7" t="s">
        <v>245</v>
      </c>
      <c r="C20" s="8">
        <v>0.57672188696477733</v>
      </c>
      <c r="D20" s="8">
        <v>9.7106010798294576E-2</v>
      </c>
      <c r="E20" s="8">
        <v>1.183149877081857E-2</v>
      </c>
      <c r="F20" s="8">
        <v>0.68565939653389041</v>
      </c>
      <c r="G20" s="8">
        <v>0.52149675286055253</v>
      </c>
      <c r="H20" s="8">
        <v>0.32035834710407263</v>
      </c>
      <c r="I20" s="8">
        <v>4.9207390466261512E-2</v>
      </c>
      <c r="J20" s="8">
        <v>0.8910624904308867</v>
      </c>
      <c r="K20" s="9">
        <v>1.5767218869647768</v>
      </c>
      <c r="M20" s="10"/>
    </row>
    <row r="21" spans="1:14" x14ac:dyDescent="0.45">
      <c r="A21" s="6" t="s">
        <v>322</v>
      </c>
      <c r="B21" s="7" t="s">
        <v>323</v>
      </c>
      <c r="C21" s="8">
        <v>0.67194106157529032</v>
      </c>
      <c r="D21" s="8">
        <v>0.1034566317481799</v>
      </c>
      <c r="E21" s="8">
        <v>1.1248425806458949E-2</v>
      </c>
      <c r="F21" s="8">
        <v>0.78664611912992899</v>
      </c>
      <c r="G21" s="8">
        <v>0.58620018898264492</v>
      </c>
      <c r="H21" s="8">
        <v>0.28934859413007241</v>
      </c>
      <c r="I21" s="8">
        <v>9.7461593326434049E-3</v>
      </c>
      <c r="J21" s="8">
        <v>0.88529494244536089</v>
      </c>
      <c r="K21" s="9">
        <v>1.6719410615752905</v>
      </c>
      <c r="M21" s="10"/>
    </row>
    <row r="22" spans="1:14" x14ac:dyDescent="0.45">
      <c r="A22" s="6" t="s">
        <v>162</v>
      </c>
      <c r="B22" s="7" t="s">
        <v>163</v>
      </c>
      <c r="C22" s="8">
        <v>0.52316240396221636</v>
      </c>
      <c r="D22" s="8">
        <v>0.1090966027977876</v>
      </c>
      <c r="E22" s="8">
        <v>7.9998428963843661E-3</v>
      </c>
      <c r="F22" s="8">
        <v>0.64025884965638846</v>
      </c>
      <c r="G22" s="8">
        <v>0.54407236148461069</v>
      </c>
      <c r="H22" s="8">
        <v>0.33580252929515148</v>
      </c>
      <c r="I22" s="8">
        <v>3.0286635260655518E-3</v>
      </c>
      <c r="J22" s="8">
        <v>0.88290355430582756</v>
      </c>
      <c r="K22" s="9">
        <v>1.5231624039622149</v>
      </c>
      <c r="M22" s="10"/>
    </row>
    <row r="23" spans="1:14" x14ac:dyDescent="0.45">
      <c r="A23" s="6" t="s">
        <v>294</v>
      </c>
      <c r="B23" s="7" t="s">
        <v>295</v>
      </c>
      <c r="C23" s="8">
        <v>0.68116167231189584</v>
      </c>
      <c r="D23" s="8">
        <v>0.10801969677166209</v>
      </c>
      <c r="E23" s="8">
        <v>1.1023542538012861E-2</v>
      </c>
      <c r="F23" s="8">
        <v>0.80020491162157081</v>
      </c>
      <c r="G23" s="8">
        <v>0.47585748904726222</v>
      </c>
      <c r="H23" s="8">
        <v>0.40491127397953203</v>
      </c>
      <c r="I23" s="8">
        <v>1.8799766353100401E-4</v>
      </c>
      <c r="J23" s="8">
        <v>0.88095676069032514</v>
      </c>
      <c r="K23" s="9">
        <v>1.6811616723118961</v>
      </c>
      <c r="M23" s="10"/>
    </row>
    <row r="24" spans="1:14" x14ac:dyDescent="0.45">
      <c r="A24" s="6" t="s">
        <v>128</v>
      </c>
      <c r="B24" s="7" t="s">
        <v>129</v>
      </c>
      <c r="C24" s="8">
        <v>0.80115104024921924</v>
      </c>
      <c r="D24" s="8">
        <v>0.10293830382737321</v>
      </c>
      <c r="E24" s="8">
        <v>1.7780061597271409E-2</v>
      </c>
      <c r="F24" s="8">
        <v>0.92186940567386444</v>
      </c>
      <c r="G24" s="8">
        <v>0.48378730860352709</v>
      </c>
      <c r="H24" s="8">
        <v>0.39106943673973982</v>
      </c>
      <c r="I24" s="8">
        <v>4.4248892320883576E-3</v>
      </c>
      <c r="J24" s="8">
        <v>0.87928163457535535</v>
      </c>
      <c r="K24" s="9">
        <v>1.8011510402492192</v>
      </c>
      <c r="M24" s="10"/>
    </row>
    <row r="25" spans="1:14" x14ac:dyDescent="0.45">
      <c r="A25" s="6" t="s">
        <v>134</v>
      </c>
      <c r="B25" s="7" t="s">
        <v>135</v>
      </c>
      <c r="C25" s="8">
        <v>0.58108810087484219</v>
      </c>
      <c r="D25" s="8">
        <v>0.11295053938192599</v>
      </c>
      <c r="E25" s="8">
        <v>1.0638841392864751E-2</v>
      </c>
      <c r="F25" s="8">
        <v>0.70467748164963329</v>
      </c>
      <c r="G25" s="8">
        <v>0.2370860121630716</v>
      </c>
      <c r="H25" s="8">
        <v>0.63009241750733747</v>
      </c>
      <c r="I25" s="8">
        <v>9.2321895548005701E-3</v>
      </c>
      <c r="J25" s="8">
        <v>0.87641061922520935</v>
      </c>
      <c r="K25" s="9">
        <v>1.5810881008748425</v>
      </c>
      <c r="M25" s="10"/>
    </row>
    <row r="26" spans="1:14" x14ac:dyDescent="0.45">
      <c r="A26" s="6" t="s">
        <v>330</v>
      </c>
      <c r="B26" s="7" t="s">
        <v>331</v>
      </c>
      <c r="C26" s="8">
        <v>0.46112284365952422</v>
      </c>
      <c r="D26" s="8">
        <v>0.119808573058579</v>
      </c>
      <c r="E26" s="8">
        <v>5.6179019992018816E-3</v>
      </c>
      <c r="F26" s="8">
        <v>0.5865493187173052</v>
      </c>
      <c r="G26" s="8">
        <v>0.47478039980157261</v>
      </c>
      <c r="H26" s="8">
        <v>0.38879699983517779</v>
      </c>
      <c r="I26" s="8">
        <v>1.09961253054685E-2</v>
      </c>
      <c r="J26" s="8">
        <v>0.87457352494221907</v>
      </c>
      <c r="K26" s="9">
        <v>1.4611228436595243</v>
      </c>
      <c r="M26" s="10"/>
    </row>
    <row r="27" spans="1:14" x14ac:dyDescent="0.45">
      <c r="A27" s="11" t="s">
        <v>324</v>
      </c>
      <c r="B27" s="12" t="s">
        <v>325</v>
      </c>
      <c r="C27" s="13">
        <v>0.68664777964438017</v>
      </c>
      <c r="D27" s="13">
        <v>9.33962932052676E-2</v>
      </c>
      <c r="E27" s="13">
        <v>3.2086927159900427E-2</v>
      </c>
      <c r="F27" s="13">
        <v>0.81213100000954841</v>
      </c>
      <c r="G27" s="13">
        <v>0.46136052410892842</v>
      </c>
      <c r="H27" s="13">
        <v>0.39300285485668118</v>
      </c>
      <c r="I27" s="13">
        <v>2.0153400669222669E-2</v>
      </c>
      <c r="J27" s="13">
        <v>0.87451677963483199</v>
      </c>
      <c r="K27" s="14">
        <v>1.6866477796443804</v>
      </c>
      <c r="M27" s="10"/>
      <c r="N27" s="10"/>
    </row>
    <row r="28" spans="1:14" x14ac:dyDescent="0.45">
      <c r="A28" s="6" t="s">
        <v>328</v>
      </c>
      <c r="B28" s="7" t="s">
        <v>329</v>
      </c>
      <c r="C28" s="8">
        <v>0.63076385599813611</v>
      </c>
      <c r="D28" s="8">
        <v>0.1074317123078652</v>
      </c>
      <c r="E28" s="8">
        <v>1.8442259083111499E-2</v>
      </c>
      <c r="F28" s="8">
        <v>0.75663782738911278</v>
      </c>
      <c r="G28" s="8">
        <v>0.65666948897125166</v>
      </c>
      <c r="H28" s="8">
        <v>0.2068583137074107</v>
      </c>
      <c r="I28" s="8">
        <v>1.0598225930360781E-2</v>
      </c>
      <c r="J28" s="8">
        <v>0.87412602860902311</v>
      </c>
      <c r="K28" s="9">
        <v>1.6307638559981366</v>
      </c>
      <c r="M28" s="10"/>
    </row>
    <row r="29" spans="1:14" x14ac:dyDescent="0.45">
      <c r="A29" s="6" t="s">
        <v>296</v>
      </c>
      <c r="B29" s="7" t="s">
        <v>297</v>
      </c>
      <c r="C29" s="8">
        <v>0.88106889400552169</v>
      </c>
      <c r="D29" s="8">
        <v>0.1110655586577499</v>
      </c>
      <c r="E29" s="8">
        <v>1.6626125569111621E-2</v>
      </c>
      <c r="F29" s="8">
        <v>1.008760578232383</v>
      </c>
      <c r="G29" s="8">
        <v>0.60299804147970804</v>
      </c>
      <c r="H29" s="8">
        <v>0.25680439896782897</v>
      </c>
      <c r="I29" s="8">
        <v>1.2505875325601431E-2</v>
      </c>
      <c r="J29" s="8">
        <v>0.87230831577313861</v>
      </c>
      <c r="K29" s="9">
        <v>1.8810688940055211</v>
      </c>
      <c r="M29" s="10"/>
    </row>
    <row r="30" spans="1:14" x14ac:dyDescent="0.45">
      <c r="A30" s="6" t="s">
        <v>320</v>
      </c>
      <c r="B30" s="7" t="s">
        <v>321</v>
      </c>
      <c r="C30" s="8">
        <v>0.59723498906019168</v>
      </c>
      <c r="D30" s="8">
        <v>7.074410649683989E-2</v>
      </c>
      <c r="E30" s="8">
        <v>5.7595049028519398E-2</v>
      </c>
      <c r="F30" s="8">
        <v>0.72557414458555125</v>
      </c>
      <c r="G30" s="8">
        <v>0.40564547597204009</v>
      </c>
      <c r="H30" s="8">
        <v>0.46011860916950759</v>
      </c>
      <c r="I30" s="8">
        <v>5.8967593330930866E-3</v>
      </c>
      <c r="J30" s="8">
        <v>0.87166084447464076</v>
      </c>
      <c r="K30" s="9">
        <v>1.5972349890601916</v>
      </c>
      <c r="M30" s="10"/>
    </row>
    <row r="31" spans="1:14" x14ac:dyDescent="0.45">
      <c r="A31" s="6" t="s">
        <v>326</v>
      </c>
      <c r="B31" s="7" t="s">
        <v>327</v>
      </c>
      <c r="C31" s="8">
        <v>0.53877676516169892</v>
      </c>
      <c r="D31" s="8">
        <v>9.5124728968208269E-2</v>
      </c>
      <c r="E31" s="8">
        <v>4.4332924118267093E-2</v>
      </c>
      <c r="F31" s="8">
        <v>0.67823441824817443</v>
      </c>
      <c r="G31" s="8">
        <v>0.54728366102940162</v>
      </c>
      <c r="H31" s="8">
        <v>0.28802461282360131</v>
      </c>
      <c r="I31" s="8">
        <v>2.523407306052176E-2</v>
      </c>
      <c r="J31" s="8">
        <v>0.86054234691352471</v>
      </c>
      <c r="K31" s="9">
        <v>1.5387767651616988</v>
      </c>
      <c r="M31" s="10"/>
    </row>
    <row r="32" spans="1:14" x14ac:dyDescent="0.45">
      <c r="A32" s="6" t="s">
        <v>246</v>
      </c>
      <c r="B32" s="7" t="s">
        <v>247</v>
      </c>
      <c r="C32" s="8">
        <v>1.0433474392462829</v>
      </c>
      <c r="D32" s="8">
        <v>0.130377028688484</v>
      </c>
      <c r="E32" s="8">
        <v>1.0564720933499029E-2</v>
      </c>
      <c r="F32" s="8">
        <v>1.184289188868267</v>
      </c>
      <c r="G32" s="8">
        <v>0.57403090588484584</v>
      </c>
      <c r="H32" s="8">
        <v>0.26142712984426841</v>
      </c>
      <c r="I32" s="8">
        <v>2.3600214648902839E-2</v>
      </c>
      <c r="J32" s="8">
        <v>0.85905825037801731</v>
      </c>
      <c r="K32" s="9">
        <v>2.0433474392462836</v>
      </c>
      <c r="M32" s="10"/>
    </row>
    <row r="33" spans="1:13" x14ac:dyDescent="0.45">
      <c r="A33" s="6" t="s">
        <v>312</v>
      </c>
      <c r="B33" s="7" t="s">
        <v>313</v>
      </c>
      <c r="C33" s="8">
        <v>0.56679842230689637</v>
      </c>
      <c r="D33" s="8">
        <v>9.3909278789060358E-2</v>
      </c>
      <c r="E33" s="8">
        <v>4.7887906845564807E-2</v>
      </c>
      <c r="F33" s="8">
        <v>0.70859560794152165</v>
      </c>
      <c r="G33" s="8">
        <v>0.57234392027148673</v>
      </c>
      <c r="H33" s="8">
        <v>0.28168647923129397</v>
      </c>
      <c r="I33" s="8">
        <v>4.1724148625939513E-3</v>
      </c>
      <c r="J33" s="8">
        <v>0.85820281436537482</v>
      </c>
      <c r="K33" s="9">
        <v>1.5667984223068965</v>
      </c>
      <c r="M33" s="10"/>
    </row>
    <row r="34" spans="1:13" x14ac:dyDescent="0.45">
      <c r="A34" s="6" t="s">
        <v>260</v>
      </c>
      <c r="B34" s="7" t="s">
        <v>261</v>
      </c>
      <c r="C34" s="8">
        <v>0.70947755534471246</v>
      </c>
      <c r="D34" s="8">
        <v>0.1059064286340471</v>
      </c>
      <c r="E34" s="8">
        <v>3.5959358362208121E-2</v>
      </c>
      <c r="F34" s="8">
        <v>0.8513433423409682</v>
      </c>
      <c r="G34" s="8">
        <v>0.57200560840837555</v>
      </c>
      <c r="H34" s="8">
        <v>0.25751357929077912</v>
      </c>
      <c r="I34" s="8">
        <v>2.861502530458963E-2</v>
      </c>
      <c r="J34" s="8">
        <v>0.85813421300374437</v>
      </c>
      <c r="K34" s="9">
        <v>1.7094775553447128</v>
      </c>
      <c r="M34" s="10"/>
    </row>
    <row r="35" spans="1:13" x14ac:dyDescent="0.45">
      <c r="A35" s="6" t="s">
        <v>220</v>
      </c>
      <c r="B35" s="7" t="s">
        <v>221</v>
      </c>
      <c r="C35" s="8">
        <v>0.46994013660337292</v>
      </c>
      <c r="D35" s="8">
        <v>0.13572303161044891</v>
      </c>
      <c r="E35" s="8">
        <v>7.1294951072785702E-3</v>
      </c>
      <c r="F35" s="8">
        <v>0.61279266332110016</v>
      </c>
      <c r="G35" s="8">
        <v>0.54595250520276373</v>
      </c>
      <c r="H35" s="8">
        <v>0.33259912593930391</v>
      </c>
      <c r="I35" s="8">
        <v>-2.1404157859794579E-2</v>
      </c>
      <c r="J35" s="8">
        <v>0.8571474732822727</v>
      </c>
      <c r="K35" s="9">
        <v>1.4699401366033731</v>
      </c>
      <c r="M35" s="10"/>
    </row>
    <row r="36" spans="1:13" x14ac:dyDescent="0.45">
      <c r="A36" s="6" t="s">
        <v>270</v>
      </c>
      <c r="B36" s="7" t="s">
        <v>271</v>
      </c>
      <c r="C36" s="8">
        <v>0.54483811878236132</v>
      </c>
      <c r="D36" s="8">
        <v>0.1376392991410508</v>
      </c>
      <c r="E36" s="8">
        <v>8.2489466122235202E-3</v>
      </c>
      <c r="F36" s="8">
        <v>0.69072636453563563</v>
      </c>
      <c r="G36" s="8">
        <v>0.51472510511769576</v>
      </c>
      <c r="H36" s="8">
        <v>0.33724310606162577</v>
      </c>
      <c r="I36" s="8">
        <v>2.1435430674039708E-3</v>
      </c>
      <c r="J36" s="8">
        <v>0.85411175424672559</v>
      </c>
      <c r="K36" s="9">
        <v>1.5448381187823617</v>
      </c>
      <c r="M36" s="10"/>
    </row>
    <row r="37" spans="1:13" x14ac:dyDescent="0.45">
      <c r="A37" s="6" t="s">
        <v>262</v>
      </c>
      <c r="B37" s="7" t="s">
        <v>263</v>
      </c>
      <c r="C37" s="8">
        <v>0.64049506493018116</v>
      </c>
      <c r="D37" s="8">
        <v>0.1400857249936715</v>
      </c>
      <c r="E37" s="8">
        <v>7.5842749935155713E-3</v>
      </c>
      <c r="F37" s="8">
        <v>0.78816506491736771</v>
      </c>
      <c r="G37" s="8">
        <v>0.51006245273549089</v>
      </c>
      <c r="H37" s="8">
        <v>0.33815883198858349</v>
      </c>
      <c r="I37" s="8">
        <v>4.1087152887388277E-3</v>
      </c>
      <c r="J37" s="8">
        <v>0.85233000001281345</v>
      </c>
      <c r="K37" s="9">
        <v>1.6404950649301819</v>
      </c>
      <c r="M37" s="10"/>
    </row>
    <row r="38" spans="1:13" x14ac:dyDescent="0.45">
      <c r="A38" s="6" t="s">
        <v>316</v>
      </c>
      <c r="B38" s="7" t="s">
        <v>317</v>
      </c>
      <c r="C38" s="8">
        <v>0.47301983866458991</v>
      </c>
      <c r="D38" s="8">
        <v>0.1044425411613496</v>
      </c>
      <c r="E38" s="8">
        <v>4.3977170945902172E-2</v>
      </c>
      <c r="F38" s="8">
        <v>0.62143955077184165</v>
      </c>
      <c r="G38" s="8">
        <v>0.6100903235512134</v>
      </c>
      <c r="H38" s="8">
        <v>0.23681924568541551</v>
      </c>
      <c r="I38" s="8">
        <v>4.670718656119374E-3</v>
      </c>
      <c r="J38" s="8">
        <v>0.85158028789274831</v>
      </c>
      <c r="K38" s="9">
        <v>1.4730198386645901</v>
      </c>
      <c r="M38" s="10"/>
    </row>
    <row r="39" spans="1:13" x14ac:dyDescent="0.45">
      <c r="A39" s="6" t="s">
        <v>254</v>
      </c>
      <c r="B39" s="7" t="s">
        <v>255</v>
      </c>
      <c r="C39" s="8">
        <v>0.77062667394234963</v>
      </c>
      <c r="D39" s="8">
        <v>0.128128376028638</v>
      </c>
      <c r="E39" s="8">
        <v>2.226787362809849E-2</v>
      </c>
      <c r="F39" s="8">
        <v>0.92102292359908633</v>
      </c>
      <c r="G39" s="8">
        <v>0.57006976213898175</v>
      </c>
      <c r="H39" s="8">
        <v>0.25101872191488389</v>
      </c>
      <c r="I39" s="8">
        <v>2.8515266289397791E-2</v>
      </c>
      <c r="J39" s="8">
        <v>0.84960375034326352</v>
      </c>
      <c r="K39" s="9">
        <v>1.7706266739423495</v>
      </c>
      <c r="M39" s="10"/>
    </row>
    <row r="40" spans="1:13" x14ac:dyDescent="0.45">
      <c r="A40" s="6" t="s">
        <v>272</v>
      </c>
      <c r="B40" s="7" t="s">
        <v>273</v>
      </c>
      <c r="C40" s="8">
        <v>0.68351499355311962</v>
      </c>
      <c r="D40" s="8">
        <v>9.9908248567704333E-2</v>
      </c>
      <c r="E40" s="8">
        <v>5.3821856637821387E-2</v>
      </c>
      <c r="F40" s="8">
        <v>0.83724509875864517</v>
      </c>
      <c r="G40" s="8">
        <v>0.46916582345276647</v>
      </c>
      <c r="H40" s="8">
        <v>0.35756051964948438</v>
      </c>
      <c r="I40" s="8">
        <v>1.9543551692223049E-2</v>
      </c>
      <c r="J40" s="8">
        <v>0.84626989479447401</v>
      </c>
      <c r="K40" s="9">
        <v>1.6835149935531195</v>
      </c>
      <c r="M40" s="10"/>
    </row>
    <row r="41" spans="1:13" x14ac:dyDescent="0.45">
      <c r="A41" s="6" t="s">
        <v>266</v>
      </c>
      <c r="B41" s="7" t="s">
        <v>267</v>
      </c>
      <c r="C41" s="8">
        <v>0.38926639173164451</v>
      </c>
      <c r="D41" s="8">
        <v>0.1497563642771165</v>
      </c>
      <c r="E41" s="8">
        <v>5.4557711381494284E-3</v>
      </c>
      <c r="F41" s="8">
        <v>0.54447852714691014</v>
      </c>
      <c r="G41" s="8">
        <v>0.46496567636256497</v>
      </c>
      <c r="H41" s="8">
        <v>0.3667802481535356</v>
      </c>
      <c r="I41" s="8">
        <v>1.304194006863359E-2</v>
      </c>
      <c r="J41" s="8">
        <v>0.8447878645847342</v>
      </c>
      <c r="K41" s="9">
        <v>1.389266391731645</v>
      </c>
      <c r="M41" s="10"/>
    </row>
    <row r="42" spans="1:13" x14ac:dyDescent="0.45">
      <c r="A42" s="6" t="s">
        <v>256</v>
      </c>
      <c r="B42" s="7" t="s">
        <v>257</v>
      </c>
      <c r="C42" s="8">
        <v>0.55531458096874675</v>
      </c>
      <c r="D42" s="8">
        <v>0.1098207774330244</v>
      </c>
      <c r="E42" s="8">
        <v>4.8064806956320753E-2</v>
      </c>
      <c r="F42" s="8">
        <v>0.7132001653580915</v>
      </c>
      <c r="G42" s="8">
        <v>0.59363359069680477</v>
      </c>
      <c r="H42" s="8">
        <v>0.23252097653831</v>
      </c>
      <c r="I42" s="8">
        <v>1.595984837554059E-2</v>
      </c>
      <c r="J42" s="8">
        <v>0.84211441561065492</v>
      </c>
      <c r="K42" s="9">
        <v>1.5553145809687468</v>
      </c>
      <c r="M42" s="10"/>
    </row>
    <row r="43" spans="1:13" x14ac:dyDescent="0.45">
      <c r="A43" s="6" t="s">
        <v>238</v>
      </c>
      <c r="B43" s="7" t="s">
        <v>239</v>
      </c>
      <c r="C43" s="8">
        <v>1.1006049259006589</v>
      </c>
      <c r="D43" s="8">
        <v>0.12608892678931941</v>
      </c>
      <c r="E43" s="8">
        <v>3.6237148989402633E-2</v>
      </c>
      <c r="F43" s="8">
        <v>1.262931001679382</v>
      </c>
      <c r="G43" s="8">
        <v>0.41556487776026502</v>
      </c>
      <c r="H43" s="8">
        <v>0.40929522546837671</v>
      </c>
      <c r="I43" s="8">
        <v>1.2813820992636209E-2</v>
      </c>
      <c r="J43" s="8">
        <v>0.83767392422127773</v>
      </c>
      <c r="K43" s="9">
        <v>2.1006049259006594</v>
      </c>
      <c r="M43" s="10"/>
    </row>
    <row r="44" spans="1:13" x14ac:dyDescent="0.45">
      <c r="A44" s="6" t="s">
        <v>150</v>
      </c>
      <c r="B44" s="7" t="s">
        <v>151</v>
      </c>
      <c r="C44" s="8">
        <v>1.0512223275958921</v>
      </c>
      <c r="D44" s="8">
        <v>0.1484801780753634</v>
      </c>
      <c r="E44" s="8">
        <v>1.419913223969867E-2</v>
      </c>
      <c r="F44" s="8">
        <v>1.213901637910954</v>
      </c>
      <c r="G44" s="8">
        <v>0.56913875629067356</v>
      </c>
      <c r="H44" s="8">
        <v>0.25956093672137409</v>
      </c>
      <c r="I44" s="8">
        <v>8.6209966728900897E-3</v>
      </c>
      <c r="J44" s="8">
        <v>0.83732068968493745</v>
      </c>
      <c r="K44" s="9">
        <v>2.0512223275958896</v>
      </c>
      <c r="M44" s="10"/>
    </row>
    <row r="45" spans="1:13" x14ac:dyDescent="0.45">
      <c r="A45" s="6" t="s">
        <v>292</v>
      </c>
      <c r="B45" s="7" t="s">
        <v>293</v>
      </c>
      <c r="C45" s="8">
        <v>0.67952040544672765</v>
      </c>
      <c r="D45" s="8">
        <v>0.15258801355429741</v>
      </c>
      <c r="E45" s="8">
        <v>1.102532400505646E-2</v>
      </c>
      <c r="F45" s="8">
        <v>0.84313374300608157</v>
      </c>
      <c r="G45" s="8">
        <v>0.52973917731668763</v>
      </c>
      <c r="H45" s="8">
        <v>0.30187139270543262</v>
      </c>
      <c r="I45" s="8">
        <v>4.7760924185258399E-3</v>
      </c>
      <c r="J45" s="8">
        <v>0.83638666244064586</v>
      </c>
      <c r="K45" s="9">
        <v>1.6795204054467276</v>
      </c>
      <c r="M45" s="10"/>
    </row>
    <row r="46" spans="1:13" x14ac:dyDescent="0.45">
      <c r="A46" s="6" t="s">
        <v>132</v>
      </c>
      <c r="B46" s="7" t="s">
        <v>133</v>
      </c>
      <c r="C46" s="8">
        <v>0.87545908885974855</v>
      </c>
      <c r="D46" s="8">
        <v>0.1424017578019687</v>
      </c>
      <c r="E46" s="8">
        <v>2.212060100659978E-2</v>
      </c>
      <c r="F46" s="8">
        <v>1.0399814476683169</v>
      </c>
      <c r="G46" s="8">
        <v>0.46266819886850402</v>
      </c>
      <c r="H46" s="8">
        <v>0.39798580323422711</v>
      </c>
      <c r="I46" s="8">
        <v>-2.5176360911299239E-2</v>
      </c>
      <c r="J46" s="8">
        <v>0.83547764119143098</v>
      </c>
      <c r="K46" s="9">
        <v>1.8754590888597493</v>
      </c>
      <c r="M46" s="10"/>
    </row>
    <row r="47" spans="1:13" x14ac:dyDescent="0.45">
      <c r="A47" s="6" t="s">
        <v>268</v>
      </c>
      <c r="B47" s="7" t="s">
        <v>269</v>
      </c>
      <c r="C47" s="8">
        <v>0.52351065581099765</v>
      </c>
      <c r="D47" s="8">
        <v>0.15523421013601221</v>
      </c>
      <c r="E47" s="8">
        <v>9.7518042442371992E-3</v>
      </c>
      <c r="F47" s="8">
        <v>0.68849667019124738</v>
      </c>
      <c r="G47" s="8">
        <v>0.59686482548647746</v>
      </c>
      <c r="H47" s="8">
        <v>0.22990138742416419</v>
      </c>
      <c r="I47" s="8">
        <v>8.247772709109237E-3</v>
      </c>
      <c r="J47" s="8">
        <v>0.83501398561975138</v>
      </c>
      <c r="K47" s="9">
        <v>1.5235106558109979</v>
      </c>
      <c r="M47" s="10"/>
    </row>
    <row r="48" spans="1:13" x14ac:dyDescent="0.45">
      <c r="A48" s="6" t="s">
        <v>146</v>
      </c>
      <c r="B48" s="7" t="s">
        <v>147</v>
      </c>
      <c r="C48" s="8">
        <v>1.382262910210226</v>
      </c>
      <c r="D48" s="8">
        <v>0.14806424787286379</v>
      </c>
      <c r="E48" s="8">
        <v>2.0955695399705689E-2</v>
      </c>
      <c r="F48" s="8">
        <v>1.551282853482796</v>
      </c>
      <c r="G48" s="8">
        <v>0.43321278770435567</v>
      </c>
      <c r="H48" s="8">
        <v>0.41773512042109351</v>
      </c>
      <c r="I48" s="8">
        <v>-1.9967851398018779E-2</v>
      </c>
      <c r="J48" s="8">
        <v>0.83098005672743025</v>
      </c>
      <c r="K48" s="9">
        <v>2.3822629102102257</v>
      </c>
      <c r="M48" s="10"/>
    </row>
    <row r="49" spans="1:13" x14ac:dyDescent="0.45">
      <c r="A49" s="6" t="s">
        <v>276</v>
      </c>
      <c r="B49" s="7" t="s">
        <v>277</v>
      </c>
      <c r="C49" s="8">
        <v>0.49990344650462748</v>
      </c>
      <c r="D49" s="8">
        <v>0.1265279540173383</v>
      </c>
      <c r="E49" s="8">
        <v>4.3290107941977941E-2</v>
      </c>
      <c r="F49" s="8">
        <v>0.66972150846394374</v>
      </c>
      <c r="G49" s="8">
        <v>0.46643282229138822</v>
      </c>
      <c r="H49" s="8">
        <v>0.35606792771538892</v>
      </c>
      <c r="I49" s="8">
        <v>7.6811880339068281E-3</v>
      </c>
      <c r="J49" s="8">
        <v>0.8301819380406843</v>
      </c>
      <c r="K49" s="9">
        <v>1.4999034465046275</v>
      </c>
      <c r="M49" s="10"/>
    </row>
    <row r="50" spans="1:13" x14ac:dyDescent="0.45">
      <c r="A50" s="6" t="s">
        <v>126</v>
      </c>
      <c r="B50" s="7" t="s">
        <v>127</v>
      </c>
      <c r="C50" s="8">
        <v>1.0348101303140249</v>
      </c>
      <c r="D50" s="8">
        <v>0.14311550101340281</v>
      </c>
      <c r="E50" s="8">
        <v>2.936952540211971E-2</v>
      </c>
      <c r="F50" s="8">
        <v>1.207295156729548</v>
      </c>
      <c r="G50" s="8">
        <v>0.36481477293883352</v>
      </c>
      <c r="H50" s="8">
        <v>0.53422875001833214</v>
      </c>
      <c r="I50" s="8">
        <v>-7.152854937268778E-2</v>
      </c>
      <c r="J50" s="8">
        <v>0.82751497358447768</v>
      </c>
      <c r="K50" s="9">
        <v>2.0348101303140256</v>
      </c>
      <c r="M50" s="10"/>
    </row>
    <row r="51" spans="1:13" x14ac:dyDescent="0.45">
      <c r="A51" s="6" t="s">
        <v>310</v>
      </c>
      <c r="B51" s="7" t="s">
        <v>311</v>
      </c>
      <c r="C51" s="8">
        <v>0.62386940372354949</v>
      </c>
      <c r="D51" s="8">
        <v>0.16253919198949429</v>
      </c>
      <c r="E51" s="8">
        <v>1.329045584536546E-2</v>
      </c>
      <c r="F51" s="8">
        <v>0.79969905155840926</v>
      </c>
      <c r="G51" s="8">
        <v>0.52025219038971171</v>
      </c>
      <c r="H51" s="8">
        <v>0.288651918101894</v>
      </c>
      <c r="I51" s="8">
        <v>1.5266243673534749E-2</v>
      </c>
      <c r="J51" s="8">
        <v>0.82417035216514034</v>
      </c>
      <c r="K51" s="9">
        <v>1.6238694037235495</v>
      </c>
      <c r="M51" s="10"/>
    </row>
    <row r="52" spans="1:13" x14ac:dyDescent="0.45">
      <c r="A52" s="6" t="s">
        <v>240</v>
      </c>
      <c r="B52" s="7" t="s">
        <v>241</v>
      </c>
      <c r="C52" s="8">
        <v>0.6567454976538214</v>
      </c>
      <c r="D52" s="8">
        <v>0.16499515638147819</v>
      </c>
      <c r="E52" s="8">
        <v>1.15513230597606E-2</v>
      </c>
      <c r="F52" s="8">
        <v>0.83329197709505998</v>
      </c>
      <c r="G52" s="8">
        <v>0.59253904801728974</v>
      </c>
      <c r="H52" s="8">
        <v>0.20532936216582989</v>
      </c>
      <c r="I52" s="8">
        <v>2.5585110375641758E-2</v>
      </c>
      <c r="J52" s="8">
        <v>0.82345352055876131</v>
      </c>
      <c r="K52" s="9">
        <v>1.6567454976538214</v>
      </c>
      <c r="M52" s="10"/>
    </row>
    <row r="53" spans="1:13" x14ac:dyDescent="0.45">
      <c r="A53" s="6" t="s">
        <v>140</v>
      </c>
      <c r="B53" s="7" t="s">
        <v>141</v>
      </c>
      <c r="C53" s="8">
        <v>1.3742923136192291</v>
      </c>
      <c r="D53" s="8">
        <v>0.16076204204828981</v>
      </c>
      <c r="E53" s="8">
        <v>1.8475559800354729E-2</v>
      </c>
      <c r="F53" s="8">
        <v>1.5535299154678719</v>
      </c>
      <c r="G53" s="8">
        <v>0.50627430836298015</v>
      </c>
      <c r="H53" s="8">
        <v>0.32594392355510182</v>
      </c>
      <c r="I53" s="8">
        <v>-1.145583376672611E-2</v>
      </c>
      <c r="J53" s="8">
        <v>0.82076239815135565</v>
      </c>
      <c r="K53" s="9">
        <v>2.374292313619228</v>
      </c>
      <c r="M53" s="10"/>
    </row>
    <row r="54" spans="1:13" x14ac:dyDescent="0.45">
      <c r="A54" s="6" t="s">
        <v>242</v>
      </c>
      <c r="B54" s="7" t="s">
        <v>243</v>
      </c>
      <c r="C54" s="8">
        <v>0.6133402431242938</v>
      </c>
      <c r="D54" s="8">
        <v>0.1611308866370075</v>
      </c>
      <c r="E54" s="8">
        <v>1.9076733841715269E-2</v>
      </c>
      <c r="F54" s="8">
        <v>0.79354786360301632</v>
      </c>
      <c r="G54" s="8">
        <v>0.51445918531204105</v>
      </c>
      <c r="H54" s="8">
        <v>0.28932376822097933</v>
      </c>
      <c r="I54" s="8">
        <v>1.6009425988257251E-2</v>
      </c>
      <c r="J54" s="8">
        <v>0.81979237952127737</v>
      </c>
      <c r="K54" s="9">
        <v>1.613340243124294</v>
      </c>
      <c r="M54" s="10"/>
    </row>
    <row r="55" spans="1:13" x14ac:dyDescent="0.45">
      <c r="A55" s="6" t="s">
        <v>202</v>
      </c>
      <c r="B55" s="7" t="s">
        <v>203</v>
      </c>
      <c r="C55" s="8">
        <v>0.51489708386201238</v>
      </c>
      <c r="D55" s="8">
        <v>0.17853210525975949</v>
      </c>
      <c r="E55" s="8">
        <v>6.3177292099837572E-3</v>
      </c>
      <c r="F55" s="8">
        <v>0.69974691833175562</v>
      </c>
      <c r="G55" s="8">
        <v>0.57212664246031253</v>
      </c>
      <c r="H55" s="8">
        <v>0.2352792118436757</v>
      </c>
      <c r="I55" s="8">
        <v>7.7443112262690836E-3</v>
      </c>
      <c r="J55" s="8">
        <v>0.81515016553025754</v>
      </c>
      <c r="K55" s="9">
        <v>1.5148970838620124</v>
      </c>
      <c r="M55" s="10"/>
    </row>
    <row r="56" spans="1:13" x14ac:dyDescent="0.45">
      <c r="A56" s="6" t="s">
        <v>210</v>
      </c>
      <c r="B56" s="7" t="s">
        <v>211</v>
      </c>
      <c r="C56" s="8">
        <v>0.7894776450065597</v>
      </c>
      <c r="D56" s="8">
        <v>0.17157758571288689</v>
      </c>
      <c r="E56" s="8">
        <v>1.431109999111895E-2</v>
      </c>
      <c r="F56" s="8">
        <v>0.97536633071056544</v>
      </c>
      <c r="G56" s="8">
        <v>0.5815387235443048</v>
      </c>
      <c r="H56" s="8">
        <v>0.23205318733726449</v>
      </c>
      <c r="I56" s="8">
        <v>5.1940341442518242E-4</v>
      </c>
      <c r="J56" s="8">
        <v>0.81411131429599481</v>
      </c>
      <c r="K56" s="9">
        <v>1.7894776450065599</v>
      </c>
      <c r="M56" s="10"/>
    </row>
    <row r="57" spans="1:13" x14ac:dyDescent="0.45">
      <c r="A57" s="6" t="s">
        <v>264</v>
      </c>
      <c r="B57" s="7" t="s">
        <v>265</v>
      </c>
      <c r="C57" s="8">
        <v>0.79039127480437843</v>
      </c>
      <c r="D57" s="8">
        <v>0.1793138693475296</v>
      </c>
      <c r="E57" s="8">
        <v>9.2041344036117509E-3</v>
      </c>
      <c r="F57" s="8">
        <v>0.97890927855551946</v>
      </c>
      <c r="G57" s="8">
        <v>0.41020754231739298</v>
      </c>
      <c r="H57" s="8">
        <v>0.43751538904976078</v>
      </c>
      <c r="I57" s="8">
        <v>-3.6240935118295722E-2</v>
      </c>
      <c r="J57" s="8">
        <v>0.8114819962488582</v>
      </c>
      <c r="K57" s="9">
        <v>1.7903912748043775</v>
      </c>
      <c r="M57" s="10"/>
    </row>
    <row r="58" spans="1:13" x14ac:dyDescent="0.45">
      <c r="A58" s="6" t="s">
        <v>142</v>
      </c>
      <c r="B58" s="7" t="s">
        <v>143</v>
      </c>
      <c r="C58" s="8">
        <v>1.214121648076796</v>
      </c>
      <c r="D58" s="8">
        <v>0.174463892612404</v>
      </c>
      <c r="E58" s="8">
        <v>1.6883867021831849E-2</v>
      </c>
      <c r="F58" s="8">
        <v>1.4054694077110319</v>
      </c>
      <c r="G58" s="8">
        <v>0.50384976370834877</v>
      </c>
      <c r="H58" s="8">
        <v>0.30692801417591548</v>
      </c>
      <c r="I58" s="8">
        <v>-2.1255375184999251E-3</v>
      </c>
      <c r="J58" s="8">
        <v>0.80865224036576422</v>
      </c>
      <c r="K58" s="9">
        <v>2.2141216480767953</v>
      </c>
      <c r="M58" s="10"/>
    </row>
    <row r="59" spans="1:13" x14ac:dyDescent="0.45">
      <c r="A59" s="6" t="s">
        <v>248</v>
      </c>
      <c r="B59" s="7" t="s">
        <v>249</v>
      </c>
      <c r="C59" s="8">
        <v>0.70133655427473152</v>
      </c>
      <c r="D59" s="8">
        <v>0.14786052384240181</v>
      </c>
      <c r="E59" s="8">
        <v>4.5376014038352411E-2</v>
      </c>
      <c r="F59" s="8">
        <v>0.89457309215548586</v>
      </c>
      <c r="G59" s="8">
        <v>0.54976822052200691</v>
      </c>
      <c r="H59" s="8">
        <v>0.23625395342847691</v>
      </c>
      <c r="I59" s="8">
        <v>2.0741288168761769E-2</v>
      </c>
      <c r="J59" s="8">
        <v>0.80676346211924543</v>
      </c>
      <c r="K59" s="9">
        <v>1.7013365542747312</v>
      </c>
      <c r="M59" s="10"/>
    </row>
    <row r="60" spans="1:13" x14ac:dyDescent="0.45">
      <c r="A60" s="6" t="s">
        <v>152</v>
      </c>
      <c r="B60" s="7" t="s">
        <v>153</v>
      </c>
      <c r="C60" s="8">
        <v>1.006865992581063</v>
      </c>
      <c r="D60" s="8">
        <v>0.1842386686113866</v>
      </c>
      <c r="E60" s="8">
        <v>1.367421524855492E-2</v>
      </c>
      <c r="F60" s="8">
        <v>1.204778876441005</v>
      </c>
      <c r="G60" s="8">
        <v>0.50862265804756313</v>
      </c>
      <c r="H60" s="8">
        <v>0.28446436103515449</v>
      </c>
      <c r="I60" s="8">
        <v>9.0000970573414548E-3</v>
      </c>
      <c r="J60" s="8">
        <v>0.80208711614005879</v>
      </c>
      <c r="K60" s="9">
        <v>2.006865992581063</v>
      </c>
      <c r="M60" s="10"/>
    </row>
    <row r="61" spans="1:13" x14ac:dyDescent="0.45">
      <c r="A61" s="6" t="s">
        <v>156</v>
      </c>
      <c r="B61" s="7" t="s">
        <v>157</v>
      </c>
      <c r="C61" s="8">
        <v>0.92815023989198775</v>
      </c>
      <c r="D61" s="8">
        <v>0.16403245112497339</v>
      </c>
      <c r="E61" s="8">
        <v>4.2756391208732113E-2</v>
      </c>
      <c r="F61" s="8">
        <v>1.1349390822256931</v>
      </c>
      <c r="G61" s="8">
        <v>0.37760771607341609</v>
      </c>
      <c r="H61" s="8">
        <v>0.41184665546524157</v>
      </c>
      <c r="I61" s="8">
        <v>3.7567861276365231E-3</v>
      </c>
      <c r="J61" s="8">
        <v>0.79321115766629458</v>
      </c>
      <c r="K61" s="9">
        <v>1.9281502398919881</v>
      </c>
      <c r="M61" s="10"/>
    </row>
    <row r="62" spans="1:13" x14ac:dyDescent="0.45">
      <c r="A62" s="6" t="s">
        <v>250</v>
      </c>
      <c r="B62" s="7" t="s">
        <v>251</v>
      </c>
      <c r="C62" s="8">
        <v>0.77857191551103799</v>
      </c>
      <c r="D62" s="8">
        <v>0.1656136797528277</v>
      </c>
      <c r="E62" s="8">
        <v>4.2102327202914937E-2</v>
      </c>
      <c r="F62" s="8">
        <v>0.9862879224667801</v>
      </c>
      <c r="G62" s="8">
        <v>0.43640382803124139</v>
      </c>
      <c r="H62" s="8">
        <v>0.34271415937706468</v>
      </c>
      <c r="I62" s="8">
        <v>1.3166005635951741E-2</v>
      </c>
      <c r="J62" s="8">
        <v>0.79228399304425778</v>
      </c>
      <c r="K62" s="9">
        <v>1.7785719155110382</v>
      </c>
      <c r="M62" s="10"/>
    </row>
    <row r="63" spans="1:13" x14ac:dyDescent="0.45">
      <c r="A63" s="6" t="s">
        <v>158</v>
      </c>
      <c r="B63" s="7" t="s">
        <v>159</v>
      </c>
      <c r="C63" s="8">
        <v>0.99759265520154727</v>
      </c>
      <c r="D63" s="8">
        <v>0.1948198979014952</v>
      </c>
      <c r="E63" s="8">
        <v>1.4516995873814879E-2</v>
      </c>
      <c r="F63" s="8">
        <v>1.206929548976859</v>
      </c>
      <c r="G63" s="8">
        <v>0.40448801532711193</v>
      </c>
      <c r="H63" s="8">
        <v>0.38331346995469812</v>
      </c>
      <c r="I63" s="8">
        <v>2.861620942880237E-3</v>
      </c>
      <c r="J63" s="8">
        <v>0.79066310622469038</v>
      </c>
      <c r="K63" s="9">
        <v>1.9975926552015475</v>
      </c>
      <c r="M63" s="10"/>
    </row>
    <row r="64" spans="1:13" x14ac:dyDescent="0.45">
      <c r="A64" s="6" t="s">
        <v>160</v>
      </c>
      <c r="B64" s="7" t="s">
        <v>161</v>
      </c>
      <c r="C64" s="8">
        <v>0.46199228928876829</v>
      </c>
      <c r="D64" s="8">
        <v>0.2019172288651539</v>
      </c>
      <c r="E64" s="8">
        <v>7.9487263039842819E-3</v>
      </c>
      <c r="F64" s="8">
        <v>0.67185824445790721</v>
      </c>
      <c r="G64" s="8">
        <v>0.47829314954699809</v>
      </c>
      <c r="H64" s="8">
        <v>0.30483924296511428</v>
      </c>
      <c r="I64" s="8">
        <v>7.001652318748876E-3</v>
      </c>
      <c r="J64" s="8">
        <v>0.79013404483086158</v>
      </c>
      <c r="K64" s="9">
        <v>1.4619922892887678</v>
      </c>
      <c r="M64" s="10"/>
    </row>
    <row r="65" spans="1:13" x14ac:dyDescent="0.45">
      <c r="A65" s="6" t="s">
        <v>164</v>
      </c>
      <c r="B65" s="7" t="s">
        <v>165</v>
      </c>
      <c r="C65" s="8">
        <v>0.60685826469620741</v>
      </c>
      <c r="D65" s="8">
        <v>0.2033091106869489</v>
      </c>
      <c r="E65" s="8">
        <v>1.052783050245047E-2</v>
      </c>
      <c r="F65" s="8">
        <v>0.82069520588560663</v>
      </c>
      <c r="G65" s="8">
        <v>0.47201276042776202</v>
      </c>
      <c r="H65" s="8">
        <v>0.34199843384790141</v>
      </c>
      <c r="I65" s="8">
        <v>-2.7848135465062759E-2</v>
      </c>
      <c r="J65" s="8">
        <v>0.78616305881060056</v>
      </c>
      <c r="K65" s="9">
        <v>1.6068582646962062</v>
      </c>
      <c r="M65" s="10"/>
    </row>
    <row r="66" spans="1:13" x14ac:dyDescent="0.45">
      <c r="A66" s="6" t="s">
        <v>290</v>
      </c>
      <c r="B66" s="7" t="s">
        <v>291</v>
      </c>
      <c r="C66" s="8">
        <v>0.72490981045102432</v>
      </c>
      <c r="D66" s="8">
        <v>0.20265590259219041</v>
      </c>
      <c r="E66" s="8">
        <v>1.4234321723664581E-2</v>
      </c>
      <c r="F66" s="8">
        <v>0.94180003476687935</v>
      </c>
      <c r="G66" s="8">
        <v>0.56808789158278428</v>
      </c>
      <c r="H66" s="8">
        <v>0.20348074686918921</v>
      </c>
      <c r="I66" s="8">
        <v>1.1541137232171121E-2</v>
      </c>
      <c r="J66" s="8">
        <v>0.78310977568414475</v>
      </c>
      <c r="K66" s="9">
        <v>1.7249098104510232</v>
      </c>
      <c r="M66" s="10"/>
    </row>
    <row r="67" spans="1:13" x14ac:dyDescent="0.45">
      <c r="A67" s="6" t="s">
        <v>226</v>
      </c>
      <c r="B67" s="7" t="s">
        <v>227</v>
      </c>
      <c r="C67" s="8">
        <v>1.6475957495540401</v>
      </c>
      <c r="D67" s="8">
        <v>0.19267594995780471</v>
      </c>
      <c r="E67" s="8">
        <v>2.7994093620036849E-2</v>
      </c>
      <c r="F67" s="8">
        <v>1.8682657931318809</v>
      </c>
      <c r="G67" s="8">
        <v>0.28273334572202558</v>
      </c>
      <c r="H67" s="8">
        <v>0.44909671411038721</v>
      </c>
      <c r="I67" s="8">
        <v>4.7499896589746203E-2</v>
      </c>
      <c r="J67" s="8">
        <v>0.77932995642215896</v>
      </c>
      <c r="K67" s="9">
        <v>2.6475957495540405</v>
      </c>
      <c r="M67" s="10"/>
    </row>
    <row r="68" spans="1:13" x14ac:dyDescent="0.45">
      <c r="A68" s="6" t="s">
        <v>228</v>
      </c>
      <c r="B68" s="7" t="s">
        <v>229</v>
      </c>
      <c r="C68" s="8">
        <v>1.62729735856651</v>
      </c>
      <c r="D68" s="8">
        <v>0.2039149249858776</v>
      </c>
      <c r="E68" s="8">
        <v>2.0578682826810819E-2</v>
      </c>
      <c r="F68" s="8">
        <v>1.851790966379198</v>
      </c>
      <c r="G68" s="8">
        <v>0.30499409240382791</v>
      </c>
      <c r="H68" s="8">
        <v>0.42773559980092218</v>
      </c>
      <c r="I68" s="8">
        <v>4.2776699982561527E-2</v>
      </c>
      <c r="J68" s="8">
        <v>0.77550639218731154</v>
      </c>
      <c r="K68" s="9">
        <v>2.6272973585665098</v>
      </c>
      <c r="M68" s="10"/>
    </row>
    <row r="69" spans="1:13" x14ac:dyDescent="0.45">
      <c r="A69" s="6" t="s">
        <v>288</v>
      </c>
      <c r="B69" s="7" t="s">
        <v>289</v>
      </c>
      <c r="C69" s="8">
        <v>0.50038240487109531</v>
      </c>
      <c r="D69" s="8">
        <v>0.213554744684437</v>
      </c>
      <c r="E69" s="8">
        <v>1.3090488883426749E-2</v>
      </c>
      <c r="F69" s="8">
        <v>0.72702763843895946</v>
      </c>
      <c r="G69" s="8">
        <v>0.5301807762470826</v>
      </c>
      <c r="H69" s="8">
        <v>0.22981962709502421</v>
      </c>
      <c r="I69" s="8">
        <v>1.335436309002948E-2</v>
      </c>
      <c r="J69" s="8">
        <v>0.77335476643213663</v>
      </c>
      <c r="K69" s="9">
        <v>1.5003824048710954</v>
      </c>
      <c r="M69" s="10"/>
    </row>
    <row r="70" spans="1:13" x14ac:dyDescent="0.45">
      <c r="A70" s="6" t="s">
        <v>216</v>
      </c>
      <c r="B70" s="7" t="s">
        <v>217</v>
      </c>
      <c r="C70" s="8">
        <v>0.56598842788959269</v>
      </c>
      <c r="D70" s="8">
        <v>0.21888289314715259</v>
      </c>
      <c r="E70" s="8">
        <v>9.7121847071772981E-3</v>
      </c>
      <c r="F70" s="8">
        <v>0.79458350574392278</v>
      </c>
      <c r="G70" s="8">
        <v>0.5247525895151639</v>
      </c>
      <c r="H70" s="8">
        <v>0.22430580291163199</v>
      </c>
      <c r="I70" s="8">
        <v>2.2346529718874249E-2</v>
      </c>
      <c r="J70" s="8">
        <v>0.7714049221456698</v>
      </c>
      <c r="K70" s="9">
        <v>1.5659884278895932</v>
      </c>
      <c r="M70" s="10"/>
    </row>
    <row r="71" spans="1:13" x14ac:dyDescent="0.45">
      <c r="A71" s="6" t="s">
        <v>176</v>
      </c>
      <c r="B71" s="7" t="s">
        <v>177</v>
      </c>
      <c r="C71" s="8">
        <v>0.53127715296965039</v>
      </c>
      <c r="D71" s="8">
        <v>0.22319117952931949</v>
      </c>
      <c r="E71" s="8">
        <v>8.2100307807981467E-3</v>
      </c>
      <c r="F71" s="8">
        <v>0.76267836327976801</v>
      </c>
      <c r="G71" s="8">
        <v>0.4163682237175953</v>
      </c>
      <c r="H71" s="8">
        <v>0.34809904772943279</v>
      </c>
      <c r="I71" s="8">
        <v>4.1315182428544516E-3</v>
      </c>
      <c r="J71" s="8">
        <v>0.7685987896898826</v>
      </c>
      <c r="K71" s="9">
        <v>1.5312771529696505</v>
      </c>
      <c r="M71" s="10"/>
    </row>
    <row r="72" spans="1:13" x14ac:dyDescent="0.45">
      <c r="A72" s="6" t="s">
        <v>274</v>
      </c>
      <c r="B72" s="7" t="s">
        <v>275</v>
      </c>
      <c r="C72" s="8">
        <v>0.56516737972032094</v>
      </c>
      <c r="D72" s="8">
        <v>0.18591740594812139</v>
      </c>
      <c r="E72" s="8">
        <v>5.603799871057747E-2</v>
      </c>
      <c r="F72" s="8">
        <v>0.80712278437902008</v>
      </c>
      <c r="G72" s="8">
        <v>0.28524323764779802</v>
      </c>
      <c r="H72" s="8">
        <v>0.45927357361806798</v>
      </c>
      <c r="I72" s="8">
        <v>1.352778407543513E-2</v>
      </c>
      <c r="J72" s="8">
        <v>0.75804459534130098</v>
      </c>
      <c r="K72" s="9">
        <v>1.5651673797203212</v>
      </c>
      <c r="M72" s="10"/>
    </row>
    <row r="73" spans="1:13" x14ac:dyDescent="0.45">
      <c r="A73" s="6" t="s">
        <v>154</v>
      </c>
      <c r="B73" s="7" t="s">
        <v>155</v>
      </c>
      <c r="C73" s="8">
        <v>1.387932413752119</v>
      </c>
      <c r="D73" s="8">
        <v>0.22830791074529291</v>
      </c>
      <c r="E73" s="8">
        <v>1.850120167011848E-2</v>
      </c>
      <c r="F73" s="8">
        <v>1.6347415261675311</v>
      </c>
      <c r="G73" s="8">
        <v>0.43071936750565371</v>
      </c>
      <c r="H73" s="8">
        <v>0.33095545143812721</v>
      </c>
      <c r="I73" s="8">
        <v>-8.4839313591916713E-3</v>
      </c>
      <c r="J73" s="8">
        <v>0.75319088758458919</v>
      </c>
      <c r="K73" s="9">
        <v>2.3879324137521221</v>
      </c>
      <c r="M73" s="10"/>
    </row>
    <row r="74" spans="1:13" x14ac:dyDescent="0.45">
      <c r="A74" s="6" t="s">
        <v>186</v>
      </c>
      <c r="B74" s="7" t="s">
        <v>187</v>
      </c>
      <c r="C74" s="8">
        <v>0.51239191268044215</v>
      </c>
      <c r="D74" s="8">
        <v>0.239310571969441</v>
      </c>
      <c r="E74" s="8">
        <v>8.8388571738626538E-3</v>
      </c>
      <c r="F74" s="8">
        <v>0.760541341823746</v>
      </c>
      <c r="G74" s="8">
        <v>0.37404482494420183</v>
      </c>
      <c r="H74" s="8">
        <v>0.37208210934293479</v>
      </c>
      <c r="I74" s="8">
        <v>5.7236365695601784E-3</v>
      </c>
      <c r="J74" s="8">
        <v>0.75185057085669671</v>
      </c>
      <c r="K74" s="9">
        <v>1.5123919126804428</v>
      </c>
      <c r="M74" s="10"/>
    </row>
    <row r="75" spans="1:13" x14ac:dyDescent="0.45">
      <c r="A75" s="6" t="s">
        <v>218</v>
      </c>
      <c r="B75" s="7" t="s">
        <v>219</v>
      </c>
      <c r="C75" s="8">
        <v>0.54707413468943666</v>
      </c>
      <c r="D75" s="8">
        <v>0.2434521586166247</v>
      </c>
      <c r="E75" s="8">
        <v>9.5478847428455919E-3</v>
      </c>
      <c r="F75" s="8">
        <v>0.8000741780489069</v>
      </c>
      <c r="G75" s="8">
        <v>0.47424279458804419</v>
      </c>
      <c r="H75" s="8">
        <v>0.26248050437827247</v>
      </c>
      <c r="I75" s="8">
        <v>1.0276657674213679E-2</v>
      </c>
      <c r="J75" s="8">
        <v>0.74699995664052998</v>
      </c>
      <c r="K75" s="9">
        <v>1.5470741346894363</v>
      </c>
      <c r="M75" s="10"/>
    </row>
    <row r="76" spans="1:13" x14ac:dyDescent="0.45">
      <c r="A76" s="6" t="s">
        <v>190</v>
      </c>
      <c r="B76" s="7" t="s">
        <v>191</v>
      </c>
      <c r="C76" s="8">
        <v>0.75655096804677824</v>
      </c>
      <c r="D76" s="8">
        <v>0.23028538938129081</v>
      </c>
      <c r="E76" s="8">
        <v>2.4683934576956799E-2</v>
      </c>
      <c r="F76" s="8">
        <v>1.0115202920050259</v>
      </c>
      <c r="G76" s="8">
        <v>0.43475786445794712</v>
      </c>
      <c r="H76" s="8">
        <v>0.2933065330417885</v>
      </c>
      <c r="I76" s="8">
        <v>1.6966278542016579E-2</v>
      </c>
      <c r="J76" s="8">
        <v>0.74503067604175177</v>
      </c>
      <c r="K76" s="9">
        <v>1.7565509680467783</v>
      </c>
      <c r="M76" s="10"/>
    </row>
    <row r="77" spans="1:13" x14ac:dyDescent="0.45">
      <c r="A77" s="6" t="s">
        <v>304</v>
      </c>
      <c r="B77" s="7" t="s">
        <v>305</v>
      </c>
      <c r="C77" s="8">
        <v>0.76709206464830459</v>
      </c>
      <c r="D77" s="8">
        <v>0.21261466960515121</v>
      </c>
      <c r="E77" s="8">
        <v>4.2939447904042062E-2</v>
      </c>
      <c r="F77" s="8">
        <v>1.0226461821574979</v>
      </c>
      <c r="G77" s="8">
        <v>0.45596825030682769</v>
      </c>
      <c r="H77" s="8">
        <v>0.2806204186133367</v>
      </c>
      <c r="I77" s="8">
        <v>7.8572135706421603E-3</v>
      </c>
      <c r="J77" s="8">
        <v>0.74444588249080679</v>
      </c>
      <c r="K77" s="9">
        <v>1.7670920646483044</v>
      </c>
      <c r="M77" s="10"/>
    </row>
    <row r="78" spans="1:13" x14ac:dyDescent="0.45">
      <c r="A78" s="6" t="s">
        <v>222</v>
      </c>
      <c r="B78" s="7" t="s">
        <v>223</v>
      </c>
      <c r="C78" s="8">
        <v>0.86457150498454471</v>
      </c>
      <c r="D78" s="8">
        <v>0.25213683912347717</v>
      </c>
      <c r="E78" s="8">
        <v>8.5043419297744938E-3</v>
      </c>
      <c r="F78" s="8">
        <v>1.125212686037798</v>
      </c>
      <c r="G78" s="8">
        <v>0.49338252181883041</v>
      </c>
      <c r="H78" s="8">
        <v>0.24713848645983161</v>
      </c>
      <c r="I78" s="8">
        <v>-1.162189331913888E-3</v>
      </c>
      <c r="J78" s="8">
        <v>0.73935881894674815</v>
      </c>
      <c r="K78" s="9">
        <v>1.8645715049845464</v>
      </c>
      <c r="M78" s="10"/>
    </row>
    <row r="79" spans="1:13" x14ac:dyDescent="0.45">
      <c r="A79" s="6" t="s">
        <v>198</v>
      </c>
      <c r="B79" s="7" t="s">
        <v>199</v>
      </c>
      <c r="C79" s="8">
        <v>0.79808049582649476</v>
      </c>
      <c r="D79" s="8">
        <v>0.25379857046842269</v>
      </c>
      <c r="E79" s="8">
        <v>8.1654545435274964E-3</v>
      </c>
      <c r="F79" s="8">
        <v>1.060044520838445</v>
      </c>
      <c r="G79" s="8">
        <v>0.53915806444068459</v>
      </c>
      <c r="H79" s="8">
        <v>0.19921366193288581</v>
      </c>
      <c r="I79" s="8">
        <v>-3.3575138552047689E-4</v>
      </c>
      <c r="J79" s="8">
        <v>0.73803597498804929</v>
      </c>
      <c r="K79" s="9">
        <v>1.798080495826496</v>
      </c>
      <c r="M79" s="10"/>
    </row>
    <row r="80" spans="1:13" x14ac:dyDescent="0.45">
      <c r="A80" s="6" t="s">
        <v>224</v>
      </c>
      <c r="B80" s="7" t="s">
        <v>225</v>
      </c>
      <c r="C80" s="8">
        <v>0.59147854718986625</v>
      </c>
      <c r="D80" s="8">
        <v>0.25196034293328817</v>
      </c>
      <c r="E80" s="8">
        <v>1.0816194475974971E-2</v>
      </c>
      <c r="F80" s="8">
        <v>0.8542550845991298</v>
      </c>
      <c r="G80" s="8">
        <v>0.47225294896694042</v>
      </c>
      <c r="H80" s="8">
        <v>0.25770933597302642</v>
      </c>
      <c r="I80" s="8">
        <v>7.2611776507695317E-3</v>
      </c>
      <c r="J80" s="8">
        <v>0.7372234625907369</v>
      </c>
      <c r="K80" s="9">
        <v>1.5914785471898669</v>
      </c>
      <c r="M80" s="10"/>
    </row>
    <row r="81" spans="1:13" x14ac:dyDescent="0.45">
      <c r="A81" s="6" t="s">
        <v>130</v>
      </c>
      <c r="B81" s="7" t="s">
        <v>131</v>
      </c>
      <c r="C81" s="8">
        <v>0.88063149183147427</v>
      </c>
      <c r="D81" s="8">
        <v>0.24764887852799289</v>
      </c>
      <c r="E81" s="8">
        <v>2.3940303163088511E-2</v>
      </c>
      <c r="F81" s="8">
        <v>1.1522206735225551</v>
      </c>
      <c r="G81" s="8">
        <v>0.39732801036125448</v>
      </c>
      <c r="H81" s="8">
        <v>0.32379248983166642</v>
      </c>
      <c r="I81" s="8">
        <v>7.290318115997993E-3</v>
      </c>
      <c r="J81" s="8">
        <v>0.72841081830891874</v>
      </c>
      <c r="K81" s="9">
        <v>1.8806314918314744</v>
      </c>
      <c r="M81" s="10"/>
    </row>
    <row r="82" spans="1:13" x14ac:dyDescent="0.45">
      <c r="A82" s="6" t="s">
        <v>200</v>
      </c>
      <c r="B82" s="7" t="s">
        <v>201</v>
      </c>
      <c r="C82" s="8">
        <v>0.50912363690127738</v>
      </c>
      <c r="D82" s="8">
        <v>0.2623158873744027</v>
      </c>
      <c r="E82" s="8">
        <v>9.7662972883268816E-3</v>
      </c>
      <c r="F82" s="8">
        <v>0.78120582156400764</v>
      </c>
      <c r="G82" s="8">
        <v>0.47195240368258262</v>
      </c>
      <c r="H82" s="8">
        <v>0.2425305550076941</v>
      </c>
      <c r="I82" s="8">
        <v>1.343485664699434E-2</v>
      </c>
      <c r="J82" s="8">
        <v>0.72791781533727107</v>
      </c>
      <c r="K82" s="9">
        <v>1.509123636901279</v>
      </c>
      <c r="M82" s="10"/>
    </row>
    <row r="83" spans="1:13" x14ac:dyDescent="0.45">
      <c r="A83" s="6" t="s">
        <v>170</v>
      </c>
      <c r="B83" s="7" t="s">
        <v>171</v>
      </c>
      <c r="C83" s="8">
        <v>0.58167578280956178</v>
      </c>
      <c r="D83" s="8">
        <v>0.27426879980114321</v>
      </c>
      <c r="E83" s="8">
        <v>8.0758049830757031E-3</v>
      </c>
      <c r="F83" s="8">
        <v>0.86402038759378186</v>
      </c>
      <c r="G83" s="8">
        <v>0.47282543453118281</v>
      </c>
      <c r="H83" s="8">
        <v>0.23402874107032481</v>
      </c>
      <c r="I83" s="8">
        <v>1.080121961427339E-2</v>
      </c>
      <c r="J83" s="8">
        <v>0.71765539521578126</v>
      </c>
      <c r="K83" s="9">
        <v>1.5816757828095624</v>
      </c>
      <c r="M83" s="10"/>
    </row>
    <row r="84" spans="1:13" x14ac:dyDescent="0.45">
      <c r="A84" s="6" t="s">
        <v>234</v>
      </c>
      <c r="B84" s="7" t="s">
        <v>235</v>
      </c>
      <c r="C84" s="8">
        <v>0.77929176002324363</v>
      </c>
      <c r="D84" s="8">
        <v>0.19615864251437051</v>
      </c>
      <c r="E84" s="8">
        <v>9.2068656634127152E-2</v>
      </c>
      <c r="F84" s="8">
        <v>1.0675190591717409</v>
      </c>
      <c r="G84" s="8">
        <v>0.41023849423011649</v>
      </c>
      <c r="H84" s="8">
        <v>0.28626392221201608</v>
      </c>
      <c r="I84" s="8">
        <v>1.527028440936957E-2</v>
      </c>
      <c r="J84" s="8">
        <v>0.71177270085150224</v>
      </c>
      <c r="K84" s="9">
        <v>1.779291760023243</v>
      </c>
      <c r="M84" s="10"/>
    </row>
    <row r="85" spans="1:13" x14ac:dyDescent="0.45">
      <c r="A85" s="6" t="s">
        <v>138</v>
      </c>
      <c r="B85" s="7" t="s">
        <v>139</v>
      </c>
      <c r="C85" s="8">
        <v>0.95267328999923118</v>
      </c>
      <c r="D85" s="8">
        <v>0.28797369320102267</v>
      </c>
      <c r="E85" s="8">
        <v>1.263189732611396E-2</v>
      </c>
      <c r="F85" s="8">
        <v>1.2532788805263679</v>
      </c>
      <c r="G85" s="8">
        <v>0.47196488668458181</v>
      </c>
      <c r="H85" s="8">
        <v>0.2156431547798755</v>
      </c>
      <c r="I85" s="8">
        <v>1.178636800840618E-2</v>
      </c>
      <c r="J85" s="8">
        <v>0.69939440947286358</v>
      </c>
      <c r="K85" s="9">
        <v>1.9526732899992336</v>
      </c>
      <c r="M85" s="10"/>
    </row>
    <row r="86" spans="1:13" x14ac:dyDescent="0.45">
      <c r="A86" s="6" t="s">
        <v>136</v>
      </c>
      <c r="B86" s="7" t="s">
        <v>137</v>
      </c>
      <c r="C86" s="8">
        <v>0.85324634056031112</v>
      </c>
      <c r="D86" s="8">
        <v>0.27187316158534819</v>
      </c>
      <c r="E86" s="8">
        <v>3.2620135945248097E-2</v>
      </c>
      <c r="F86" s="8">
        <v>1.157739638090908</v>
      </c>
      <c r="G86" s="8">
        <v>0.37644898190662551</v>
      </c>
      <c r="H86" s="8">
        <v>0.30228627158900839</v>
      </c>
      <c r="I86" s="8">
        <v>1.6771448973770271E-2</v>
      </c>
      <c r="J86" s="8">
        <v>0.69550670246940349</v>
      </c>
      <c r="K86" s="9">
        <v>1.8532463405603121</v>
      </c>
      <c r="M86" s="10"/>
    </row>
    <row r="87" spans="1:13" x14ac:dyDescent="0.45">
      <c r="A87" s="6" t="s">
        <v>192</v>
      </c>
      <c r="B87" s="7" t="s">
        <v>193</v>
      </c>
      <c r="C87" s="8">
        <v>0.73351171916820423</v>
      </c>
      <c r="D87" s="8">
        <v>0.27417258190867583</v>
      </c>
      <c r="E87" s="8">
        <v>3.0529649252654119E-2</v>
      </c>
      <c r="F87" s="8">
        <v>1.038213950329534</v>
      </c>
      <c r="G87" s="8">
        <v>0.43855276113474301</v>
      </c>
      <c r="H87" s="8">
        <v>0.2420033180765975</v>
      </c>
      <c r="I87" s="8">
        <v>1.474168962732952E-2</v>
      </c>
      <c r="J87" s="8">
        <v>0.69529776883867012</v>
      </c>
      <c r="K87" s="9">
        <v>1.7335117191682041</v>
      </c>
      <c r="M87" s="10"/>
    </row>
    <row r="88" spans="1:13" x14ac:dyDescent="0.45">
      <c r="A88" s="6" t="s">
        <v>168</v>
      </c>
      <c r="B88" s="7" t="s">
        <v>169</v>
      </c>
      <c r="C88" s="8">
        <v>0.67449292250798853</v>
      </c>
      <c r="D88" s="8">
        <v>0.30230157474530678</v>
      </c>
      <c r="E88" s="8">
        <v>1.222685273687284E-2</v>
      </c>
      <c r="F88" s="8">
        <v>0.98902134999016833</v>
      </c>
      <c r="G88" s="8">
        <v>0.45592982809629518</v>
      </c>
      <c r="H88" s="8">
        <v>0.21786460100790761</v>
      </c>
      <c r="I88" s="8">
        <v>1.16771434136171E-2</v>
      </c>
      <c r="J88" s="8">
        <v>0.68547157251781998</v>
      </c>
      <c r="K88" s="9">
        <v>1.6744929225079885</v>
      </c>
      <c r="M88" s="10"/>
    </row>
    <row r="89" spans="1:13" x14ac:dyDescent="0.45">
      <c r="A89" s="6" t="s">
        <v>148</v>
      </c>
      <c r="B89" s="7" t="s">
        <v>149</v>
      </c>
      <c r="C89" s="8">
        <v>1.105553965827178</v>
      </c>
      <c r="D89" s="8">
        <v>0.30163138039136822</v>
      </c>
      <c r="E89" s="8">
        <v>1.4591154536524551E-2</v>
      </c>
      <c r="F89" s="8">
        <v>1.421776500755072</v>
      </c>
      <c r="G89" s="8">
        <v>0.39505787874983578</v>
      </c>
      <c r="H89" s="8">
        <v>0.29431624023109138</v>
      </c>
      <c r="I89" s="8">
        <v>-5.5966539088200921E-3</v>
      </c>
      <c r="J89" s="8">
        <v>0.6837774650721069</v>
      </c>
      <c r="K89" s="9">
        <v>2.1055539658271787</v>
      </c>
      <c r="M89" s="10"/>
    </row>
    <row r="90" spans="1:13" x14ac:dyDescent="0.45">
      <c r="A90" s="6" t="s">
        <v>212</v>
      </c>
      <c r="B90" s="7" t="s">
        <v>213</v>
      </c>
      <c r="C90" s="8">
        <v>0.8143552979059927</v>
      </c>
      <c r="D90" s="8">
        <v>0.3053415072544442</v>
      </c>
      <c r="E90" s="8">
        <v>1.1252929616785449E-2</v>
      </c>
      <c r="F90" s="8">
        <v>1.1309497347772219</v>
      </c>
      <c r="G90" s="8">
        <v>0.44393529282601801</v>
      </c>
      <c r="H90" s="8">
        <v>0.23158658953326011</v>
      </c>
      <c r="I90" s="8">
        <v>7.8836807694924304E-3</v>
      </c>
      <c r="J90" s="8">
        <v>0.68340556312877077</v>
      </c>
      <c r="K90" s="9">
        <v>1.8143552979059938</v>
      </c>
      <c r="M90" s="10"/>
    </row>
    <row r="91" spans="1:13" x14ac:dyDescent="0.45">
      <c r="A91" s="6" t="s">
        <v>174</v>
      </c>
      <c r="B91" s="7" t="s">
        <v>175</v>
      </c>
      <c r="C91" s="8">
        <v>0.61595627310675449</v>
      </c>
      <c r="D91" s="8">
        <v>0.30440486879408662</v>
      </c>
      <c r="E91" s="8">
        <v>1.244180272922254E-2</v>
      </c>
      <c r="F91" s="8">
        <v>0.93280294463006364</v>
      </c>
      <c r="G91" s="8">
        <v>0.47272679048459559</v>
      </c>
      <c r="H91" s="8">
        <v>0.21136870016519929</v>
      </c>
      <c r="I91" s="8">
        <v>-9.4216217310344463E-4</v>
      </c>
      <c r="J91" s="8">
        <v>0.6831533284766913</v>
      </c>
      <c r="K91" s="9">
        <v>1.6159562731067549</v>
      </c>
      <c r="M91" s="10"/>
    </row>
    <row r="92" spans="1:13" x14ac:dyDescent="0.45">
      <c r="A92" s="6" t="s">
        <v>184</v>
      </c>
      <c r="B92" s="7" t="s">
        <v>185</v>
      </c>
      <c r="C92" s="8">
        <v>0.55749055440577422</v>
      </c>
      <c r="D92" s="8">
        <v>0.31232738304268193</v>
      </c>
      <c r="E92" s="8">
        <v>1.136653789519625E-2</v>
      </c>
      <c r="F92" s="8">
        <v>0.88118447534365207</v>
      </c>
      <c r="G92" s="8">
        <v>0.37939975375156831</v>
      </c>
      <c r="H92" s="8">
        <v>0.30398189379793827</v>
      </c>
      <c r="I92" s="8">
        <v>-7.0755684873849232E-3</v>
      </c>
      <c r="J92" s="8">
        <v>0.67630607906212203</v>
      </c>
      <c r="K92" s="9">
        <v>1.5574905544057744</v>
      </c>
      <c r="M92" s="10"/>
    </row>
    <row r="93" spans="1:13" x14ac:dyDescent="0.45">
      <c r="A93" s="6" t="s">
        <v>206</v>
      </c>
      <c r="B93" s="7" t="s">
        <v>207</v>
      </c>
      <c r="C93" s="8">
        <v>0.57810444637138636</v>
      </c>
      <c r="D93" s="8">
        <v>0.32134931305136422</v>
      </c>
      <c r="E93" s="8">
        <v>8.8257302637173816E-3</v>
      </c>
      <c r="F93" s="8">
        <v>0.90827948968646799</v>
      </c>
      <c r="G93" s="8">
        <v>0.41309319016224022</v>
      </c>
      <c r="H93" s="8">
        <v>0.24646536363873359</v>
      </c>
      <c r="I93" s="8">
        <v>1.026640288394487E-2</v>
      </c>
      <c r="J93" s="8">
        <v>0.66982495668491859</v>
      </c>
      <c r="K93" s="9">
        <v>1.5781044463713865</v>
      </c>
      <c r="M93" s="10"/>
    </row>
    <row r="94" spans="1:13" x14ac:dyDescent="0.45">
      <c r="A94" s="6" t="s">
        <v>204</v>
      </c>
      <c r="B94" s="7" t="s">
        <v>205</v>
      </c>
      <c r="C94" s="8">
        <v>0.55899889948595805</v>
      </c>
      <c r="D94" s="8">
        <v>0.32980915584845538</v>
      </c>
      <c r="E94" s="8">
        <v>8.7397927422776973E-3</v>
      </c>
      <c r="F94" s="8">
        <v>0.89754784807669119</v>
      </c>
      <c r="G94" s="8">
        <v>0.46559882748472459</v>
      </c>
      <c r="H94" s="8">
        <v>0.18680277080542729</v>
      </c>
      <c r="I94" s="8">
        <v>9.0494531191149981E-3</v>
      </c>
      <c r="J94" s="8">
        <v>0.66145105140926663</v>
      </c>
      <c r="K94" s="9">
        <v>1.5589988994859578</v>
      </c>
      <c r="M94" s="10"/>
    </row>
    <row r="95" spans="1:13" x14ac:dyDescent="0.45">
      <c r="A95" s="6" t="s">
        <v>166</v>
      </c>
      <c r="B95" s="7" t="s">
        <v>167</v>
      </c>
      <c r="C95" s="8">
        <v>0.50247600920526281</v>
      </c>
      <c r="D95" s="8">
        <v>0.34316411619594039</v>
      </c>
      <c r="E95" s="8">
        <v>1.0170284683677901E-2</v>
      </c>
      <c r="F95" s="8">
        <v>0.85581041008488035</v>
      </c>
      <c r="G95" s="8">
        <v>0.39146374680027107</v>
      </c>
      <c r="H95" s="8">
        <v>0.24735716544812369</v>
      </c>
      <c r="I95" s="8">
        <v>7.8446868719867606E-3</v>
      </c>
      <c r="J95" s="8">
        <v>0.64666559912038191</v>
      </c>
      <c r="K95" s="9">
        <v>1.5024760092052634</v>
      </c>
      <c r="M95" s="10"/>
    </row>
    <row r="96" spans="1:13" x14ac:dyDescent="0.45">
      <c r="A96" s="6" t="s">
        <v>214</v>
      </c>
      <c r="B96" s="7" t="s">
        <v>215</v>
      </c>
      <c r="C96" s="8">
        <v>0.63752332505043741</v>
      </c>
      <c r="D96" s="8">
        <v>0.34052715823746221</v>
      </c>
      <c r="E96" s="8">
        <v>1.3202480702268919E-2</v>
      </c>
      <c r="F96" s="8">
        <v>0.99125296399016827</v>
      </c>
      <c r="G96" s="8">
        <v>0.4119384802687161</v>
      </c>
      <c r="H96" s="8">
        <v>0.23861908976501131</v>
      </c>
      <c r="I96" s="8">
        <v>-4.2872089734583788E-3</v>
      </c>
      <c r="J96" s="8">
        <v>0.64627036106026881</v>
      </c>
      <c r="K96" s="9">
        <v>1.6375233250504369</v>
      </c>
      <c r="M96" s="10"/>
    </row>
    <row r="97" spans="1:13" x14ac:dyDescent="0.45">
      <c r="A97" s="6" t="s">
        <v>194</v>
      </c>
      <c r="B97" s="7" t="s">
        <v>195</v>
      </c>
      <c r="C97" s="8">
        <v>0.69204082846057824</v>
      </c>
      <c r="D97" s="8">
        <v>0.34090188754262041</v>
      </c>
      <c r="E97" s="8">
        <v>1.8800755933569339E-2</v>
      </c>
      <c r="F97" s="8">
        <v>1.051743471936768</v>
      </c>
      <c r="G97" s="8">
        <v>0.39906206802047017</v>
      </c>
      <c r="H97" s="8">
        <v>0.22167741888390929</v>
      </c>
      <c r="I97" s="8">
        <v>1.955786961943122E-2</v>
      </c>
      <c r="J97" s="8">
        <v>0.64029735652381059</v>
      </c>
      <c r="K97" s="9">
        <v>1.6920408284605799</v>
      </c>
      <c r="M97" s="10"/>
    </row>
    <row r="98" spans="1:13" x14ac:dyDescent="0.45">
      <c r="A98" s="6" t="s">
        <v>188</v>
      </c>
      <c r="B98" s="7" t="s">
        <v>189</v>
      </c>
      <c r="C98" s="8">
        <v>0.60332640101696777</v>
      </c>
      <c r="D98" s="8">
        <v>0.37862637664894261</v>
      </c>
      <c r="E98" s="8">
        <v>1.2404737065995401E-2</v>
      </c>
      <c r="F98" s="8">
        <v>0.9943575147319057</v>
      </c>
      <c r="G98" s="8">
        <v>0.4250691149057112</v>
      </c>
      <c r="H98" s="8">
        <v>0.17258225014914599</v>
      </c>
      <c r="I98" s="8">
        <v>1.131752123020434E-2</v>
      </c>
      <c r="J98" s="8">
        <v>0.60896888628506152</v>
      </c>
      <c r="K98" s="9">
        <v>1.6033264010169666</v>
      </c>
      <c r="M98" s="10"/>
    </row>
    <row r="99" spans="1:13" x14ac:dyDescent="0.45">
      <c r="A99" s="6" t="s">
        <v>178</v>
      </c>
      <c r="B99" s="7" t="s">
        <v>179</v>
      </c>
      <c r="C99" s="8">
        <v>0.56773339139016565</v>
      </c>
      <c r="D99" s="8">
        <v>0.3824019295112529</v>
      </c>
      <c r="E99" s="8">
        <v>1.2307027599086331E-2</v>
      </c>
      <c r="F99" s="8">
        <v>0.96244234850050514</v>
      </c>
      <c r="G99" s="8">
        <v>0.33663668506788502</v>
      </c>
      <c r="H99" s="8">
        <v>0.26563099306348992</v>
      </c>
      <c r="I99" s="8">
        <v>3.0233647582864928E-3</v>
      </c>
      <c r="J99" s="8">
        <v>0.60529104288966107</v>
      </c>
      <c r="K99" s="9">
        <v>1.5677333913901665</v>
      </c>
      <c r="M99" s="10"/>
    </row>
    <row r="100" spans="1:13" x14ac:dyDescent="0.45">
      <c r="A100" s="6" t="s">
        <v>144</v>
      </c>
      <c r="B100" s="7" t="s">
        <v>145</v>
      </c>
      <c r="C100" s="8">
        <v>0.94455415339961601</v>
      </c>
      <c r="D100" s="8">
        <v>0.38276242188510168</v>
      </c>
      <c r="E100" s="8">
        <v>1.490218554875343E-2</v>
      </c>
      <c r="F100" s="8">
        <v>1.342218760833471</v>
      </c>
      <c r="G100" s="8">
        <v>0.37914244541905701</v>
      </c>
      <c r="H100" s="8">
        <v>0.24722387445989991</v>
      </c>
      <c r="I100" s="8">
        <v>-2.4030927312811552E-2</v>
      </c>
      <c r="J100" s="8">
        <v>0.60233539256614521</v>
      </c>
      <c r="K100" s="9">
        <v>1.9445541533996171</v>
      </c>
      <c r="M100" s="10"/>
    </row>
    <row r="101" spans="1:13" s="15" customFormat="1" x14ac:dyDescent="0.45">
      <c r="A101" s="6" t="s">
        <v>180</v>
      </c>
      <c r="B101" s="7" t="s">
        <v>181</v>
      </c>
      <c r="C101" s="8">
        <v>0.77323863143224891</v>
      </c>
      <c r="D101" s="8">
        <v>0.40510488217127189</v>
      </c>
      <c r="E101" s="8">
        <v>1.751025053951908E-2</v>
      </c>
      <c r="F101" s="8">
        <v>1.1958537641430409</v>
      </c>
      <c r="G101" s="8">
        <v>0.31995910375900449</v>
      </c>
      <c r="H101" s="8">
        <v>0.25011885186385552</v>
      </c>
      <c r="I101" s="8">
        <v>7.3069116663488738E-3</v>
      </c>
      <c r="J101" s="8">
        <v>0.57738486728920901</v>
      </c>
      <c r="K101" s="9">
        <v>1.7732386314322506</v>
      </c>
      <c r="M101" s="16"/>
    </row>
    <row r="102" spans="1:13" x14ac:dyDescent="0.45">
      <c r="A102" s="6" t="s">
        <v>208</v>
      </c>
      <c r="B102" s="7" t="s">
        <v>209</v>
      </c>
      <c r="C102" s="8">
        <v>0.65304879748258637</v>
      </c>
      <c r="D102" s="8">
        <v>0.42209976212999412</v>
      </c>
      <c r="E102" s="8">
        <v>1.0263955195379249E-2</v>
      </c>
      <c r="F102" s="8">
        <v>1.085412514807959</v>
      </c>
      <c r="G102" s="8">
        <v>0.35726684179389551</v>
      </c>
      <c r="H102" s="8">
        <v>0.20089275915920721</v>
      </c>
      <c r="I102" s="8">
        <v>9.4766817215240426E-3</v>
      </c>
      <c r="J102" s="8">
        <v>0.56763628267462674</v>
      </c>
      <c r="K102" s="9">
        <v>1.6530487974825869</v>
      </c>
      <c r="M102" s="10"/>
    </row>
    <row r="103" spans="1:13" x14ac:dyDescent="0.45">
      <c r="A103" s="6" t="s">
        <v>182</v>
      </c>
      <c r="B103" s="7" t="s">
        <v>183</v>
      </c>
      <c r="C103" s="8">
        <v>0.73998028534358995</v>
      </c>
      <c r="D103" s="8">
        <v>0.4133902045142539</v>
      </c>
      <c r="E103" s="8">
        <v>2.9660541936703901E-2</v>
      </c>
      <c r="F103" s="8">
        <v>1.183031031794548</v>
      </c>
      <c r="G103" s="8">
        <v>0.31727310084726917</v>
      </c>
      <c r="H103" s="8">
        <v>0.23128209969073571</v>
      </c>
      <c r="I103" s="8">
        <v>8.3940530110374351E-3</v>
      </c>
      <c r="J103" s="8">
        <v>0.55694925354904246</v>
      </c>
      <c r="K103" s="9">
        <v>1.7399802853435911</v>
      </c>
      <c r="M103" s="10"/>
    </row>
    <row r="104" spans="1:13" x14ac:dyDescent="0.45">
      <c r="A104" s="6" t="s">
        <v>252</v>
      </c>
      <c r="B104" s="7" t="s">
        <v>253</v>
      </c>
      <c r="C104" s="8">
        <v>0.76331267496379829</v>
      </c>
      <c r="D104" s="8">
        <v>0.34563934060961499</v>
      </c>
      <c r="E104" s="8">
        <v>0.1040564560704603</v>
      </c>
      <c r="F104" s="8">
        <v>1.213008471643874</v>
      </c>
      <c r="G104" s="8">
        <v>0.35531619209686027</v>
      </c>
      <c r="H104" s="8">
        <v>0.19043278526412091</v>
      </c>
      <c r="I104" s="8">
        <v>4.5552259589432221E-3</v>
      </c>
      <c r="J104" s="8">
        <v>0.55030420331992458</v>
      </c>
      <c r="K104" s="9">
        <v>1.763312674963798</v>
      </c>
      <c r="M104" s="10"/>
    </row>
    <row r="105" spans="1:13" x14ac:dyDescent="0.45">
      <c r="A105" s="6" t="s">
        <v>196</v>
      </c>
      <c r="B105" s="7" t="s">
        <v>197</v>
      </c>
      <c r="C105" s="8">
        <v>0.387333787267789</v>
      </c>
      <c r="D105" s="8">
        <v>0.4656249152465855</v>
      </c>
      <c r="E105" s="8">
        <v>8.0221410088785281E-3</v>
      </c>
      <c r="F105" s="8">
        <v>0.86098084352325299</v>
      </c>
      <c r="G105" s="8">
        <v>0.31610455090999973</v>
      </c>
      <c r="H105" s="8">
        <v>0.20540795992921551</v>
      </c>
      <c r="I105" s="8">
        <v>4.8404329053209297E-3</v>
      </c>
      <c r="J105" s="8">
        <v>0.52635294374453601</v>
      </c>
      <c r="K105" s="9">
        <v>1.3873337872677896</v>
      </c>
      <c r="M105" s="10"/>
    </row>
    <row r="106" spans="1:13" x14ac:dyDescent="0.45">
      <c r="A106" s="6" t="s">
        <v>172</v>
      </c>
      <c r="B106" s="7" t="s">
        <v>173</v>
      </c>
      <c r="C106" s="8">
        <v>0.1940522574515961</v>
      </c>
      <c r="D106" s="8">
        <v>0.77281371225804352</v>
      </c>
      <c r="E106" s="8">
        <v>3.0916971173663731E-2</v>
      </c>
      <c r="F106" s="8">
        <v>0.99778294088330355</v>
      </c>
      <c r="G106" s="8">
        <v>6.6549019815324365E-2</v>
      </c>
      <c r="H106" s="8">
        <v>0.1241941339438566</v>
      </c>
      <c r="I106" s="8">
        <v>5.5261628091117102E-3</v>
      </c>
      <c r="J106" s="8">
        <v>0.19626931656829261</v>
      </c>
      <c r="K106" s="9">
        <v>1.1940522574515962</v>
      </c>
      <c r="M106" s="10"/>
    </row>
  </sheetData>
  <autoFilter ref="A1:K106" xr:uid="{81B900A0-7829-427C-ADF7-D87A8B52FAAD}">
    <sortState xmlns:xlrd2="http://schemas.microsoft.com/office/spreadsheetml/2017/richdata2" ref="A2:K106">
      <sortCondition descending="1" ref="J1:J106"/>
    </sortState>
  </autoFilter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9768-A7BD-4703-8CEA-525F55D8188C}">
  <dimension ref="A1:EA127"/>
  <sheetViews>
    <sheetView zoomScaleNormal="100" workbookViewId="0">
      <pane xSplit="2" ySplit="6" topLeftCell="C7" activePane="bottomRight" state="frozen"/>
      <selection activeCell="O39" sqref="O39"/>
      <selection pane="topRight" activeCell="O39" sqref="O39"/>
      <selection pane="bottomLeft" activeCell="O39" sqref="O39"/>
      <selection pane="bottomRight"/>
    </sheetView>
  </sheetViews>
  <sheetFormatPr defaultRowHeight="14.25" x14ac:dyDescent="0.45"/>
  <cols>
    <col min="1" max="1" width="13.265625" customWidth="1"/>
    <col min="2" max="2" width="55" customWidth="1"/>
    <col min="3" max="123" width="18.796875" customWidth="1"/>
  </cols>
  <sheetData>
    <row r="1" spans="1:131" x14ac:dyDescent="0.45">
      <c r="A1" s="28" t="s">
        <v>340</v>
      </c>
      <c r="B1" s="29"/>
    </row>
    <row r="2" spans="1:131" x14ac:dyDescent="0.45">
      <c r="A2" s="28" t="s">
        <v>341</v>
      </c>
      <c r="B2" s="29"/>
    </row>
    <row r="3" spans="1:131" ht="16.899999999999999" x14ac:dyDescent="0.65">
      <c r="A3" s="30" t="s">
        <v>342</v>
      </c>
      <c r="B3" s="29"/>
      <c r="DO3">
        <f>COLUMN()</f>
        <v>119</v>
      </c>
    </row>
    <row r="4" spans="1:131" x14ac:dyDescent="0.45">
      <c r="B4" s="31" t="s">
        <v>1</v>
      </c>
      <c r="C4" s="6" t="s">
        <v>126</v>
      </c>
      <c r="D4" s="6" t="s">
        <v>128</v>
      </c>
      <c r="E4" s="6" t="s">
        <v>130</v>
      </c>
      <c r="F4" s="6" t="s">
        <v>132</v>
      </c>
      <c r="G4" s="6" t="s">
        <v>134</v>
      </c>
      <c r="H4" s="6" t="s">
        <v>136</v>
      </c>
      <c r="I4" s="6" t="s">
        <v>138</v>
      </c>
      <c r="J4" s="6" t="s">
        <v>140</v>
      </c>
      <c r="K4" s="6" t="s">
        <v>142</v>
      </c>
      <c r="L4" s="6" t="s">
        <v>144</v>
      </c>
      <c r="M4" s="6" t="s">
        <v>146</v>
      </c>
      <c r="N4" s="6" t="s">
        <v>148</v>
      </c>
      <c r="O4" s="6" t="s">
        <v>150</v>
      </c>
      <c r="P4" s="6" t="s">
        <v>152</v>
      </c>
      <c r="Q4" s="6" t="s">
        <v>154</v>
      </c>
      <c r="R4" s="6" t="s">
        <v>156</v>
      </c>
      <c r="S4" s="6" t="s">
        <v>158</v>
      </c>
      <c r="T4" s="6" t="s">
        <v>160</v>
      </c>
      <c r="U4" s="6" t="s">
        <v>162</v>
      </c>
      <c r="V4" s="6" t="s">
        <v>164</v>
      </c>
      <c r="W4" s="6" t="s">
        <v>166</v>
      </c>
      <c r="X4" s="6" t="s">
        <v>168</v>
      </c>
      <c r="Y4" s="6" t="s">
        <v>170</v>
      </c>
      <c r="Z4" s="6" t="s">
        <v>172</v>
      </c>
      <c r="AA4" s="6" t="s">
        <v>174</v>
      </c>
      <c r="AB4" s="6" t="s">
        <v>176</v>
      </c>
      <c r="AC4" s="6" t="s">
        <v>178</v>
      </c>
      <c r="AD4" s="6" t="s">
        <v>180</v>
      </c>
      <c r="AE4" s="6" t="s">
        <v>182</v>
      </c>
      <c r="AF4" s="6" t="s">
        <v>184</v>
      </c>
      <c r="AG4" s="6" t="s">
        <v>186</v>
      </c>
      <c r="AH4" s="6" t="s">
        <v>188</v>
      </c>
      <c r="AI4" s="6" t="s">
        <v>190</v>
      </c>
      <c r="AJ4" s="6" t="s">
        <v>192</v>
      </c>
      <c r="AK4" s="6" t="s">
        <v>194</v>
      </c>
      <c r="AL4" s="6" t="s">
        <v>196</v>
      </c>
      <c r="AM4" s="6" t="s">
        <v>198</v>
      </c>
      <c r="AN4" s="6" t="s">
        <v>200</v>
      </c>
      <c r="AO4" s="6" t="s">
        <v>202</v>
      </c>
      <c r="AP4" s="6" t="s">
        <v>204</v>
      </c>
      <c r="AQ4" s="6" t="s">
        <v>206</v>
      </c>
      <c r="AR4" s="6" t="s">
        <v>208</v>
      </c>
      <c r="AS4" s="6" t="s">
        <v>210</v>
      </c>
      <c r="AT4" s="6" t="s">
        <v>212</v>
      </c>
      <c r="AU4" s="6" t="s">
        <v>214</v>
      </c>
      <c r="AV4" s="6" t="s">
        <v>216</v>
      </c>
      <c r="AW4" s="6" t="s">
        <v>218</v>
      </c>
      <c r="AX4" s="6" t="s">
        <v>220</v>
      </c>
      <c r="AY4" s="6" t="s">
        <v>222</v>
      </c>
      <c r="AZ4" s="6" t="s">
        <v>224</v>
      </c>
      <c r="BA4" s="6" t="s">
        <v>226</v>
      </c>
      <c r="BB4" s="6" t="s">
        <v>228</v>
      </c>
      <c r="BC4" s="6" t="s">
        <v>230</v>
      </c>
      <c r="BD4" s="6" t="s">
        <v>232</v>
      </c>
      <c r="BE4" s="6" t="s">
        <v>234</v>
      </c>
      <c r="BF4" s="6" t="s">
        <v>236</v>
      </c>
      <c r="BG4" s="6" t="s">
        <v>238</v>
      </c>
      <c r="BH4" s="6" t="s">
        <v>240</v>
      </c>
      <c r="BI4" s="6" t="s">
        <v>242</v>
      </c>
      <c r="BJ4" s="6" t="s">
        <v>244</v>
      </c>
      <c r="BK4" s="6" t="s">
        <v>246</v>
      </c>
      <c r="BL4" s="6" t="s">
        <v>248</v>
      </c>
      <c r="BM4" s="6" t="s">
        <v>250</v>
      </c>
      <c r="BN4" s="6" t="s">
        <v>252</v>
      </c>
      <c r="BO4" s="6" t="s">
        <v>254</v>
      </c>
      <c r="BP4" s="6" t="s">
        <v>256</v>
      </c>
      <c r="BQ4" s="6" t="s">
        <v>258</v>
      </c>
      <c r="BR4" s="6" t="s">
        <v>260</v>
      </c>
      <c r="BS4" s="6" t="s">
        <v>262</v>
      </c>
      <c r="BT4" s="6" t="s">
        <v>264</v>
      </c>
      <c r="BU4" s="6" t="s">
        <v>266</v>
      </c>
      <c r="BV4" s="6" t="s">
        <v>268</v>
      </c>
      <c r="BW4" s="6" t="s">
        <v>270</v>
      </c>
      <c r="BX4" s="6" t="s">
        <v>272</v>
      </c>
      <c r="BY4" s="6" t="s">
        <v>274</v>
      </c>
      <c r="BZ4" s="6" t="s">
        <v>276</v>
      </c>
      <c r="CA4" s="6" t="s">
        <v>278</v>
      </c>
      <c r="CB4" s="6" t="s">
        <v>280</v>
      </c>
      <c r="CC4" s="6" t="s">
        <v>282</v>
      </c>
      <c r="CD4" s="6" t="s">
        <v>284</v>
      </c>
      <c r="CE4" s="6" t="s">
        <v>286</v>
      </c>
      <c r="CF4" s="6" t="s">
        <v>288</v>
      </c>
      <c r="CG4" s="6" t="s">
        <v>290</v>
      </c>
      <c r="CH4" s="6" t="s">
        <v>292</v>
      </c>
      <c r="CI4" s="6" t="s">
        <v>294</v>
      </c>
      <c r="CJ4" s="6" t="s">
        <v>296</v>
      </c>
      <c r="CK4" s="6" t="s">
        <v>298</v>
      </c>
      <c r="CL4" s="6" t="s">
        <v>300</v>
      </c>
      <c r="CM4" s="6" t="s">
        <v>302</v>
      </c>
      <c r="CN4" s="6" t="s">
        <v>304</v>
      </c>
      <c r="CO4" s="6" t="s">
        <v>306</v>
      </c>
      <c r="CP4" s="6" t="s">
        <v>308</v>
      </c>
      <c r="CQ4" s="6" t="s">
        <v>310</v>
      </c>
      <c r="CR4" s="6" t="s">
        <v>312</v>
      </c>
      <c r="CS4" s="6" t="s">
        <v>314</v>
      </c>
      <c r="CT4" s="6" t="s">
        <v>316</v>
      </c>
      <c r="CU4" s="6" t="s">
        <v>318</v>
      </c>
      <c r="CV4" s="6" t="s">
        <v>320</v>
      </c>
      <c r="CW4" s="6" t="s">
        <v>322</v>
      </c>
      <c r="CX4" s="6" t="s">
        <v>324</v>
      </c>
      <c r="CY4" s="6" t="s">
        <v>326</v>
      </c>
      <c r="CZ4" s="6" t="s">
        <v>328</v>
      </c>
      <c r="DA4" s="6" t="s">
        <v>330</v>
      </c>
      <c r="DB4" s="6" t="s">
        <v>332</v>
      </c>
      <c r="DC4" s="32" t="s">
        <v>334</v>
      </c>
      <c r="DD4" s="33" t="s">
        <v>343</v>
      </c>
      <c r="DE4" s="34" t="s">
        <v>344</v>
      </c>
      <c r="DF4" s="23" t="s">
        <v>345</v>
      </c>
      <c r="DG4" s="23" t="s">
        <v>346</v>
      </c>
      <c r="DH4" s="23" t="s">
        <v>347</v>
      </c>
      <c r="DI4" s="23" t="s">
        <v>348</v>
      </c>
      <c r="DJ4" s="23" t="s">
        <v>349</v>
      </c>
      <c r="DK4" s="23" t="s">
        <v>350</v>
      </c>
      <c r="DL4" s="23" t="s">
        <v>351</v>
      </c>
      <c r="DM4" s="23" t="s">
        <v>352</v>
      </c>
      <c r="DN4" s="23" t="s">
        <v>353</v>
      </c>
      <c r="DO4" s="35" t="s">
        <v>354</v>
      </c>
      <c r="DP4" s="36"/>
      <c r="DQ4" s="36"/>
      <c r="DR4" s="36"/>
      <c r="DS4" s="36"/>
      <c r="DY4" s="24"/>
      <c r="DZ4" s="24"/>
      <c r="EA4" s="24"/>
    </row>
    <row r="5" spans="1:131" ht="98.2" customHeight="1" x14ac:dyDescent="0.45">
      <c r="B5" s="31" t="s">
        <v>116</v>
      </c>
      <c r="C5" s="37" t="s">
        <v>127</v>
      </c>
      <c r="D5" s="37" t="s">
        <v>129</v>
      </c>
      <c r="E5" s="37" t="s">
        <v>131</v>
      </c>
      <c r="F5" s="37" t="s">
        <v>133</v>
      </c>
      <c r="G5" s="37" t="s">
        <v>135</v>
      </c>
      <c r="H5" s="37" t="s">
        <v>137</v>
      </c>
      <c r="I5" s="37" t="s">
        <v>139</v>
      </c>
      <c r="J5" s="37" t="s">
        <v>141</v>
      </c>
      <c r="K5" s="37" t="s">
        <v>143</v>
      </c>
      <c r="L5" s="37" t="s">
        <v>145</v>
      </c>
      <c r="M5" s="37" t="s">
        <v>147</v>
      </c>
      <c r="N5" s="37" t="s">
        <v>149</v>
      </c>
      <c r="O5" s="37" t="s">
        <v>151</v>
      </c>
      <c r="P5" s="37" t="s">
        <v>153</v>
      </c>
      <c r="Q5" s="37" t="s">
        <v>155</v>
      </c>
      <c r="R5" s="37" t="s">
        <v>157</v>
      </c>
      <c r="S5" s="37" t="s">
        <v>159</v>
      </c>
      <c r="T5" s="37" t="s">
        <v>161</v>
      </c>
      <c r="U5" s="37" t="s">
        <v>163</v>
      </c>
      <c r="V5" s="37" t="s">
        <v>165</v>
      </c>
      <c r="W5" s="37" t="s">
        <v>167</v>
      </c>
      <c r="X5" s="37" t="s">
        <v>169</v>
      </c>
      <c r="Y5" s="37" t="s">
        <v>171</v>
      </c>
      <c r="Z5" s="37" t="s">
        <v>173</v>
      </c>
      <c r="AA5" s="37" t="s">
        <v>175</v>
      </c>
      <c r="AB5" s="37" t="s">
        <v>177</v>
      </c>
      <c r="AC5" s="37" t="s">
        <v>179</v>
      </c>
      <c r="AD5" s="37" t="s">
        <v>181</v>
      </c>
      <c r="AE5" s="37" t="s">
        <v>183</v>
      </c>
      <c r="AF5" s="37" t="s">
        <v>185</v>
      </c>
      <c r="AG5" s="37" t="s">
        <v>187</v>
      </c>
      <c r="AH5" s="37" t="s">
        <v>189</v>
      </c>
      <c r="AI5" s="37" t="s">
        <v>191</v>
      </c>
      <c r="AJ5" s="37" t="s">
        <v>193</v>
      </c>
      <c r="AK5" s="37" t="s">
        <v>195</v>
      </c>
      <c r="AL5" s="37" t="s">
        <v>197</v>
      </c>
      <c r="AM5" s="37" t="s">
        <v>199</v>
      </c>
      <c r="AN5" s="37" t="s">
        <v>201</v>
      </c>
      <c r="AO5" s="37" t="s">
        <v>203</v>
      </c>
      <c r="AP5" s="37" t="s">
        <v>205</v>
      </c>
      <c r="AQ5" s="37" t="s">
        <v>207</v>
      </c>
      <c r="AR5" s="37" t="s">
        <v>209</v>
      </c>
      <c r="AS5" s="37" t="s">
        <v>211</v>
      </c>
      <c r="AT5" s="37" t="s">
        <v>213</v>
      </c>
      <c r="AU5" s="37" t="s">
        <v>215</v>
      </c>
      <c r="AV5" s="37" t="s">
        <v>217</v>
      </c>
      <c r="AW5" s="37" t="s">
        <v>219</v>
      </c>
      <c r="AX5" s="37" t="s">
        <v>221</v>
      </c>
      <c r="AY5" s="37" t="s">
        <v>223</v>
      </c>
      <c r="AZ5" s="37" t="s">
        <v>225</v>
      </c>
      <c r="BA5" s="37" t="s">
        <v>227</v>
      </c>
      <c r="BB5" s="37" t="s">
        <v>229</v>
      </c>
      <c r="BC5" s="37" t="s">
        <v>231</v>
      </c>
      <c r="BD5" s="37" t="s">
        <v>233</v>
      </c>
      <c r="BE5" s="37" t="s">
        <v>235</v>
      </c>
      <c r="BF5" s="37" t="s">
        <v>237</v>
      </c>
      <c r="BG5" s="37" t="s">
        <v>239</v>
      </c>
      <c r="BH5" s="37" t="s">
        <v>241</v>
      </c>
      <c r="BI5" s="37" t="s">
        <v>243</v>
      </c>
      <c r="BJ5" s="37" t="s">
        <v>245</v>
      </c>
      <c r="BK5" s="37" t="s">
        <v>247</v>
      </c>
      <c r="BL5" s="37" t="s">
        <v>249</v>
      </c>
      <c r="BM5" s="37" t="s">
        <v>251</v>
      </c>
      <c r="BN5" s="37" t="s">
        <v>253</v>
      </c>
      <c r="BO5" s="37" t="s">
        <v>255</v>
      </c>
      <c r="BP5" s="37" t="s">
        <v>257</v>
      </c>
      <c r="BQ5" s="37" t="s">
        <v>259</v>
      </c>
      <c r="BR5" s="37" t="s">
        <v>261</v>
      </c>
      <c r="BS5" s="37" t="s">
        <v>263</v>
      </c>
      <c r="BT5" s="37" t="s">
        <v>265</v>
      </c>
      <c r="BU5" s="37" t="s">
        <v>267</v>
      </c>
      <c r="BV5" s="37" t="s">
        <v>269</v>
      </c>
      <c r="BW5" s="37" t="s">
        <v>271</v>
      </c>
      <c r="BX5" s="37" t="s">
        <v>273</v>
      </c>
      <c r="BY5" s="37" t="s">
        <v>275</v>
      </c>
      <c r="BZ5" s="37" t="s">
        <v>277</v>
      </c>
      <c r="CA5" s="37" t="s">
        <v>279</v>
      </c>
      <c r="CB5" s="37" t="s">
        <v>281</v>
      </c>
      <c r="CC5" s="37" t="s">
        <v>283</v>
      </c>
      <c r="CD5" s="37" t="s">
        <v>285</v>
      </c>
      <c r="CE5" s="37" t="s">
        <v>287</v>
      </c>
      <c r="CF5" s="37" t="s">
        <v>289</v>
      </c>
      <c r="CG5" s="37" t="s">
        <v>291</v>
      </c>
      <c r="CH5" s="37" t="s">
        <v>293</v>
      </c>
      <c r="CI5" s="37" t="s">
        <v>295</v>
      </c>
      <c r="CJ5" s="37" t="s">
        <v>297</v>
      </c>
      <c r="CK5" s="37" t="s">
        <v>299</v>
      </c>
      <c r="CL5" s="37" t="s">
        <v>301</v>
      </c>
      <c r="CM5" s="37" t="s">
        <v>303</v>
      </c>
      <c r="CN5" s="37" t="s">
        <v>305</v>
      </c>
      <c r="CO5" s="37" t="s">
        <v>307</v>
      </c>
      <c r="CP5" s="37" t="s">
        <v>309</v>
      </c>
      <c r="CQ5" s="37" t="s">
        <v>311</v>
      </c>
      <c r="CR5" s="37" t="s">
        <v>313</v>
      </c>
      <c r="CS5" s="37" t="s">
        <v>315</v>
      </c>
      <c r="CT5" s="37" t="s">
        <v>317</v>
      </c>
      <c r="CU5" s="37" t="s">
        <v>319</v>
      </c>
      <c r="CV5" s="37" t="s">
        <v>321</v>
      </c>
      <c r="CW5" s="37" t="s">
        <v>323</v>
      </c>
      <c r="CX5" s="37" t="s">
        <v>325</v>
      </c>
      <c r="CY5" s="37" t="s">
        <v>327</v>
      </c>
      <c r="CZ5" s="37" t="s">
        <v>329</v>
      </c>
      <c r="DA5" s="37" t="s">
        <v>331</v>
      </c>
      <c r="DB5" s="37" t="s">
        <v>333</v>
      </c>
      <c r="DC5" s="38" t="s">
        <v>335</v>
      </c>
      <c r="DD5" s="39" t="s">
        <v>355</v>
      </c>
      <c r="DE5" s="40" t="s">
        <v>356</v>
      </c>
      <c r="DF5" s="41" t="s">
        <v>357</v>
      </c>
      <c r="DG5" s="41" t="s">
        <v>358</v>
      </c>
      <c r="DH5" s="41" t="s">
        <v>359</v>
      </c>
      <c r="DI5" s="41" t="s">
        <v>360</v>
      </c>
      <c r="DJ5" s="41" t="s">
        <v>361</v>
      </c>
      <c r="DK5" s="41" t="s">
        <v>362</v>
      </c>
      <c r="DL5" s="41" t="s">
        <v>363</v>
      </c>
      <c r="DM5" s="41" t="s">
        <v>364</v>
      </c>
      <c r="DN5" s="41" t="s">
        <v>365</v>
      </c>
      <c r="DO5" s="42" t="s">
        <v>366</v>
      </c>
      <c r="DP5" s="43"/>
      <c r="DQ5" s="43"/>
      <c r="DR5" s="44"/>
      <c r="DS5" s="44"/>
      <c r="DT5" s="44"/>
      <c r="DU5" s="45"/>
      <c r="DV5" s="45"/>
      <c r="DW5" s="45"/>
      <c r="DX5" s="45"/>
    </row>
    <row r="6" spans="1:131" x14ac:dyDescent="0.45">
      <c r="A6" s="23" t="s">
        <v>1</v>
      </c>
      <c r="B6" s="46" t="s">
        <v>116</v>
      </c>
      <c r="DD6" s="39"/>
      <c r="DO6" s="42"/>
      <c r="DP6" s="43"/>
      <c r="DQ6" s="43"/>
      <c r="DR6" s="43"/>
      <c r="DS6" s="43"/>
    </row>
    <row r="7" spans="1:131" x14ac:dyDescent="0.45">
      <c r="A7" s="6" t="s">
        <v>126</v>
      </c>
      <c r="B7" t="s">
        <v>127</v>
      </c>
      <c r="C7" s="47">
        <v>4218.7710546773778</v>
      </c>
      <c r="D7" s="47">
        <v>0.7734864300626304</v>
      </c>
      <c r="E7" s="47">
        <v>0</v>
      </c>
      <c r="F7" s="47">
        <v>0</v>
      </c>
      <c r="G7" s="47">
        <v>4.9193576724410558E-4</v>
      </c>
      <c r="H7" s="47">
        <v>1.329944077275039</v>
      </c>
      <c r="I7" s="47">
        <v>0</v>
      </c>
      <c r="J7" s="47">
        <v>4112.8047495131987</v>
      </c>
      <c r="K7" s="47">
        <v>1087.596649295223</v>
      </c>
      <c r="L7" s="47">
        <v>95.720737547661841</v>
      </c>
      <c r="M7" s="47">
        <v>3145.0955532867661</v>
      </c>
      <c r="N7" s="47">
        <v>617.99732273596169</v>
      </c>
      <c r="O7" s="47">
        <v>19.629960612015449</v>
      </c>
      <c r="P7" s="47">
        <v>91.903281420802642</v>
      </c>
      <c r="Q7" s="47">
        <v>781.93824714999812</v>
      </c>
      <c r="R7" s="47">
        <v>242.80810840231501</v>
      </c>
      <c r="S7" s="47">
        <v>8.0562814740544617</v>
      </c>
      <c r="T7" s="47">
        <v>0.21210629269326009</v>
      </c>
      <c r="U7" s="47">
        <v>1.0565443176645151</v>
      </c>
      <c r="V7" s="47">
        <v>7.2387879450338142</v>
      </c>
      <c r="W7" s="47">
        <v>4.0899195990934993E-2</v>
      </c>
      <c r="X7" s="47">
        <v>1.6782504929170931E-2</v>
      </c>
      <c r="Y7" s="47">
        <v>7.3346632894247296E-2</v>
      </c>
      <c r="Z7" s="47">
        <v>7.0972238528886039E-2</v>
      </c>
      <c r="AA7" s="47">
        <v>0.92395504714761889</v>
      </c>
      <c r="AB7" s="47">
        <v>7.934072624816551</v>
      </c>
      <c r="AC7" s="47">
        <v>12.455680696102821</v>
      </c>
      <c r="AD7" s="47">
        <v>9.1958956237178632E-2</v>
      </c>
      <c r="AE7" s="47">
        <v>12.902381703758779</v>
      </c>
      <c r="AF7" s="47">
        <v>0.85947034010003132</v>
      </c>
      <c r="AG7" s="47">
        <v>152.04462627362301</v>
      </c>
      <c r="AH7" s="47">
        <v>2.0236691362845591</v>
      </c>
      <c r="AI7" s="47">
        <v>0.31662946157316779</v>
      </c>
      <c r="AJ7" s="47">
        <v>0.40373688111903272</v>
      </c>
      <c r="AK7" s="47">
        <v>3.6146653703459942E-4</v>
      </c>
      <c r="AL7" s="47">
        <v>3.3874956556253018E-3</v>
      </c>
      <c r="AM7" s="47">
        <v>1.053931180095752E-2</v>
      </c>
      <c r="AN7" s="47">
        <v>0.15585891893758971</v>
      </c>
      <c r="AO7" s="47">
        <v>0.53924050260377143</v>
      </c>
      <c r="AP7" s="47">
        <v>3.8071094108357267E-2</v>
      </c>
      <c r="AQ7" s="47">
        <v>0.28384323004785</v>
      </c>
      <c r="AR7" s="47">
        <v>0.2619832682871176</v>
      </c>
      <c r="AS7" s="47">
        <v>1.7644102016356591E-2</v>
      </c>
      <c r="AT7" s="47">
        <v>9.2403322091414429E-4</v>
      </c>
      <c r="AU7" s="47">
        <v>0.14296715413246411</v>
      </c>
      <c r="AV7" s="47">
        <v>4.4174017015718974</v>
      </c>
      <c r="AW7" s="47">
        <v>1.5386260308631221</v>
      </c>
      <c r="AX7" s="47">
        <v>0</v>
      </c>
      <c r="AY7" s="47">
        <v>6.2170209654595857E-3</v>
      </c>
      <c r="AZ7" s="47">
        <v>3.4102237498378671</v>
      </c>
      <c r="BA7" s="47">
        <v>61.747207580321273</v>
      </c>
      <c r="BB7" s="47">
        <v>11.62951399862248</v>
      </c>
      <c r="BC7" s="47">
        <v>0</v>
      </c>
      <c r="BD7" s="47">
        <v>0</v>
      </c>
      <c r="BE7" s="47">
        <v>0</v>
      </c>
      <c r="BF7" s="47">
        <v>0</v>
      </c>
      <c r="BG7" s="47">
        <v>80.408854821024207</v>
      </c>
      <c r="BH7" s="47">
        <v>1.2750637596120429E-2</v>
      </c>
      <c r="BI7" s="47">
        <v>184.76695214777911</v>
      </c>
      <c r="BJ7" s="47">
        <v>4.6422639467032241E-2</v>
      </c>
      <c r="BK7" s="47">
        <v>0</v>
      </c>
      <c r="BL7" s="47">
        <v>52.774412398567023</v>
      </c>
      <c r="BM7" s="47">
        <v>0</v>
      </c>
      <c r="BN7" s="47">
        <v>0</v>
      </c>
      <c r="BO7" s="47">
        <v>0</v>
      </c>
      <c r="BP7" s="47">
        <v>7.209152889434718E-5</v>
      </c>
      <c r="BQ7" s="47">
        <v>60.564275685807253</v>
      </c>
      <c r="BR7" s="47">
        <v>172.09496820417209</v>
      </c>
      <c r="BS7" s="47">
        <v>0.45503073130515997</v>
      </c>
      <c r="BT7" s="47">
        <v>0</v>
      </c>
      <c r="BU7" s="47">
        <v>0</v>
      </c>
      <c r="BV7" s="47">
        <v>30.929395454913639</v>
      </c>
      <c r="BW7" s="47">
        <v>1.595463066980382</v>
      </c>
      <c r="BX7" s="47">
        <v>2.5436089407865122E-3</v>
      </c>
      <c r="BY7" s="47">
        <v>0</v>
      </c>
      <c r="BZ7" s="47">
        <v>0</v>
      </c>
      <c r="CA7" s="47">
        <v>0</v>
      </c>
      <c r="CB7" s="47">
        <v>0</v>
      </c>
      <c r="CC7" s="47">
        <v>112.7252537038934</v>
      </c>
      <c r="CD7" s="47">
        <v>7.2656652463354696</v>
      </c>
      <c r="CE7" s="47">
        <v>6.1490236706974146</v>
      </c>
      <c r="CF7" s="47">
        <v>0</v>
      </c>
      <c r="CG7" s="47">
        <v>41.109754301226843</v>
      </c>
      <c r="CH7" s="47">
        <v>23.021987755137719</v>
      </c>
      <c r="CI7" s="47">
        <v>0</v>
      </c>
      <c r="CJ7" s="47">
        <v>20.47391314158817</v>
      </c>
      <c r="CK7" s="47">
        <v>0</v>
      </c>
      <c r="CL7" s="47">
        <v>38.270313004015406</v>
      </c>
      <c r="CM7" s="47">
        <v>4.2276422764227641E-2</v>
      </c>
      <c r="CN7" s="47">
        <v>0</v>
      </c>
      <c r="CO7" s="47">
        <v>6.1209983150800336E-4</v>
      </c>
      <c r="CP7" s="47">
        <v>0</v>
      </c>
      <c r="CQ7" s="47">
        <v>9.5834447281764064</v>
      </c>
      <c r="CR7" s="47">
        <v>0</v>
      </c>
      <c r="CS7" s="47">
        <v>3.4561889593559192</v>
      </c>
      <c r="CT7" s="47">
        <v>15.772096893491121</v>
      </c>
      <c r="CU7" s="47">
        <v>32.884045966595252</v>
      </c>
      <c r="CV7" s="47">
        <v>0</v>
      </c>
      <c r="CW7" s="47">
        <v>0</v>
      </c>
      <c r="CX7" s="47">
        <v>15.23414634146341</v>
      </c>
      <c r="CY7" s="47">
        <v>5.1982838696623839</v>
      </c>
      <c r="CZ7" s="47">
        <v>0</v>
      </c>
      <c r="DA7" s="47">
        <v>0.86635294117647066</v>
      </c>
      <c r="DB7" s="47">
        <v>0</v>
      </c>
      <c r="DC7" s="47">
        <v>0</v>
      </c>
      <c r="DD7" s="48">
        <v>15623</v>
      </c>
      <c r="DE7" s="47">
        <v>8222</v>
      </c>
      <c r="DF7" s="47">
        <v>0</v>
      </c>
      <c r="DG7" s="47">
        <v>8222</v>
      </c>
      <c r="DH7" s="47">
        <v>0</v>
      </c>
      <c r="DI7" s="47">
        <v>1399</v>
      </c>
      <c r="DJ7" s="47">
        <v>835</v>
      </c>
      <c r="DK7" s="47">
        <v>0</v>
      </c>
      <c r="DL7" s="47">
        <v>1406</v>
      </c>
      <c r="DM7" s="47">
        <v>499</v>
      </c>
      <c r="DN7" s="47">
        <v>161</v>
      </c>
      <c r="DO7" s="48">
        <v>28145</v>
      </c>
      <c r="DP7" s="47"/>
      <c r="DQ7" s="47"/>
      <c r="DR7" s="47"/>
      <c r="DS7" s="47"/>
    </row>
    <row r="8" spans="1:131" x14ac:dyDescent="0.45">
      <c r="A8" s="6" t="s">
        <v>128</v>
      </c>
      <c r="B8" t="s">
        <v>129</v>
      </c>
      <c r="C8" s="47">
        <v>85.651075408136819</v>
      </c>
      <c r="D8" s="47">
        <v>210.38830897703551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0.92272031556943646</v>
      </c>
      <c r="U8" s="47">
        <v>7.0418318244312675E-2</v>
      </c>
      <c r="V8" s="47">
        <v>7.0588235294117652E-4</v>
      </c>
      <c r="W8" s="47">
        <v>161.7351544635016</v>
      </c>
      <c r="X8" s="47">
        <v>149.41798265569329</v>
      </c>
      <c r="Y8" s="47">
        <v>1.4295442234702801E-3</v>
      </c>
      <c r="Z8" s="47">
        <v>0</v>
      </c>
      <c r="AA8" s="47">
        <v>2.1939304881013499E-4</v>
      </c>
      <c r="AB8" s="47">
        <v>0.18553565040932229</v>
      </c>
      <c r="AC8" s="47">
        <v>0</v>
      </c>
      <c r="AD8" s="47">
        <v>2.5561237256195829E-4</v>
      </c>
      <c r="AE8" s="47">
        <v>0.14632989431635951</v>
      </c>
      <c r="AF8" s="47">
        <v>0</v>
      </c>
      <c r="AG8" s="47">
        <v>0</v>
      </c>
      <c r="AH8" s="47">
        <v>1.8139296718898861E-3</v>
      </c>
      <c r="AI8" s="47">
        <v>2.0840627632723849E-5</v>
      </c>
      <c r="AJ8" s="47">
        <v>6.5760567133037018E-2</v>
      </c>
      <c r="AK8" s="47">
        <v>2.1660061286155941E-2</v>
      </c>
      <c r="AL8" s="47">
        <v>6.4443804402984639E-3</v>
      </c>
      <c r="AM8" s="47">
        <v>6.7228945116733902E-4</v>
      </c>
      <c r="AN8" s="47">
        <v>0.84423563439571914</v>
      </c>
      <c r="AO8" s="47">
        <v>0</v>
      </c>
      <c r="AP8" s="47">
        <v>5.2207947845997069E-2</v>
      </c>
      <c r="AQ8" s="47">
        <v>3.9217755651161812E-2</v>
      </c>
      <c r="AR8" s="47">
        <v>1.461349345437085E-2</v>
      </c>
      <c r="AS8" s="47">
        <v>6.9340567280909307E-4</v>
      </c>
      <c r="AT8" s="47">
        <v>1.466813348001467E-3</v>
      </c>
      <c r="AU8" s="47">
        <v>0</v>
      </c>
      <c r="AV8" s="47">
        <v>5.1458189621182022</v>
      </c>
      <c r="AW8" s="47">
        <v>2.8983935705635639</v>
      </c>
      <c r="AX8" s="47">
        <v>7.334066740007334E-4</v>
      </c>
      <c r="AY8" s="47">
        <v>1.011468467108149E-3</v>
      </c>
      <c r="AZ8" s="47">
        <v>0.23263952195722931</v>
      </c>
      <c r="BA8" s="47">
        <v>98.118850401606409</v>
      </c>
      <c r="BB8" s="47">
        <v>15.35529618473895</v>
      </c>
      <c r="BC8" s="47">
        <v>0</v>
      </c>
      <c r="BD8" s="47">
        <v>0</v>
      </c>
      <c r="BE8" s="47">
        <v>0</v>
      </c>
      <c r="BF8" s="47">
        <v>0</v>
      </c>
      <c r="BG8" s="47">
        <v>2.5776967723704298</v>
      </c>
      <c r="BH8" s="47">
        <v>1.084121909346857E-4</v>
      </c>
      <c r="BI8" s="47">
        <v>12.41469581609088</v>
      </c>
      <c r="BJ8" s="47">
        <v>0.142619902962041</v>
      </c>
      <c r="BK8" s="47">
        <v>0</v>
      </c>
      <c r="BL8" s="47">
        <v>1.4096039704762671</v>
      </c>
      <c r="BM8" s="47">
        <v>0</v>
      </c>
      <c r="BN8" s="47">
        <v>0</v>
      </c>
      <c r="BO8" s="47">
        <v>0</v>
      </c>
      <c r="BP8" s="47">
        <v>6.2669379285124825E-5</v>
      </c>
      <c r="BQ8" s="47">
        <v>12.72492174210862</v>
      </c>
      <c r="BR8" s="47">
        <v>5.754327681663101</v>
      </c>
      <c r="BS8" s="47">
        <v>1.6872293545833701E-2</v>
      </c>
      <c r="BT8" s="47">
        <v>0</v>
      </c>
      <c r="BU8" s="47">
        <v>0</v>
      </c>
      <c r="BV8" s="47">
        <v>3.3894427657517738</v>
      </c>
      <c r="BW8" s="47">
        <v>4.2022822556737033E-2</v>
      </c>
      <c r="BX8" s="47">
        <v>2.21118591209408E-3</v>
      </c>
      <c r="BY8" s="47">
        <v>0</v>
      </c>
      <c r="BZ8" s="47">
        <v>0</v>
      </c>
      <c r="CA8" s="47">
        <v>0</v>
      </c>
      <c r="CB8" s="47">
        <v>0</v>
      </c>
      <c r="CC8" s="47">
        <v>12.72555133493899</v>
      </c>
      <c r="CD8" s="47">
        <v>0.19030414496020759</v>
      </c>
      <c r="CE8" s="47">
        <v>0.1666094476949056</v>
      </c>
      <c r="CF8" s="47">
        <v>0</v>
      </c>
      <c r="CG8" s="47">
        <v>1.0183760386311309</v>
      </c>
      <c r="CH8" s="47">
        <v>0.59208469945309128</v>
      </c>
      <c r="CI8" s="47">
        <v>0.27830696595709442</v>
      </c>
      <c r="CJ8" s="47">
        <v>0.81679331135568678</v>
      </c>
      <c r="CK8" s="47">
        <v>0</v>
      </c>
      <c r="CL8" s="47">
        <v>9.1138748942168419</v>
      </c>
      <c r="CM8" s="47">
        <v>0</v>
      </c>
      <c r="CN8" s="47">
        <v>0</v>
      </c>
      <c r="CO8" s="47">
        <v>0</v>
      </c>
      <c r="CP8" s="47">
        <v>0</v>
      </c>
      <c r="CQ8" s="47">
        <v>0.55523401039566278</v>
      </c>
      <c r="CR8" s="47">
        <v>0</v>
      </c>
      <c r="CS8" s="47">
        <v>1.9155425783935931</v>
      </c>
      <c r="CT8" s="47">
        <v>0</v>
      </c>
      <c r="CU8" s="47">
        <v>0.88831249347430086</v>
      </c>
      <c r="CV8" s="47">
        <v>0</v>
      </c>
      <c r="CW8" s="47">
        <v>0</v>
      </c>
      <c r="CX8" s="47">
        <v>0</v>
      </c>
      <c r="CY8" s="47">
        <v>27.07638435433584</v>
      </c>
      <c r="CZ8" s="47">
        <v>0</v>
      </c>
      <c r="DA8" s="47">
        <v>0.86635294117647066</v>
      </c>
      <c r="DB8" s="47">
        <v>0</v>
      </c>
      <c r="DC8" s="47">
        <v>0</v>
      </c>
      <c r="DD8" s="48">
        <v>825.99999999999989</v>
      </c>
      <c r="DE8" s="47">
        <v>108</v>
      </c>
      <c r="DF8" s="47">
        <v>0</v>
      </c>
      <c r="DG8" s="47">
        <v>108</v>
      </c>
      <c r="DH8" s="47">
        <v>0</v>
      </c>
      <c r="DI8" s="47">
        <v>0</v>
      </c>
      <c r="DJ8" s="47">
        <v>526</v>
      </c>
      <c r="DK8" s="47">
        <v>0</v>
      </c>
      <c r="DL8" s="47">
        <v>12</v>
      </c>
      <c r="DM8" s="47">
        <v>5</v>
      </c>
      <c r="DN8" s="47">
        <v>5</v>
      </c>
      <c r="DO8" s="48">
        <v>1482</v>
      </c>
      <c r="DP8" s="47"/>
      <c r="DQ8" s="47"/>
      <c r="DR8" s="47"/>
      <c r="DS8" s="47"/>
    </row>
    <row r="9" spans="1:131" x14ac:dyDescent="0.45">
      <c r="A9" s="6" t="s">
        <v>130</v>
      </c>
      <c r="B9" t="s">
        <v>131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877.52493247454811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0.48670268024101387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0.77872428838562235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7">
        <v>0</v>
      </c>
      <c r="AO9" s="47">
        <v>0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0</v>
      </c>
      <c r="AW9" s="47">
        <v>0</v>
      </c>
      <c r="AX9" s="47">
        <v>0</v>
      </c>
      <c r="AY9" s="47">
        <v>0</v>
      </c>
      <c r="AZ9" s="47">
        <v>0</v>
      </c>
      <c r="BA9" s="47">
        <v>0</v>
      </c>
      <c r="BB9" s="47">
        <v>0</v>
      </c>
      <c r="BC9" s="47">
        <v>0</v>
      </c>
      <c r="BD9" s="47">
        <v>0</v>
      </c>
      <c r="BE9" s="47">
        <v>0</v>
      </c>
      <c r="BF9" s="47">
        <v>0</v>
      </c>
      <c r="BG9" s="47">
        <v>1.6348644368676211E-5</v>
      </c>
      <c r="BH9" s="47">
        <v>0.26365871964111831</v>
      </c>
      <c r="BI9" s="47">
        <v>16.93016875191471</v>
      </c>
      <c r="BJ9" s="47">
        <v>0.93104672260189181</v>
      </c>
      <c r="BK9" s="47">
        <v>0</v>
      </c>
      <c r="BL9" s="47">
        <v>12.167567006089341</v>
      </c>
      <c r="BM9" s="47">
        <v>0</v>
      </c>
      <c r="BN9" s="47">
        <v>0</v>
      </c>
      <c r="BO9" s="47">
        <v>0</v>
      </c>
      <c r="BP9" s="47">
        <v>4.1894824863484312E-11</v>
      </c>
      <c r="BQ9" s="47">
        <v>20.599664912858859</v>
      </c>
      <c r="BR9" s="47">
        <v>282.44442956147742</v>
      </c>
      <c r="BS9" s="47">
        <v>3.066343013995676E-10</v>
      </c>
      <c r="BT9" s="47">
        <v>0</v>
      </c>
      <c r="BU9" s="47">
        <v>0</v>
      </c>
      <c r="BV9" s="47">
        <v>2.7255349734084682</v>
      </c>
      <c r="BW9" s="47">
        <v>0</v>
      </c>
      <c r="BX9" s="47">
        <v>1.47831317747204E-9</v>
      </c>
      <c r="BY9" s="47">
        <v>0</v>
      </c>
      <c r="BZ9" s="47">
        <v>0</v>
      </c>
      <c r="CA9" s="47">
        <v>0</v>
      </c>
      <c r="CB9" s="47">
        <v>0</v>
      </c>
      <c r="CC9" s="47">
        <v>14.69053361511553</v>
      </c>
      <c r="CD9" s="47">
        <v>0.87606482451094525</v>
      </c>
      <c r="CE9" s="47">
        <v>0.77872428838562224</v>
      </c>
      <c r="CF9" s="47">
        <v>0</v>
      </c>
      <c r="CG9" s="47">
        <v>2.1414917930604611</v>
      </c>
      <c r="CH9" s="47">
        <v>1.948223416185269</v>
      </c>
      <c r="CI9" s="47">
        <v>0</v>
      </c>
      <c r="CJ9" s="47">
        <v>1.7521296488676501</v>
      </c>
      <c r="CK9" s="47">
        <v>0</v>
      </c>
      <c r="CL9" s="47">
        <v>1.849470184915853</v>
      </c>
      <c r="CM9" s="47">
        <v>0</v>
      </c>
      <c r="CN9" s="47">
        <v>0</v>
      </c>
      <c r="CO9" s="47">
        <v>0</v>
      </c>
      <c r="CP9" s="47">
        <v>0</v>
      </c>
      <c r="CQ9" s="47">
        <v>0.1109157873208826</v>
      </c>
      <c r="CR9" s="47">
        <v>0</v>
      </c>
      <c r="CS9" s="47">
        <v>0</v>
      </c>
      <c r="CT9" s="47">
        <v>0</v>
      </c>
      <c r="CU9" s="47">
        <v>0</v>
      </c>
      <c r="CV9" s="47">
        <v>0</v>
      </c>
      <c r="CW9" s="47">
        <v>0</v>
      </c>
      <c r="CX9" s="47">
        <v>0</v>
      </c>
      <c r="CY9" s="47">
        <v>0</v>
      </c>
      <c r="CZ9" s="47">
        <v>0</v>
      </c>
      <c r="DA9" s="47">
        <v>0</v>
      </c>
      <c r="DB9" s="47">
        <v>0</v>
      </c>
      <c r="DC9" s="47">
        <v>0</v>
      </c>
      <c r="DD9" s="48">
        <v>1239</v>
      </c>
      <c r="DE9" s="47">
        <v>0</v>
      </c>
      <c r="DF9" s="47">
        <v>0</v>
      </c>
      <c r="DG9" s="47">
        <v>0</v>
      </c>
      <c r="DH9" s="47">
        <v>0</v>
      </c>
      <c r="DI9" s="47">
        <v>0</v>
      </c>
      <c r="DJ9" s="47">
        <v>92</v>
      </c>
      <c r="DK9" s="47">
        <v>-7</v>
      </c>
      <c r="DL9" s="47">
        <v>454</v>
      </c>
      <c r="DM9" s="47">
        <v>261</v>
      </c>
      <c r="DN9" s="47">
        <v>45</v>
      </c>
      <c r="DO9" s="48">
        <v>2084</v>
      </c>
      <c r="DP9" s="47"/>
      <c r="DQ9" s="47"/>
      <c r="DR9" s="47"/>
      <c r="DS9" s="47"/>
    </row>
    <row r="10" spans="1:131" x14ac:dyDescent="0.45">
      <c r="A10" s="6" t="s">
        <v>132</v>
      </c>
      <c r="B10" t="s">
        <v>133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47">
        <v>0</v>
      </c>
      <c r="AI10" s="47">
        <v>0</v>
      </c>
      <c r="AJ10" s="47">
        <v>0</v>
      </c>
      <c r="AK10" s="47">
        <v>0</v>
      </c>
      <c r="AL10" s="47">
        <v>0</v>
      </c>
      <c r="AM10" s="47">
        <v>0</v>
      </c>
      <c r="AN10" s="47">
        <v>0</v>
      </c>
      <c r="AO10" s="47">
        <v>0</v>
      </c>
      <c r="AP10" s="47">
        <v>0</v>
      </c>
      <c r="AQ10" s="47">
        <v>0</v>
      </c>
      <c r="AR10" s="47">
        <v>0</v>
      </c>
      <c r="AS10" s="47">
        <v>0</v>
      </c>
      <c r="AT10" s="47">
        <v>0</v>
      </c>
      <c r="AU10" s="47">
        <v>0</v>
      </c>
      <c r="AV10" s="47">
        <v>0</v>
      </c>
      <c r="AW10" s="47">
        <v>0</v>
      </c>
      <c r="AX10" s="47">
        <v>0</v>
      </c>
      <c r="AY10" s="47">
        <v>0</v>
      </c>
      <c r="AZ10" s="47">
        <v>0</v>
      </c>
      <c r="BA10" s="47">
        <v>0</v>
      </c>
      <c r="BB10" s="47">
        <v>0</v>
      </c>
      <c r="BC10" s="47">
        <v>0</v>
      </c>
      <c r="BD10" s="47">
        <v>0</v>
      </c>
      <c r="BE10" s="47">
        <v>0</v>
      </c>
      <c r="BF10" s="47">
        <v>0</v>
      </c>
      <c r="BG10" s="47">
        <v>1.0993845969620039E-4</v>
      </c>
      <c r="BH10" s="47">
        <v>0</v>
      </c>
      <c r="BI10" s="47">
        <v>1.9340270849271111E-2</v>
      </c>
      <c r="BJ10" s="47">
        <v>2.4420732902386531E-4</v>
      </c>
      <c r="BK10" s="47">
        <v>0</v>
      </c>
      <c r="BL10" s="47">
        <v>3.554254377798181E-5</v>
      </c>
      <c r="BM10" s="47">
        <v>0</v>
      </c>
      <c r="BN10" s="47">
        <v>0</v>
      </c>
      <c r="BO10" s="47">
        <v>0</v>
      </c>
      <c r="BP10" s="47">
        <v>2.3270062452143821E-5</v>
      </c>
      <c r="BQ10" s="47">
        <v>1.6184387886219918E-5</v>
      </c>
      <c r="BR10" s="47">
        <v>3.2039209113241353E-2</v>
      </c>
      <c r="BS10" s="47">
        <v>1.7031696317596181E-4</v>
      </c>
      <c r="BT10" s="47">
        <v>0</v>
      </c>
      <c r="BU10" s="47">
        <v>0</v>
      </c>
      <c r="BV10" s="47">
        <v>2.1092532058501499E-2</v>
      </c>
      <c r="BW10" s="47">
        <v>2.4437927663734121E-4</v>
      </c>
      <c r="BX10" s="47">
        <v>8.2111430411026926E-4</v>
      </c>
      <c r="BY10" s="47">
        <v>0</v>
      </c>
      <c r="BZ10" s="47">
        <v>4.8875855327468231E-4</v>
      </c>
      <c r="CA10" s="47">
        <v>0</v>
      </c>
      <c r="CB10" s="47">
        <v>0</v>
      </c>
      <c r="CC10" s="47">
        <v>5.0474903649994287</v>
      </c>
      <c r="CD10" s="47">
        <v>4.2835621674829392E-5</v>
      </c>
      <c r="CE10" s="47">
        <v>0</v>
      </c>
      <c r="CF10" s="47">
        <v>0</v>
      </c>
      <c r="CG10" s="47">
        <v>0</v>
      </c>
      <c r="CH10" s="47">
        <v>7.6385162643110031E-4</v>
      </c>
      <c r="CI10" s="47">
        <v>0</v>
      </c>
      <c r="CJ10" s="47">
        <v>1.2707722385141741E-2</v>
      </c>
      <c r="CK10" s="47">
        <v>0</v>
      </c>
      <c r="CL10" s="47">
        <v>1.3196480938416419E-2</v>
      </c>
      <c r="CM10" s="47">
        <v>0</v>
      </c>
      <c r="CN10" s="47">
        <v>0</v>
      </c>
      <c r="CO10" s="47">
        <v>1.9550342130987288E-3</v>
      </c>
      <c r="CP10" s="47">
        <v>3.4213098729227761E-3</v>
      </c>
      <c r="CQ10" s="47">
        <v>5.6207233626588467E-3</v>
      </c>
      <c r="CR10" s="47">
        <v>0</v>
      </c>
      <c r="CS10" s="47">
        <v>0</v>
      </c>
      <c r="CT10" s="47">
        <v>0</v>
      </c>
      <c r="CU10" s="47">
        <v>0</v>
      </c>
      <c r="CV10" s="47">
        <v>0</v>
      </c>
      <c r="CW10" s="47">
        <v>0</v>
      </c>
      <c r="CX10" s="47">
        <v>0</v>
      </c>
      <c r="CY10" s="47">
        <v>0</v>
      </c>
      <c r="CZ10" s="47">
        <v>3.840175953079179</v>
      </c>
      <c r="DA10" s="47">
        <v>0</v>
      </c>
      <c r="DB10" s="47">
        <v>0</v>
      </c>
      <c r="DC10" s="47">
        <v>0</v>
      </c>
      <c r="DD10" s="48">
        <v>9.0000000000000018</v>
      </c>
      <c r="DE10" s="47">
        <v>141</v>
      </c>
      <c r="DF10" s="47">
        <v>0</v>
      </c>
      <c r="DG10" s="47">
        <v>141</v>
      </c>
      <c r="DH10" s="47">
        <v>0</v>
      </c>
      <c r="DI10" s="47">
        <v>0</v>
      </c>
      <c r="DJ10" s="47">
        <v>123</v>
      </c>
      <c r="DK10" s="47">
        <v>0</v>
      </c>
      <c r="DL10" s="47">
        <v>47</v>
      </c>
      <c r="DM10" s="47">
        <v>40</v>
      </c>
      <c r="DN10" s="47">
        <v>0</v>
      </c>
      <c r="DO10" s="48">
        <v>360</v>
      </c>
      <c r="DP10" s="47"/>
      <c r="DQ10" s="47"/>
      <c r="DR10" s="47"/>
      <c r="DS10" s="47"/>
    </row>
    <row r="11" spans="1:131" x14ac:dyDescent="0.45">
      <c r="A11" s="6" t="s">
        <v>134</v>
      </c>
      <c r="B11" t="s">
        <v>135</v>
      </c>
      <c r="C11" s="47">
        <v>1.822529312274078</v>
      </c>
      <c r="D11" s="47">
        <v>0</v>
      </c>
      <c r="E11" s="47">
        <v>0</v>
      </c>
      <c r="F11" s="47">
        <v>0</v>
      </c>
      <c r="G11" s="47">
        <v>290.61633438785879</v>
      </c>
      <c r="H11" s="47">
        <v>6.6497203863751917</v>
      </c>
      <c r="I11" s="47">
        <v>2.2687448123213131E-3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1.8836825994819871E-3</v>
      </c>
      <c r="Q11" s="47">
        <v>0</v>
      </c>
      <c r="R11" s="47">
        <v>0</v>
      </c>
      <c r="S11" s="47">
        <v>0</v>
      </c>
      <c r="T11" s="47">
        <v>6.5735414954806899E-4</v>
      </c>
      <c r="U11" s="47">
        <v>0</v>
      </c>
      <c r="V11" s="47">
        <v>7.0588235294117652E-4</v>
      </c>
      <c r="W11" s="47">
        <v>0</v>
      </c>
      <c r="X11" s="47">
        <v>1.1048983077899669E-2</v>
      </c>
      <c r="Y11" s="47">
        <v>6.5735414954806899E-4</v>
      </c>
      <c r="Z11" s="47">
        <v>551.65047343246681</v>
      </c>
      <c r="AA11" s="47">
        <v>9.4184129974099352E-3</v>
      </c>
      <c r="AB11" s="47">
        <v>1.384313234592198E-2</v>
      </c>
      <c r="AC11" s="47">
        <v>0.25448277394847169</v>
      </c>
      <c r="AD11" s="47">
        <v>2.751230186381914</v>
      </c>
      <c r="AE11" s="47">
        <v>0.52846134900385966</v>
      </c>
      <c r="AF11" s="47">
        <v>0.1224393689663292</v>
      </c>
      <c r="AG11" s="47">
        <v>4.7533964232860781E-3</v>
      </c>
      <c r="AH11" s="47">
        <v>0</v>
      </c>
      <c r="AI11" s="47">
        <v>1.560566791826538</v>
      </c>
      <c r="AJ11" s="47">
        <v>0.66090493136756479</v>
      </c>
      <c r="AK11" s="47">
        <v>0</v>
      </c>
      <c r="AL11" s="47">
        <v>1.7739777086796471</v>
      </c>
      <c r="AM11" s="47">
        <v>0</v>
      </c>
      <c r="AN11" s="47">
        <v>1.8141877095914709</v>
      </c>
      <c r="AO11" s="47">
        <v>0</v>
      </c>
      <c r="AP11" s="47">
        <v>8.4765716976689439E-3</v>
      </c>
      <c r="AQ11" s="47">
        <v>0.22227454673887451</v>
      </c>
      <c r="AR11" s="47">
        <v>0</v>
      </c>
      <c r="AS11" s="47">
        <v>0</v>
      </c>
      <c r="AT11" s="47">
        <v>0</v>
      </c>
      <c r="AU11" s="47">
        <v>0</v>
      </c>
      <c r="AV11" s="47">
        <v>1.3804437140509451E-2</v>
      </c>
      <c r="AW11" s="47">
        <v>1.630296292715936E-2</v>
      </c>
      <c r="AX11" s="47">
        <v>0</v>
      </c>
      <c r="AY11" s="47">
        <v>1.3852965343902551E-2</v>
      </c>
      <c r="AZ11" s="47">
        <v>5.9161873459326209E-3</v>
      </c>
      <c r="BA11" s="47">
        <v>993.17438373748473</v>
      </c>
      <c r="BB11" s="47">
        <v>875.0600050219324</v>
      </c>
      <c r="BC11" s="47">
        <v>0</v>
      </c>
      <c r="BD11" s="47">
        <v>0</v>
      </c>
      <c r="BE11" s="47">
        <v>1.291155584247902E-4</v>
      </c>
      <c r="BF11" s="47">
        <v>0</v>
      </c>
      <c r="BG11" s="47">
        <v>17.62994302585696</v>
      </c>
      <c r="BH11" s="47">
        <v>8.911652409203018E-4</v>
      </c>
      <c r="BI11" s="47">
        <v>34.736329945249821</v>
      </c>
      <c r="BJ11" s="47">
        <v>7.9456248143365674E-2</v>
      </c>
      <c r="BK11" s="47">
        <v>0</v>
      </c>
      <c r="BL11" s="47">
        <v>6.9222970745364281</v>
      </c>
      <c r="BM11" s="47">
        <v>0</v>
      </c>
      <c r="BN11" s="47">
        <v>0</v>
      </c>
      <c r="BO11" s="47">
        <v>0</v>
      </c>
      <c r="BP11" s="47">
        <v>2.0685493530865761E-4</v>
      </c>
      <c r="BQ11" s="47">
        <v>0.16660143551831241</v>
      </c>
      <c r="BR11" s="47">
        <v>6.7775145603435059</v>
      </c>
      <c r="BS11" s="47">
        <v>7.6673812942167657E-2</v>
      </c>
      <c r="BT11" s="47">
        <v>1.5158626980856771E-2</v>
      </c>
      <c r="BU11" s="47">
        <v>2.2882487400734379E-6</v>
      </c>
      <c r="BV11" s="47">
        <v>3.447018247773292</v>
      </c>
      <c r="BW11" s="47">
        <v>0.15367558431903791</v>
      </c>
      <c r="BX11" s="47">
        <v>7.2978277116153862E-3</v>
      </c>
      <c r="BY11" s="47">
        <v>0.86395991030985231</v>
      </c>
      <c r="BZ11" s="47">
        <v>1.1885053898270401E-3</v>
      </c>
      <c r="CA11" s="47">
        <v>0</v>
      </c>
      <c r="CB11" s="47">
        <v>0</v>
      </c>
      <c r="CC11" s="47">
        <v>37.254580913488446</v>
      </c>
      <c r="CD11" s="47">
        <v>0.71876475432445386</v>
      </c>
      <c r="CE11" s="47">
        <v>0.93585174730525134</v>
      </c>
      <c r="CF11" s="47">
        <v>3.7327505584774552E-2</v>
      </c>
      <c r="CG11" s="47">
        <v>11.150816728103511</v>
      </c>
      <c r="CH11" s="47">
        <v>2.3390286816730752</v>
      </c>
      <c r="CI11" s="47">
        <v>0.2253770310428089</v>
      </c>
      <c r="CJ11" s="47">
        <v>1.695460730001529</v>
      </c>
      <c r="CK11" s="47">
        <v>0</v>
      </c>
      <c r="CL11" s="47">
        <v>1.027907206869481</v>
      </c>
      <c r="CM11" s="47">
        <v>1.224999234150159E-2</v>
      </c>
      <c r="CN11" s="47">
        <v>0</v>
      </c>
      <c r="CO11" s="47">
        <v>2.2225935721537259E-2</v>
      </c>
      <c r="CP11" s="47">
        <v>3.9160909266444457E-3</v>
      </c>
      <c r="CQ11" s="47">
        <v>2.1633810499908179</v>
      </c>
      <c r="CR11" s="47">
        <v>0</v>
      </c>
      <c r="CS11" s="47">
        <v>4.415173506611783</v>
      </c>
      <c r="CT11" s="47">
        <v>0</v>
      </c>
      <c r="CU11" s="47">
        <v>7.7740347240217681E-4</v>
      </c>
      <c r="CV11" s="47">
        <v>4.0600893219650833E-3</v>
      </c>
      <c r="CW11" s="47">
        <v>0</v>
      </c>
      <c r="CX11" s="47">
        <v>4.5743673027473272E-2</v>
      </c>
      <c r="CY11" s="47">
        <v>2.4355495101362128</v>
      </c>
      <c r="CZ11" s="47">
        <v>0</v>
      </c>
      <c r="DA11" s="47">
        <v>0.86635294117647066</v>
      </c>
      <c r="DB11" s="47">
        <v>1.54856756128056E-3</v>
      </c>
      <c r="DC11" s="47">
        <v>0</v>
      </c>
      <c r="DD11" s="48">
        <v>2865</v>
      </c>
      <c r="DE11" s="47">
        <v>0</v>
      </c>
      <c r="DF11" s="47">
        <v>0</v>
      </c>
      <c r="DG11" s="47">
        <v>0</v>
      </c>
      <c r="DH11" s="47">
        <v>0</v>
      </c>
      <c r="DI11" s="47">
        <v>0</v>
      </c>
      <c r="DJ11" s="47">
        <v>1234</v>
      </c>
      <c r="DK11" s="47">
        <v>0</v>
      </c>
      <c r="DL11" s="47">
        <v>14623</v>
      </c>
      <c r="DM11" s="47">
        <v>9247</v>
      </c>
      <c r="DN11" s="47">
        <v>0</v>
      </c>
      <c r="DO11" s="48">
        <v>27969</v>
      </c>
      <c r="DP11" s="47"/>
      <c r="DQ11" s="47"/>
      <c r="DR11" s="47"/>
      <c r="DS11" s="47"/>
    </row>
    <row r="12" spans="1:131" x14ac:dyDescent="0.45">
      <c r="A12" s="6" t="s">
        <v>136</v>
      </c>
      <c r="B12" t="s">
        <v>137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113.1720486130932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3.6689218145035687E-2</v>
      </c>
      <c r="Q12" s="47">
        <v>0</v>
      </c>
      <c r="R12" s="47">
        <v>0</v>
      </c>
      <c r="S12" s="47">
        <v>0</v>
      </c>
      <c r="T12" s="47">
        <v>2.1802366830311861</v>
      </c>
      <c r="U12" s="47">
        <v>2.4739412094316831E-2</v>
      </c>
      <c r="V12" s="47">
        <v>0</v>
      </c>
      <c r="W12" s="47">
        <v>1.65629312216816E-2</v>
      </c>
      <c r="X12" s="47">
        <v>0.17486041367141891</v>
      </c>
      <c r="Y12" s="47">
        <v>0.49650245453793229</v>
      </c>
      <c r="Z12" s="47">
        <v>0</v>
      </c>
      <c r="AA12" s="47">
        <v>1.793873352305926</v>
      </c>
      <c r="AB12" s="47">
        <v>0.26091898971656602</v>
      </c>
      <c r="AC12" s="47">
        <v>4.6593831747886121</v>
      </c>
      <c r="AD12" s="47">
        <v>49.541283493251512</v>
      </c>
      <c r="AE12" s="47">
        <v>10.614750782477371</v>
      </c>
      <c r="AF12" s="47">
        <v>2.2039086413939248</v>
      </c>
      <c r="AG12" s="47">
        <v>0.37671795391530333</v>
      </c>
      <c r="AH12" s="47">
        <v>7.2304664365196851</v>
      </c>
      <c r="AI12" s="47">
        <v>187.4920671038677</v>
      </c>
      <c r="AJ12" s="47">
        <v>293.87921397214438</v>
      </c>
      <c r="AK12" s="47">
        <v>5.607502684449746</v>
      </c>
      <c r="AL12" s="47">
        <v>1.72395596443024</v>
      </c>
      <c r="AM12" s="47">
        <v>0.18151815181518149</v>
      </c>
      <c r="AN12" s="47">
        <v>229.931728230353</v>
      </c>
      <c r="AO12" s="47">
        <v>0</v>
      </c>
      <c r="AP12" s="47">
        <v>1.2200851868986951</v>
      </c>
      <c r="AQ12" s="47">
        <v>16.02176055827475</v>
      </c>
      <c r="AR12" s="47">
        <v>2.074609054545522</v>
      </c>
      <c r="AS12" s="47">
        <v>0.17327388349457831</v>
      </c>
      <c r="AT12" s="47">
        <v>0.39603960396039611</v>
      </c>
      <c r="AU12" s="47">
        <v>0.49629770806902812</v>
      </c>
      <c r="AV12" s="47">
        <v>2.3860976767766831</v>
      </c>
      <c r="AW12" s="47">
        <v>4.4063246421331677</v>
      </c>
      <c r="AX12" s="47">
        <v>0.19801980198019811</v>
      </c>
      <c r="AY12" s="47">
        <v>8.4178009637698475E-2</v>
      </c>
      <c r="AZ12" s="47">
        <v>9.9695846721374064</v>
      </c>
      <c r="BA12" s="47">
        <v>0</v>
      </c>
      <c r="BB12" s="47">
        <v>0</v>
      </c>
      <c r="BC12" s="47">
        <v>0</v>
      </c>
      <c r="BD12" s="47">
        <v>0</v>
      </c>
      <c r="BE12" s="47">
        <v>0</v>
      </c>
      <c r="BF12" s="47">
        <v>0</v>
      </c>
      <c r="BG12" s="47">
        <v>2278.7240542618388</v>
      </c>
      <c r="BH12" s="47">
        <v>2.527468650013904E-7</v>
      </c>
      <c r="BI12" s="47">
        <v>19.364148200965381</v>
      </c>
      <c r="BJ12" s="47">
        <v>2.0559662449222151</v>
      </c>
      <c r="BK12" s="47">
        <v>0</v>
      </c>
      <c r="BL12" s="47">
        <v>10.78083745018076</v>
      </c>
      <c r="BM12" s="47">
        <v>0</v>
      </c>
      <c r="BN12" s="47">
        <v>0</v>
      </c>
      <c r="BO12" s="47">
        <v>0</v>
      </c>
      <c r="BP12" s="47">
        <v>2.4235515544164261E-4</v>
      </c>
      <c r="BQ12" s="47">
        <v>2.3070277026637278</v>
      </c>
      <c r="BR12" s="47">
        <v>26.705856199379038</v>
      </c>
      <c r="BS12" s="47">
        <v>2.2961770059584941E-2</v>
      </c>
      <c r="BT12" s="47">
        <v>2.3785067087615851E-6</v>
      </c>
      <c r="BU12" s="47">
        <v>1.3018845386804341E-6</v>
      </c>
      <c r="BV12" s="47">
        <v>3.2315387897962569</v>
      </c>
      <c r="BW12" s="47">
        <v>5.2678302777605948E-2</v>
      </c>
      <c r="BX12" s="47">
        <v>3.299132012265059E-3</v>
      </c>
      <c r="BY12" s="47">
        <v>0</v>
      </c>
      <c r="BZ12" s="47">
        <v>0</v>
      </c>
      <c r="CA12" s="47">
        <v>0</v>
      </c>
      <c r="CB12" s="47">
        <v>0</v>
      </c>
      <c r="CC12" s="47">
        <v>23.77374448826685</v>
      </c>
      <c r="CD12" s="47">
        <v>1.017331026439507</v>
      </c>
      <c r="CE12" s="47">
        <v>1.1900273315859551</v>
      </c>
      <c r="CF12" s="47">
        <v>7.2817133443163096E-2</v>
      </c>
      <c r="CG12" s="47">
        <v>3.5137441011694168</v>
      </c>
      <c r="CH12" s="47">
        <v>5.6686685297338428</v>
      </c>
      <c r="CI12" s="47">
        <v>3.7261744973857542E-6</v>
      </c>
      <c r="CJ12" s="47">
        <v>6.2521878415390262</v>
      </c>
      <c r="CK12" s="47">
        <v>0</v>
      </c>
      <c r="CL12" s="47">
        <v>3.164093207998306</v>
      </c>
      <c r="CM12" s="47">
        <v>0</v>
      </c>
      <c r="CN12" s="47">
        <v>0</v>
      </c>
      <c r="CO12" s="47">
        <v>0.39489291598023057</v>
      </c>
      <c r="CP12" s="47">
        <v>30.371856210245049</v>
      </c>
      <c r="CQ12" s="47">
        <v>3.36154472165425</v>
      </c>
      <c r="CR12" s="47">
        <v>2.945274967748714</v>
      </c>
      <c r="CS12" s="47">
        <v>0</v>
      </c>
      <c r="CT12" s="47">
        <v>0</v>
      </c>
      <c r="CU12" s="47">
        <v>0</v>
      </c>
      <c r="CV12" s="47">
        <v>0</v>
      </c>
      <c r="CW12" s="47">
        <v>0</v>
      </c>
      <c r="CX12" s="47">
        <v>0</v>
      </c>
      <c r="CY12" s="47">
        <v>0</v>
      </c>
      <c r="CZ12" s="47">
        <v>0</v>
      </c>
      <c r="DA12" s="47">
        <v>0</v>
      </c>
      <c r="DB12" s="47">
        <v>0</v>
      </c>
      <c r="DC12" s="47">
        <v>0</v>
      </c>
      <c r="DD12" s="48">
        <v>3374</v>
      </c>
      <c r="DE12" s="47">
        <v>29</v>
      </c>
      <c r="DF12" s="47">
        <v>0</v>
      </c>
      <c r="DG12" s="47">
        <v>29</v>
      </c>
      <c r="DH12" s="47">
        <v>0</v>
      </c>
      <c r="DI12" s="47">
        <v>0</v>
      </c>
      <c r="DJ12" s="47">
        <v>-168</v>
      </c>
      <c r="DK12" s="47">
        <v>6</v>
      </c>
      <c r="DL12" s="47">
        <v>596</v>
      </c>
      <c r="DM12" s="47">
        <v>141</v>
      </c>
      <c r="DN12" s="47">
        <v>0</v>
      </c>
      <c r="DO12" s="48">
        <v>3978</v>
      </c>
      <c r="DP12" s="47"/>
      <c r="DQ12" s="47"/>
      <c r="DR12" s="47"/>
      <c r="DS12" s="47"/>
    </row>
    <row r="13" spans="1:131" x14ac:dyDescent="0.45">
      <c r="A13" s="6" t="s">
        <v>138</v>
      </c>
      <c r="B13" t="s">
        <v>139</v>
      </c>
      <c r="C13" s="47">
        <v>0</v>
      </c>
      <c r="D13" s="47">
        <v>0</v>
      </c>
      <c r="E13" s="47">
        <v>0</v>
      </c>
      <c r="F13" s="47">
        <v>0</v>
      </c>
      <c r="G13" s="47">
        <v>2043.3266673399989</v>
      </c>
      <c r="H13" s="47">
        <v>256.01423487544491</v>
      </c>
      <c r="I13" s="47">
        <v>881.92078460958123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0.26097271648873072</v>
      </c>
      <c r="AD13" s="47">
        <v>6.9157769869513652</v>
      </c>
      <c r="AE13" s="47">
        <v>0</v>
      </c>
      <c r="AF13" s="47">
        <v>0</v>
      </c>
      <c r="AG13" s="47">
        <v>0</v>
      </c>
      <c r="AH13" s="47">
        <v>0</v>
      </c>
      <c r="AI13" s="47">
        <v>59.827995255041508</v>
      </c>
      <c r="AJ13" s="47">
        <v>25.44483985765125</v>
      </c>
      <c r="AK13" s="47">
        <v>0</v>
      </c>
      <c r="AL13" s="47">
        <v>0</v>
      </c>
      <c r="AM13" s="47">
        <v>0</v>
      </c>
      <c r="AN13" s="47">
        <v>12.433950453764879</v>
      </c>
      <c r="AO13" s="47">
        <v>0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7">
        <v>0</v>
      </c>
      <c r="BD13" s="47">
        <v>0</v>
      </c>
      <c r="BE13" s="47">
        <v>0</v>
      </c>
      <c r="BF13" s="47">
        <v>0</v>
      </c>
      <c r="BG13" s="47">
        <v>16.886179417165909</v>
      </c>
      <c r="BH13" s="47">
        <v>0</v>
      </c>
      <c r="BI13" s="47">
        <v>29.867502391222239</v>
      </c>
      <c r="BJ13" s="47">
        <v>0</v>
      </c>
      <c r="BK13" s="47">
        <v>0</v>
      </c>
      <c r="BL13" s="47">
        <v>129.88341682807319</v>
      </c>
      <c r="BM13" s="47">
        <v>0</v>
      </c>
      <c r="BN13" s="47">
        <v>0</v>
      </c>
      <c r="BO13" s="47">
        <v>0</v>
      </c>
      <c r="BP13" s="47">
        <v>0</v>
      </c>
      <c r="BQ13" s="47">
        <v>0</v>
      </c>
      <c r="BR13" s="47">
        <v>26.50447931419874</v>
      </c>
      <c r="BS13" s="47">
        <v>0</v>
      </c>
      <c r="BT13" s="47">
        <v>0</v>
      </c>
      <c r="BU13" s="47">
        <v>0</v>
      </c>
      <c r="BV13" s="47">
        <v>10.262716451040029</v>
      </c>
      <c r="BW13" s="47">
        <v>0.61788004526593743</v>
      </c>
      <c r="BX13" s="47">
        <v>0</v>
      </c>
      <c r="BY13" s="47">
        <v>0</v>
      </c>
      <c r="BZ13" s="47">
        <v>0</v>
      </c>
      <c r="CA13" s="47">
        <v>0</v>
      </c>
      <c r="CB13" s="47">
        <v>0</v>
      </c>
      <c r="CC13" s="47">
        <v>5.2559429055378226</v>
      </c>
      <c r="CD13" s="47">
        <v>4.0782783908845248</v>
      </c>
      <c r="CE13" s="47">
        <v>4.414724764217536</v>
      </c>
      <c r="CF13" s="47">
        <v>0</v>
      </c>
      <c r="CG13" s="47">
        <v>100.48637053811809</v>
      </c>
      <c r="CH13" s="47">
        <v>14.51706532072413</v>
      </c>
      <c r="CI13" s="47">
        <v>0</v>
      </c>
      <c r="CJ13" s="47">
        <v>13.981737196105231</v>
      </c>
      <c r="CK13" s="47">
        <v>0</v>
      </c>
      <c r="CL13" s="47">
        <v>6.7742489435401323</v>
      </c>
      <c r="CM13" s="47">
        <v>0</v>
      </c>
      <c r="CN13" s="47">
        <v>0</v>
      </c>
      <c r="CO13" s="47">
        <v>0</v>
      </c>
      <c r="CP13" s="47">
        <v>0</v>
      </c>
      <c r="CQ13" s="47">
        <v>15.32423539898326</v>
      </c>
      <c r="CR13" s="47">
        <v>0</v>
      </c>
      <c r="CS13" s="47">
        <v>0</v>
      </c>
      <c r="CT13" s="47">
        <v>0</v>
      </c>
      <c r="CU13" s="47">
        <v>0</v>
      </c>
      <c r="CV13" s="47">
        <v>0</v>
      </c>
      <c r="CW13" s="47">
        <v>0</v>
      </c>
      <c r="CX13" s="47">
        <v>0</v>
      </c>
      <c r="CY13" s="47">
        <v>0</v>
      </c>
      <c r="CZ13" s="47">
        <v>0</v>
      </c>
      <c r="DA13" s="47">
        <v>0</v>
      </c>
      <c r="DB13" s="47">
        <v>0</v>
      </c>
      <c r="DC13" s="47">
        <v>0</v>
      </c>
      <c r="DD13" s="48">
        <v>3665</v>
      </c>
      <c r="DE13" s="47">
        <v>0</v>
      </c>
      <c r="DF13" s="47">
        <v>0</v>
      </c>
      <c r="DG13" s="47">
        <v>0</v>
      </c>
      <c r="DH13" s="47">
        <v>0</v>
      </c>
      <c r="DI13" s="47">
        <v>0</v>
      </c>
      <c r="DJ13" s="47">
        <v>79</v>
      </c>
      <c r="DK13" s="47">
        <v>0</v>
      </c>
      <c r="DL13" s="47">
        <v>0</v>
      </c>
      <c r="DM13" s="47">
        <v>0</v>
      </c>
      <c r="DN13" s="47">
        <v>661</v>
      </c>
      <c r="DO13" s="48">
        <v>4405</v>
      </c>
      <c r="DP13" s="47"/>
      <c r="DQ13" s="47"/>
      <c r="DR13" s="47"/>
      <c r="DS13" s="47"/>
    </row>
    <row r="14" spans="1:131" x14ac:dyDescent="0.45">
      <c r="A14" s="6" t="s">
        <v>140</v>
      </c>
      <c r="B14" t="s">
        <v>141</v>
      </c>
      <c r="C14" s="47">
        <v>10.02382254851811</v>
      </c>
      <c r="D14" s="47">
        <v>0.7734864300626304</v>
      </c>
      <c r="E14" s="47">
        <v>0</v>
      </c>
      <c r="F14" s="47">
        <v>0</v>
      </c>
      <c r="G14" s="47">
        <v>7.53330108256666</v>
      </c>
      <c r="H14" s="47">
        <v>2.0149214698607412</v>
      </c>
      <c r="I14" s="47">
        <v>2.4251280431902922</v>
      </c>
      <c r="J14" s="47">
        <v>3983.9318016930551</v>
      </c>
      <c r="K14" s="47">
        <v>31.868702858866879</v>
      </c>
      <c r="L14" s="47">
        <v>46.982458900666828</v>
      </c>
      <c r="M14" s="47">
        <v>17.989416429779929</v>
      </c>
      <c r="N14" s="47">
        <v>46.241527500332531</v>
      </c>
      <c r="O14" s="47">
        <v>90.546865808222023</v>
      </c>
      <c r="P14" s="47">
        <v>602.56818371364909</v>
      </c>
      <c r="Q14" s="47">
        <v>175.6106942932872</v>
      </c>
      <c r="R14" s="47">
        <v>44.524839509020481</v>
      </c>
      <c r="S14" s="47">
        <v>4.2288095478147758</v>
      </c>
      <c r="T14" s="47">
        <v>0.59781519255137683</v>
      </c>
      <c r="U14" s="47">
        <v>1.001805553122032</v>
      </c>
      <c r="V14" s="47">
        <v>9.9620299847934781</v>
      </c>
      <c r="W14" s="47">
        <v>5.539112248350091</v>
      </c>
      <c r="X14" s="47">
        <v>5.9612738070672169</v>
      </c>
      <c r="Y14" s="47">
        <v>2.203961117667161</v>
      </c>
      <c r="Z14" s="47">
        <v>7.0049759017096047</v>
      </c>
      <c r="AA14" s="47">
        <v>1.5280886709008681</v>
      </c>
      <c r="AB14" s="47">
        <v>40.588977125569762</v>
      </c>
      <c r="AC14" s="47">
        <v>10.119252364600531</v>
      </c>
      <c r="AD14" s="47">
        <v>0.1230942878199822</v>
      </c>
      <c r="AE14" s="47">
        <v>6.4549432280061723</v>
      </c>
      <c r="AF14" s="47">
        <v>1.0112787991234069</v>
      </c>
      <c r="AG14" s="47">
        <v>2.0102998428879331</v>
      </c>
      <c r="AH14" s="47">
        <v>7.7334026469527481</v>
      </c>
      <c r="AI14" s="47">
        <v>4.1182302316247918</v>
      </c>
      <c r="AJ14" s="47">
        <v>1.364202539515784</v>
      </c>
      <c r="AK14" s="47">
        <v>0.47535299758129218</v>
      </c>
      <c r="AL14" s="47">
        <v>3.8326114456423048</v>
      </c>
      <c r="AM14" s="47">
        <v>3.4541592589169952</v>
      </c>
      <c r="AN14" s="47">
        <v>6.4773351559361396</v>
      </c>
      <c r="AO14" s="47">
        <v>60.766539444295397</v>
      </c>
      <c r="AP14" s="47">
        <v>44.990015381238713</v>
      </c>
      <c r="AQ14" s="47">
        <v>93.501046415952686</v>
      </c>
      <c r="AR14" s="47">
        <v>33.994303738094338</v>
      </c>
      <c r="AS14" s="47">
        <v>2.0434473742340238</v>
      </c>
      <c r="AT14" s="47">
        <v>3.613172360151272</v>
      </c>
      <c r="AU14" s="47">
        <v>1.3316372947701769E-2</v>
      </c>
      <c r="AV14" s="47">
        <v>4.8574559586767467</v>
      </c>
      <c r="AW14" s="47">
        <v>0.81606455487064344</v>
      </c>
      <c r="AX14" s="47">
        <v>9.0715196915087518E-2</v>
      </c>
      <c r="AY14" s="47">
        <v>0.99610319892664434</v>
      </c>
      <c r="AZ14" s="47">
        <v>32.644817912319063</v>
      </c>
      <c r="BA14" s="47">
        <v>9.3366281286635164</v>
      </c>
      <c r="BB14" s="47">
        <v>4.4105228681874982</v>
      </c>
      <c r="BC14" s="47">
        <v>3.6391606053005612</v>
      </c>
      <c r="BD14" s="47">
        <v>0</v>
      </c>
      <c r="BE14" s="47">
        <v>2.7325150414209358</v>
      </c>
      <c r="BF14" s="47">
        <v>0</v>
      </c>
      <c r="BG14" s="47">
        <v>11.03868919731757</v>
      </c>
      <c r="BH14" s="47">
        <v>136.51521024366909</v>
      </c>
      <c r="BI14" s="47">
        <v>604.71822773496717</v>
      </c>
      <c r="BJ14" s="47">
        <v>150.4311889551831</v>
      </c>
      <c r="BK14" s="47">
        <v>4.9330845451035916</v>
      </c>
      <c r="BL14" s="47">
        <v>215.87228192866721</v>
      </c>
      <c r="BM14" s="47">
        <v>20.398902104300099</v>
      </c>
      <c r="BN14" s="47">
        <v>6.8543086022310389</v>
      </c>
      <c r="BO14" s="47">
        <v>186.22678904731669</v>
      </c>
      <c r="BP14" s="47">
        <v>40.584757843324113</v>
      </c>
      <c r="BQ14" s="47">
        <v>290.85886940422182</v>
      </c>
      <c r="BR14" s="47">
        <v>2493.7203646732628</v>
      </c>
      <c r="BS14" s="47">
        <v>11.52700600538912</v>
      </c>
      <c r="BT14" s="47">
        <v>16.831611956258289</v>
      </c>
      <c r="BU14" s="47">
        <v>10.70315295170535</v>
      </c>
      <c r="BV14" s="47">
        <v>86.508988296170386</v>
      </c>
      <c r="BW14" s="47">
        <v>5.7727244039798462</v>
      </c>
      <c r="BX14" s="47">
        <v>8.9878374359126383</v>
      </c>
      <c r="BY14" s="47">
        <v>1.7279198206197051</v>
      </c>
      <c r="BZ14" s="47">
        <v>1.964928685498772</v>
      </c>
      <c r="CA14" s="47">
        <v>0</v>
      </c>
      <c r="CB14" s="47">
        <v>0</v>
      </c>
      <c r="CC14" s="47">
        <v>94.37844623157396</v>
      </c>
      <c r="CD14" s="47">
        <v>0.17644613256311401</v>
      </c>
      <c r="CE14" s="47">
        <v>1.003553437734765</v>
      </c>
      <c r="CF14" s="47">
        <v>0.9452123511656334</v>
      </c>
      <c r="CG14" s="47">
        <v>3.020014832088795</v>
      </c>
      <c r="CH14" s="47">
        <v>53.739842977875327</v>
      </c>
      <c r="CI14" s="47">
        <v>15.58258568989616</v>
      </c>
      <c r="CJ14" s="47">
        <v>17.173528764836099</v>
      </c>
      <c r="CK14" s="47">
        <v>0.97001951392584707</v>
      </c>
      <c r="CL14" s="47">
        <v>6.6002850514029276</v>
      </c>
      <c r="CM14" s="47">
        <v>15.7299615765745</v>
      </c>
      <c r="CN14" s="47">
        <v>13.430951370945969</v>
      </c>
      <c r="CO14" s="47">
        <v>3.6085831370011241</v>
      </c>
      <c r="CP14" s="47">
        <v>17.146937390165458</v>
      </c>
      <c r="CQ14" s="47">
        <v>7.8577253182004601</v>
      </c>
      <c r="CR14" s="47">
        <v>65.77780761305462</v>
      </c>
      <c r="CS14" s="47">
        <v>413.20178033283207</v>
      </c>
      <c r="CT14" s="47">
        <v>248.4230891256878</v>
      </c>
      <c r="CU14" s="47">
        <v>242.829480711668</v>
      </c>
      <c r="CV14" s="47">
        <v>7.6704356210436497</v>
      </c>
      <c r="CW14" s="47">
        <v>2.9693379549857011</v>
      </c>
      <c r="CX14" s="47">
        <v>18.562816872854281</v>
      </c>
      <c r="CY14" s="47">
        <v>26.878095000984519</v>
      </c>
      <c r="CZ14" s="47">
        <v>9.6004398826979482</v>
      </c>
      <c r="DA14" s="47">
        <v>17.333558790366322</v>
      </c>
      <c r="DB14" s="47">
        <v>18.940233701348632</v>
      </c>
      <c r="DC14" s="47">
        <v>0</v>
      </c>
      <c r="DD14" s="48">
        <v>11117</v>
      </c>
      <c r="DE14" s="47">
        <v>6966</v>
      </c>
      <c r="DF14" s="47">
        <v>0</v>
      </c>
      <c r="DG14" s="47">
        <v>6966</v>
      </c>
      <c r="DH14" s="47">
        <v>0</v>
      </c>
      <c r="DI14" s="47">
        <v>0</v>
      </c>
      <c r="DJ14" s="47">
        <v>11</v>
      </c>
      <c r="DK14" s="47">
        <v>0</v>
      </c>
      <c r="DL14" s="47">
        <v>1490</v>
      </c>
      <c r="DM14" s="47">
        <v>571</v>
      </c>
      <c r="DN14" s="47">
        <v>228</v>
      </c>
      <c r="DO14" s="48">
        <v>20383</v>
      </c>
      <c r="DP14" s="47"/>
      <c r="DQ14" s="47"/>
      <c r="DR14" s="47"/>
      <c r="DS14" s="47"/>
    </row>
    <row r="15" spans="1:131" x14ac:dyDescent="0.45">
      <c r="A15" s="6" t="s">
        <v>142</v>
      </c>
      <c r="B15" t="s">
        <v>143</v>
      </c>
      <c r="C15" s="47">
        <v>3.6656623574942282</v>
      </c>
      <c r="D15" s="47">
        <v>0</v>
      </c>
      <c r="E15" s="47">
        <v>0</v>
      </c>
      <c r="F15" s="47">
        <v>0</v>
      </c>
      <c r="G15" s="47">
        <v>4.7160355871661546</v>
      </c>
      <c r="H15" s="47">
        <v>2.0082916878942552</v>
      </c>
      <c r="I15" s="47">
        <v>1.6152395322519799</v>
      </c>
      <c r="J15" s="47">
        <v>69.297059811076679</v>
      </c>
      <c r="K15" s="47">
        <v>636.12615273006452</v>
      </c>
      <c r="L15" s="47">
        <v>6.7690094858356877</v>
      </c>
      <c r="M15" s="47">
        <v>28.680747197684511</v>
      </c>
      <c r="N15" s="47">
        <v>31.61490868750462</v>
      </c>
      <c r="O15" s="47">
        <v>168.9373983669054</v>
      </c>
      <c r="P15" s="47">
        <v>583.35579330127473</v>
      </c>
      <c r="Q15" s="47">
        <v>5.703755837157571</v>
      </c>
      <c r="R15" s="47">
        <v>75.276640203537056</v>
      </c>
      <c r="S15" s="47">
        <v>129.3055449278832</v>
      </c>
      <c r="T15" s="47">
        <v>2.9361565178381239</v>
      </c>
      <c r="U15" s="47">
        <v>0.1674268220381441</v>
      </c>
      <c r="V15" s="47">
        <v>2.355537709819501E-2</v>
      </c>
      <c r="W15" s="47">
        <v>1.874730501964943</v>
      </c>
      <c r="X15" s="47">
        <v>3.1440009998893101</v>
      </c>
      <c r="Y15" s="47">
        <v>1.213153489627121</v>
      </c>
      <c r="Z15" s="47">
        <v>3.0060023174252288</v>
      </c>
      <c r="AA15" s="47">
        <v>1.1800702977240609</v>
      </c>
      <c r="AB15" s="47">
        <v>39.859394297714132</v>
      </c>
      <c r="AC15" s="47">
        <v>5.4656572210050633</v>
      </c>
      <c r="AD15" s="47">
        <v>9.0128803719550371E-2</v>
      </c>
      <c r="AE15" s="47">
        <v>3.7841848387989732</v>
      </c>
      <c r="AF15" s="47">
        <v>1.9987682327907701E-2</v>
      </c>
      <c r="AG15" s="47">
        <v>4.3408182216277016</v>
      </c>
      <c r="AH15" s="47">
        <v>4.9035320587480999</v>
      </c>
      <c r="AI15" s="47">
        <v>3.1723910351063789</v>
      </c>
      <c r="AJ15" s="47">
        <v>0.40124406947649732</v>
      </c>
      <c r="AK15" s="47">
        <v>0.34488328697625492</v>
      </c>
      <c r="AL15" s="47">
        <v>1.966143300831058</v>
      </c>
      <c r="AM15" s="47">
        <v>2.4545022552354432</v>
      </c>
      <c r="AN15" s="47">
        <v>4.3942607353043712</v>
      </c>
      <c r="AO15" s="47">
        <v>37.433898296177851</v>
      </c>
      <c r="AP15" s="47">
        <v>27.160652015617242</v>
      </c>
      <c r="AQ15" s="47">
        <v>64.098926617992561</v>
      </c>
      <c r="AR15" s="47">
        <v>23.071882211895922</v>
      </c>
      <c r="AS15" s="47">
        <v>1.9870030043336451</v>
      </c>
      <c r="AT15" s="47">
        <v>2.687493810443442</v>
      </c>
      <c r="AU15" s="47">
        <v>1.079471352333085E-2</v>
      </c>
      <c r="AV15" s="47">
        <v>3.769991308872314</v>
      </c>
      <c r="AW15" s="47">
        <v>1.956319451420822</v>
      </c>
      <c r="AX15" s="47">
        <v>6.3729762262033571E-2</v>
      </c>
      <c r="AY15" s="47">
        <v>3.9892657702710853E-2</v>
      </c>
      <c r="AZ15" s="47">
        <v>21.635138814042811</v>
      </c>
      <c r="BA15" s="47">
        <v>5.9445702085549037</v>
      </c>
      <c r="BB15" s="47">
        <v>2.8966421897164278</v>
      </c>
      <c r="BC15" s="47">
        <v>2.7293704539754202</v>
      </c>
      <c r="BD15" s="47">
        <v>0</v>
      </c>
      <c r="BE15" s="47">
        <v>2.7323859258625109</v>
      </c>
      <c r="BF15" s="47">
        <v>0</v>
      </c>
      <c r="BG15" s="47">
        <v>11.559101767579889</v>
      </c>
      <c r="BH15" s="47">
        <v>92.042804038000028</v>
      </c>
      <c r="BI15" s="47">
        <v>66.589743775515331</v>
      </c>
      <c r="BJ15" s="47">
        <v>94.550166788885463</v>
      </c>
      <c r="BK15" s="47">
        <v>73.996268176553869</v>
      </c>
      <c r="BL15" s="47">
        <v>202.38565512003501</v>
      </c>
      <c r="BM15" s="47">
        <v>5.8282577440857422</v>
      </c>
      <c r="BN15" s="47">
        <v>3.916747772703451</v>
      </c>
      <c r="BO15" s="47">
        <v>174.37599338066931</v>
      </c>
      <c r="BP15" s="47">
        <v>30.562150605820939</v>
      </c>
      <c r="BQ15" s="47">
        <v>338.92978728168799</v>
      </c>
      <c r="BR15" s="47">
        <v>922.65686783044737</v>
      </c>
      <c r="BS15" s="47">
        <v>52.411436241700351</v>
      </c>
      <c r="BT15" s="47">
        <v>12.352565917833029</v>
      </c>
      <c r="BU15" s="47">
        <v>5.6327222913260364</v>
      </c>
      <c r="BV15" s="47">
        <v>51.946721014844009</v>
      </c>
      <c r="BW15" s="47">
        <v>5.3113847198185402</v>
      </c>
      <c r="BX15" s="47">
        <v>47.740427501195647</v>
      </c>
      <c r="BY15" s="47">
        <v>5.1837594618591138</v>
      </c>
      <c r="BZ15" s="47">
        <v>1.191836187375882</v>
      </c>
      <c r="CA15" s="47">
        <v>0</v>
      </c>
      <c r="CB15" s="47">
        <v>0</v>
      </c>
      <c r="CC15" s="47">
        <v>76.476354362143525</v>
      </c>
      <c r="CD15" s="47">
        <v>0.74162205120375246</v>
      </c>
      <c r="CE15" s="47">
        <v>1.606680353949536</v>
      </c>
      <c r="CF15" s="47">
        <v>1.333543134800492</v>
      </c>
      <c r="CG15" s="47">
        <v>2.8422014192231289</v>
      </c>
      <c r="CH15" s="47">
        <v>30.944498485686839</v>
      </c>
      <c r="CI15" s="47">
        <v>22.114084761229641</v>
      </c>
      <c r="CJ15" s="47">
        <v>11.43659504779815</v>
      </c>
      <c r="CK15" s="47">
        <v>0.97001951392584707</v>
      </c>
      <c r="CL15" s="47">
        <v>4.8921596705568788</v>
      </c>
      <c r="CM15" s="47">
        <v>9.9795401142232549</v>
      </c>
      <c r="CN15" s="47">
        <v>6.7154756854729856</v>
      </c>
      <c r="CO15" s="47">
        <v>2.2235926475272421</v>
      </c>
      <c r="CP15" s="47">
        <v>12.20212639105943</v>
      </c>
      <c r="CQ15" s="47">
        <v>147.831111927455</v>
      </c>
      <c r="CR15" s="47">
        <v>29.452749677487141</v>
      </c>
      <c r="CS15" s="47">
        <v>189.04929916442521</v>
      </c>
      <c r="CT15" s="47">
        <v>109.4259016725961</v>
      </c>
      <c r="CU15" s="47">
        <v>162.2066998839438</v>
      </c>
      <c r="CV15" s="47">
        <v>3.9333366358026471</v>
      </c>
      <c r="CW15" s="47">
        <v>0.68416222496846324</v>
      </c>
      <c r="CX15" s="47">
        <v>15.07779782135848</v>
      </c>
      <c r="CY15" s="47">
        <v>72.193695672954348</v>
      </c>
      <c r="CZ15" s="47">
        <v>8.6403958944281509</v>
      </c>
      <c r="DA15" s="47">
        <v>11.268159635440041</v>
      </c>
      <c r="DB15" s="47">
        <v>8.5606432458011437</v>
      </c>
      <c r="DC15" s="47">
        <v>0</v>
      </c>
      <c r="DD15" s="48">
        <v>5172</v>
      </c>
      <c r="DE15" s="47">
        <v>2833</v>
      </c>
      <c r="DF15" s="47">
        <v>0</v>
      </c>
      <c r="DG15" s="47">
        <v>2833</v>
      </c>
      <c r="DH15" s="47">
        <v>0</v>
      </c>
      <c r="DI15" s="47">
        <v>0</v>
      </c>
      <c r="DJ15" s="47">
        <v>18</v>
      </c>
      <c r="DK15" s="47">
        <v>0</v>
      </c>
      <c r="DL15" s="47">
        <v>925</v>
      </c>
      <c r="DM15" s="47">
        <v>351</v>
      </c>
      <c r="DN15" s="47">
        <v>117</v>
      </c>
      <c r="DO15" s="48">
        <v>9416</v>
      </c>
      <c r="DP15" s="47"/>
      <c r="DQ15" s="47"/>
      <c r="DR15" s="47"/>
      <c r="DS15" s="47"/>
    </row>
    <row r="16" spans="1:131" x14ac:dyDescent="0.45">
      <c r="A16" s="6" t="s">
        <v>144</v>
      </c>
      <c r="B16" t="s">
        <v>145</v>
      </c>
      <c r="C16" s="47">
        <v>1.9750702247191012E-3</v>
      </c>
      <c r="D16" s="47">
        <v>0</v>
      </c>
      <c r="E16" s="47">
        <v>0</v>
      </c>
      <c r="F16" s="47">
        <v>0</v>
      </c>
      <c r="G16" s="47">
        <v>0.93387873278793399</v>
      </c>
      <c r="H16" s="47">
        <v>0</v>
      </c>
      <c r="I16" s="47">
        <v>0</v>
      </c>
      <c r="J16" s="47">
        <v>3.9191120012756269</v>
      </c>
      <c r="K16" s="47">
        <v>39.250360516819491</v>
      </c>
      <c r="L16" s="47">
        <v>14.3414248779688</v>
      </c>
      <c r="M16" s="47">
        <v>0.75990508468768181</v>
      </c>
      <c r="N16" s="47">
        <v>100.4069066709795</v>
      </c>
      <c r="O16" s="47">
        <v>139.98405182550351</v>
      </c>
      <c r="P16" s="47">
        <v>72.975697509331468</v>
      </c>
      <c r="Q16" s="47">
        <v>18.32829777906413</v>
      </c>
      <c r="R16" s="47">
        <v>0</v>
      </c>
      <c r="S16" s="47">
        <v>0</v>
      </c>
      <c r="T16" s="47">
        <v>2.8551809306328859E-2</v>
      </c>
      <c r="U16" s="47">
        <v>3.2611296232411828E-3</v>
      </c>
      <c r="V16" s="47">
        <v>1.411764705882353E-3</v>
      </c>
      <c r="W16" s="47">
        <v>2.1869974025053311E-3</v>
      </c>
      <c r="X16" s="47">
        <v>3.4012773700120631E-2</v>
      </c>
      <c r="Y16" s="47">
        <v>4.1918971785334283E-2</v>
      </c>
      <c r="Z16" s="47">
        <v>0</v>
      </c>
      <c r="AA16" s="47">
        <v>0.87840635474665352</v>
      </c>
      <c r="AB16" s="47">
        <v>5.6598552120231203</v>
      </c>
      <c r="AC16" s="47">
        <v>0.8240273695568221</v>
      </c>
      <c r="AD16" s="47">
        <v>6.2596807128847192E-3</v>
      </c>
      <c r="AE16" s="47">
        <v>0.83391326083934558</v>
      </c>
      <c r="AF16" s="47">
        <v>0</v>
      </c>
      <c r="AG16" s="47">
        <v>3.4074381882401833E-2</v>
      </c>
      <c r="AH16" s="47">
        <v>0.92960012008167847</v>
      </c>
      <c r="AI16" s="47">
        <v>3.7592348448191181E-3</v>
      </c>
      <c r="AJ16" s="47">
        <v>1.2595525332254959E-2</v>
      </c>
      <c r="AK16" s="47">
        <v>1.653699509197079</v>
      </c>
      <c r="AL16" s="47">
        <v>5.0802284857107728E-2</v>
      </c>
      <c r="AM16" s="47">
        <v>6.473928952634378E-2</v>
      </c>
      <c r="AN16" s="47">
        <v>0.32615882441196792</v>
      </c>
      <c r="AO16" s="47">
        <v>4.1321244235156867</v>
      </c>
      <c r="AP16" s="47">
        <v>0.23756180753786801</v>
      </c>
      <c r="AQ16" s="47">
        <v>6.2685943823662136</v>
      </c>
      <c r="AR16" s="47">
        <v>1.9432909925915309</v>
      </c>
      <c r="AS16" s="47">
        <v>1.012284542450856E-2</v>
      </c>
      <c r="AT16" s="47">
        <v>1.6228765019360679E-2</v>
      </c>
      <c r="AU16" s="47">
        <v>4.6609182008855752E-4</v>
      </c>
      <c r="AV16" s="47">
        <v>1.023308996043229E-2</v>
      </c>
      <c r="AW16" s="47">
        <v>4.0337766514691592E-2</v>
      </c>
      <c r="AX16" s="47">
        <v>6.8893912247211496E-3</v>
      </c>
      <c r="AY16" s="47">
        <v>3.3020444672870412E-3</v>
      </c>
      <c r="AZ16" s="47">
        <v>1.940497495978597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0.18576703206386391</v>
      </c>
      <c r="BH16" s="47">
        <v>8.1101810236144747</v>
      </c>
      <c r="BI16" s="47">
        <v>9.3982141446161176</v>
      </c>
      <c r="BJ16" s="47">
        <v>6.9311538081231276</v>
      </c>
      <c r="BK16" s="47">
        <v>0</v>
      </c>
      <c r="BL16" s="47">
        <v>18.163575359520891</v>
      </c>
      <c r="BM16" s="47">
        <v>0</v>
      </c>
      <c r="BN16" s="47">
        <v>0</v>
      </c>
      <c r="BO16" s="47">
        <v>0</v>
      </c>
      <c r="BP16" s="47">
        <v>1.9444571744193391</v>
      </c>
      <c r="BQ16" s="47">
        <v>18.431341909504301</v>
      </c>
      <c r="BR16" s="47">
        <v>336.05445965774248</v>
      </c>
      <c r="BS16" s="47">
        <v>2.766180518591943</v>
      </c>
      <c r="BT16" s="47">
        <v>1.6582837491880451</v>
      </c>
      <c r="BU16" s="47">
        <v>0.9138644062066037</v>
      </c>
      <c r="BV16" s="47">
        <v>6.1001682760912761</v>
      </c>
      <c r="BW16" s="47">
        <v>5.611208022775184E-2</v>
      </c>
      <c r="BX16" s="47">
        <v>10.24893026182672</v>
      </c>
      <c r="BY16" s="47">
        <v>0</v>
      </c>
      <c r="BZ16" s="47">
        <v>5.1333596644187227E-2</v>
      </c>
      <c r="CA16" s="47">
        <v>0</v>
      </c>
      <c r="CB16" s="47">
        <v>0</v>
      </c>
      <c r="CC16" s="47">
        <v>33.982099155867161</v>
      </c>
      <c r="CD16" s="47">
        <v>0.10377789728060979</v>
      </c>
      <c r="CE16" s="47">
        <v>6.4290147542971909E-2</v>
      </c>
      <c r="CF16" s="47">
        <v>0.1361296788329896</v>
      </c>
      <c r="CG16" s="47">
        <v>0.31712318629221409</v>
      </c>
      <c r="CH16" s="47">
        <v>4.7927279639770584</v>
      </c>
      <c r="CI16" s="47">
        <v>1.8152158053693119</v>
      </c>
      <c r="CJ16" s="47">
        <v>2.4680458960356022</v>
      </c>
      <c r="CK16" s="47">
        <v>0</v>
      </c>
      <c r="CL16" s="47">
        <v>0.89006464198038171</v>
      </c>
      <c r="CM16" s="47">
        <v>1.118009752113319</v>
      </c>
      <c r="CN16" s="47">
        <v>0</v>
      </c>
      <c r="CO16" s="47">
        <v>3.9098024180496342E-2</v>
      </c>
      <c r="CP16" s="47">
        <v>1.845971164415064</v>
      </c>
      <c r="CQ16" s="47">
        <v>14.103033532222989</v>
      </c>
      <c r="CR16" s="47">
        <v>0.98175832258290485</v>
      </c>
      <c r="CS16" s="47">
        <v>30.905012524656431</v>
      </c>
      <c r="CT16" s="47">
        <v>16.757852949334321</v>
      </c>
      <c r="CU16" s="47">
        <v>41.765396636592563</v>
      </c>
      <c r="CV16" s="47">
        <v>0.9721689133152579</v>
      </c>
      <c r="CW16" s="47">
        <v>5.2865488191803707E-2</v>
      </c>
      <c r="CX16" s="47">
        <v>1.917242397261145</v>
      </c>
      <c r="CY16" s="47">
        <v>11.35561871250056</v>
      </c>
      <c r="CZ16" s="47">
        <v>0.96004398826979476</v>
      </c>
      <c r="DA16" s="47">
        <v>1.7327058823529411</v>
      </c>
      <c r="DB16" s="47">
        <v>9.2306808510130827E-3</v>
      </c>
      <c r="DC16" s="47">
        <v>0</v>
      </c>
      <c r="DD16" s="48">
        <v>1007</v>
      </c>
      <c r="DE16" s="47">
        <v>366</v>
      </c>
      <c r="DF16" s="47">
        <v>0</v>
      </c>
      <c r="DG16" s="47">
        <v>366</v>
      </c>
      <c r="DH16" s="47">
        <v>0</v>
      </c>
      <c r="DI16" s="47">
        <v>0</v>
      </c>
      <c r="DJ16" s="47">
        <v>-27</v>
      </c>
      <c r="DK16" s="47">
        <v>0</v>
      </c>
      <c r="DL16" s="47">
        <v>306</v>
      </c>
      <c r="DM16" s="47">
        <v>50</v>
      </c>
      <c r="DN16" s="47">
        <v>15</v>
      </c>
      <c r="DO16" s="48">
        <v>1717</v>
      </c>
      <c r="DP16" s="47"/>
      <c r="DQ16" s="47"/>
      <c r="DR16" s="47"/>
      <c r="DS16" s="47"/>
    </row>
    <row r="17" spans="1:123" x14ac:dyDescent="0.45">
      <c r="A17" s="6" t="s">
        <v>146</v>
      </c>
      <c r="B17" t="s">
        <v>147</v>
      </c>
      <c r="C17" s="47">
        <v>7.2898482402693547</v>
      </c>
      <c r="D17" s="47">
        <v>0</v>
      </c>
      <c r="E17" s="47">
        <v>0</v>
      </c>
      <c r="F17" s="47">
        <v>0</v>
      </c>
      <c r="G17" s="47">
        <v>3.781664918610979</v>
      </c>
      <c r="H17" s="47">
        <v>1.338861125262836</v>
      </c>
      <c r="I17" s="47">
        <v>1.6152395322519799</v>
      </c>
      <c r="J17" s="47">
        <v>36.578530342353559</v>
      </c>
      <c r="K17" s="47">
        <v>31.87883391855117</v>
      </c>
      <c r="L17" s="47">
        <v>2.994064092178375</v>
      </c>
      <c r="M17" s="47">
        <v>653.16354811564975</v>
      </c>
      <c r="N17" s="47">
        <v>10.47394593498365</v>
      </c>
      <c r="O17" s="47">
        <v>418.08165792606241</v>
      </c>
      <c r="P17" s="47">
        <v>234.25366997374641</v>
      </c>
      <c r="Q17" s="47">
        <v>0.18508807920365131</v>
      </c>
      <c r="R17" s="47">
        <v>23.382575768260789</v>
      </c>
      <c r="S17" s="47">
        <v>1.0916180024567801</v>
      </c>
      <c r="T17" s="47">
        <v>0.9847814967057299</v>
      </c>
      <c r="U17" s="47">
        <v>6.0022438683676918E-2</v>
      </c>
      <c r="V17" s="47">
        <v>1.478677550595691E-2</v>
      </c>
      <c r="W17" s="47">
        <v>1.851560687131808</v>
      </c>
      <c r="X17" s="47">
        <v>4.0224332883555522</v>
      </c>
      <c r="Y17" s="47">
        <v>1.7075673363971759</v>
      </c>
      <c r="Z17" s="47">
        <v>4.0004825843921603</v>
      </c>
      <c r="AA17" s="47">
        <v>0.90586434967704799</v>
      </c>
      <c r="AB17" s="47">
        <v>15.48744042008618</v>
      </c>
      <c r="AC17" s="47">
        <v>2.2690558120883879</v>
      </c>
      <c r="AD17" s="47">
        <v>5.4701137536148609E-2</v>
      </c>
      <c r="AE17" s="47">
        <v>2.7146439730753378</v>
      </c>
      <c r="AF17" s="47">
        <v>1.9987682327907701E-2</v>
      </c>
      <c r="AG17" s="47">
        <v>3.71902493222274</v>
      </c>
      <c r="AH17" s="47">
        <v>5.3758379161563203</v>
      </c>
      <c r="AI17" s="47">
        <v>2.0919116522519001</v>
      </c>
      <c r="AJ17" s="47">
        <v>0.23820179596341989</v>
      </c>
      <c r="AK17" s="47">
        <v>8.6032410630449932E-2</v>
      </c>
      <c r="AL17" s="47">
        <v>2.7113676258605932</v>
      </c>
      <c r="AM17" s="47">
        <v>2.0237412734351778</v>
      </c>
      <c r="AN17" s="47">
        <v>0.70909608299648652</v>
      </c>
      <c r="AO17" s="47">
        <v>11.705611497909031</v>
      </c>
      <c r="AP17" s="47">
        <v>7.0776579990903086</v>
      </c>
      <c r="AQ17" s="47">
        <v>5.5777374871819854</v>
      </c>
      <c r="AR17" s="47">
        <v>2.899167954321114</v>
      </c>
      <c r="AS17" s="47">
        <v>2.3897898607517919E-2</v>
      </c>
      <c r="AT17" s="47">
        <v>1.7300300581343719</v>
      </c>
      <c r="AU17" s="47">
        <v>6.5105293034093976E-3</v>
      </c>
      <c r="AV17" s="47">
        <v>1.899713417571703</v>
      </c>
      <c r="AW17" s="47">
        <v>1.9365195548202161</v>
      </c>
      <c r="AX17" s="47">
        <v>1.492440455680377E-2</v>
      </c>
      <c r="AY17" s="47">
        <v>3.4696235125861771E-2</v>
      </c>
      <c r="AZ17" s="47">
        <v>3.8037850798774868</v>
      </c>
      <c r="BA17" s="47">
        <v>5.0989783564312816</v>
      </c>
      <c r="BB17" s="47">
        <v>0.79800168506985047</v>
      </c>
      <c r="BC17" s="47">
        <v>2.7293704539754202</v>
      </c>
      <c r="BD17" s="47">
        <v>0</v>
      </c>
      <c r="BE17" s="47">
        <v>2.7323859258625109</v>
      </c>
      <c r="BF17" s="47">
        <v>0</v>
      </c>
      <c r="BG17" s="47">
        <v>6.5844857417638352</v>
      </c>
      <c r="BH17" s="47">
        <v>81.820373273459623</v>
      </c>
      <c r="BI17" s="47">
        <v>31.637093813244981</v>
      </c>
      <c r="BJ17" s="47">
        <v>88.178239447881495</v>
      </c>
      <c r="BK17" s="47">
        <v>1.973233818041437</v>
      </c>
      <c r="BL17" s="47">
        <v>100.9069558132323</v>
      </c>
      <c r="BM17" s="47">
        <v>12.62789177885244</v>
      </c>
      <c r="BN17" s="47">
        <v>3.916747772703451</v>
      </c>
      <c r="BO17" s="47">
        <v>85.495025880813557</v>
      </c>
      <c r="BP17" s="47">
        <v>19.948834916799282</v>
      </c>
      <c r="BQ17" s="47">
        <v>159.41465000917961</v>
      </c>
      <c r="BR17" s="47">
        <v>506.35593442434509</v>
      </c>
      <c r="BS17" s="47">
        <v>46.446215044556403</v>
      </c>
      <c r="BT17" s="47">
        <v>11.383169842275191</v>
      </c>
      <c r="BU17" s="47">
        <v>6.2431237381787463</v>
      </c>
      <c r="BV17" s="47">
        <v>45.941761978782139</v>
      </c>
      <c r="BW17" s="47">
        <v>3.4095833775744691</v>
      </c>
      <c r="BX17" s="47">
        <v>25.024536612148971</v>
      </c>
      <c r="BY17" s="47">
        <v>2.5918797309295569</v>
      </c>
      <c r="BZ17" s="47">
        <v>25.621785402251191</v>
      </c>
      <c r="CA17" s="47">
        <v>0</v>
      </c>
      <c r="CB17" s="47">
        <v>0</v>
      </c>
      <c r="CC17" s="47">
        <v>39.965344620396678</v>
      </c>
      <c r="CD17" s="47">
        <v>2.132733634865603E-2</v>
      </c>
      <c r="CE17" s="47">
        <v>0.12585322619521441</v>
      </c>
      <c r="CF17" s="47">
        <v>0.65145944645908849</v>
      </c>
      <c r="CG17" s="47">
        <v>1.1330681252141961</v>
      </c>
      <c r="CH17" s="47">
        <v>18.904526474900589</v>
      </c>
      <c r="CI17" s="47">
        <v>18.464883990278231</v>
      </c>
      <c r="CJ17" s="47">
        <v>8.3055674001219355</v>
      </c>
      <c r="CK17" s="47">
        <v>0</v>
      </c>
      <c r="CL17" s="47">
        <v>3.4482395690020402</v>
      </c>
      <c r="CM17" s="47">
        <v>8.5928635466210217</v>
      </c>
      <c r="CN17" s="47">
        <v>6.7154756854729856</v>
      </c>
      <c r="CO17" s="47">
        <v>2.1843743295060301</v>
      </c>
      <c r="CP17" s="47">
        <v>10.855077721472449</v>
      </c>
      <c r="CQ17" s="47">
        <v>5.5190137640088812</v>
      </c>
      <c r="CR17" s="47">
        <v>2.945274967748714</v>
      </c>
      <c r="CS17" s="47">
        <v>149.22858139483941</v>
      </c>
      <c r="CT17" s="47">
        <v>40.424373658372758</v>
      </c>
      <c r="CU17" s="47">
        <v>41.768506250482169</v>
      </c>
      <c r="CV17" s="47">
        <v>4.8391907568591428</v>
      </c>
      <c r="CW17" s="47">
        <v>0.65219734503544713</v>
      </c>
      <c r="CX17" s="47">
        <v>21.307460679152591</v>
      </c>
      <c r="CY17" s="47">
        <v>43.809054178046537</v>
      </c>
      <c r="CZ17" s="47">
        <v>6.7203079178885634</v>
      </c>
      <c r="DA17" s="47">
        <v>12.13265544323454</v>
      </c>
      <c r="DB17" s="47">
        <v>8.5371235761675681</v>
      </c>
      <c r="DC17" s="47">
        <v>0</v>
      </c>
      <c r="DD17" s="48">
        <v>3248</v>
      </c>
      <c r="DE17" s="47">
        <v>4465</v>
      </c>
      <c r="DF17" s="47">
        <v>0</v>
      </c>
      <c r="DG17" s="47">
        <v>4465</v>
      </c>
      <c r="DH17" s="47">
        <v>0</v>
      </c>
      <c r="DI17" s="47">
        <v>0</v>
      </c>
      <c r="DJ17" s="47">
        <v>364</v>
      </c>
      <c r="DK17" s="47">
        <v>0</v>
      </c>
      <c r="DL17" s="47">
        <v>1120</v>
      </c>
      <c r="DM17" s="47">
        <v>363</v>
      </c>
      <c r="DN17" s="47">
        <v>133</v>
      </c>
      <c r="DO17" s="48">
        <v>9693</v>
      </c>
      <c r="DP17" s="47"/>
      <c r="DQ17" s="47"/>
      <c r="DR17" s="47"/>
      <c r="DS17" s="47"/>
    </row>
    <row r="18" spans="1:123" x14ac:dyDescent="0.45">
      <c r="A18" s="6" t="s">
        <v>148</v>
      </c>
      <c r="B18" t="s">
        <v>149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176.0531135392477</v>
      </c>
      <c r="K18" s="47">
        <v>11.790359288967171</v>
      </c>
      <c r="L18" s="47">
        <v>78.436284018553621</v>
      </c>
      <c r="M18" s="47">
        <v>5.5437737736010693</v>
      </c>
      <c r="N18" s="47">
        <v>495.53806880472712</v>
      </c>
      <c r="O18" s="47">
        <v>683.04982756930417</v>
      </c>
      <c r="P18" s="47">
        <v>82.939604134580406</v>
      </c>
      <c r="Q18" s="47">
        <v>566.29468242160965</v>
      </c>
      <c r="R18" s="47">
        <v>488.08141778449408</v>
      </c>
      <c r="S18" s="47">
        <v>1.2878344331488889</v>
      </c>
      <c r="T18" s="47">
        <v>2.8824650045556201E-2</v>
      </c>
      <c r="U18" s="47">
        <v>1.6565890830779429E-3</v>
      </c>
      <c r="V18" s="47">
        <v>0</v>
      </c>
      <c r="W18" s="47">
        <v>0</v>
      </c>
      <c r="X18" s="47">
        <v>3.751426316413025</v>
      </c>
      <c r="Y18" s="47">
        <v>0</v>
      </c>
      <c r="Z18" s="47">
        <v>0</v>
      </c>
      <c r="AA18" s="47">
        <v>0.6485559050614812</v>
      </c>
      <c r="AB18" s="47">
        <v>5.4367985950126814</v>
      </c>
      <c r="AC18" s="47">
        <v>5.6125750856276344</v>
      </c>
      <c r="AD18" s="47">
        <v>0</v>
      </c>
      <c r="AE18" s="47">
        <v>3.9123541734021261</v>
      </c>
      <c r="AF18" s="47">
        <v>0</v>
      </c>
      <c r="AG18" s="47">
        <v>0.56828357920779304</v>
      </c>
      <c r="AH18" s="47">
        <v>0.26142729441238899</v>
      </c>
      <c r="AI18" s="47">
        <v>0</v>
      </c>
      <c r="AJ18" s="47">
        <v>0.1869582762435012</v>
      </c>
      <c r="AK18" s="47">
        <v>0</v>
      </c>
      <c r="AL18" s="47">
        <v>0</v>
      </c>
      <c r="AM18" s="47">
        <v>0</v>
      </c>
      <c r="AN18" s="47">
        <v>9.2650843580211611E-2</v>
      </c>
      <c r="AO18" s="47">
        <v>0</v>
      </c>
      <c r="AP18" s="47">
        <v>0</v>
      </c>
      <c r="AQ18" s="47">
        <v>2.2962597410820889E-2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4.406526960987326E-2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0.67579348627590197</v>
      </c>
      <c r="BH18" s="47">
        <v>0.37543844857054293</v>
      </c>
      <c r="BI18" s="47">
        <v>106.9704938262429</v>
      </c>
      <c r="BJ18" s="47">
        <v>13.31645118373847</v>
      </c>
      <c r="BK18" s="47">
        <v>0</v>
      </c>
      <c r="BL18" s="47">
        <v>3.7231357818771631</v>
      </c>
      <c r="BM18" s="47">
        <v>0</v>
      </c>
      <c r="BN18" s="47">
        <v>0</v>
      </c>
      <c r="BO18" s="47">
        <v>0</v>
      </c>
      <c r="BP18" s="47">
        <v>1.7113141664898759E-4</v>
      </c>
      <c r="BQ18" s="47">
        <v>2.8966898147194442</v>
      </c>
      <c r="BR18" s="47">
        <v>312.87060503246772</v>
      </c>
      <c r="BS18" s="47">
        <v>1.0591810461278481E-2</v>
      </c>
      <c r="BT18" s="47">
        <v>0.1162088330261201</v>
      </c>
      <c r="BU18" s="47">
        <v>1.4183265290651511E-6</v>
      </c>
      <c r="BV18" s="47">
        <v>7.4079968037793353</v>
      </c>
      <c r="BW18" s="47">
        <v>9.026883748049325E-3</v>
      </c>
      <c r="BX18" s="47">
        <v>6.0396850628133807E-3</v>
      </c>
      <c r="BY18" s="47">
        <v>0</v>
      </c>
      <c r="BZ18" s="47">
        <v>0.94921114275875329</v>
      </c>
      <c r="CA18" s="47">
        <v>0</v>
      </c>
      <c r="CB18" s="47">
        <v>0</v>
      </c>
      <c r="CC18" s="47">
        <v>15.078055500121719</v>
      </c>
      <c r="CD18" s="47">
        <v>0.47141269032429628</v>
      </c>
      <c r="CE18" s="47">
        <v>1.706225299118755</v>
      </c>
      <c r="CF18" s="47">
        <v>0.46985896811582822</v>
      </c>
      <c r="CG18" s="47">
        <v>1.537455583283313</v>
      </c>
      <c r="CH18" s="47">
        <v>14.54670129960463</v>
      </c>
      <c r="CI18" s="47">
        <v>1.737053312769129</v>
      </c>
      <c r="CJ18" s="47">
        <v>0.78824959411070605</v>
      </c>
      <c r="CK18" s="47">
        <v>0</v>
      </c>
      <c r="CL18" s="47">
        <v>3.1180954376941878</v>
      </c>
      <c r="CM18" s="47">
        <v>9.573074455876511E-2</v>
      </c>
      <c r="CN18" s="47">
        <v>0</v>
      </c>
      <c r="CO18" s="47">
        <v>1.606691764290347E-2</v>
      </c>
      <c r="CP18" s="47">
        <v>1.971398926331935E-2</v>
      </c>
      <c r="CQ18" s="47">
        <v>1.876739177780955</v>
      </c>
      <c r="CR18" s="47">
        <v>3.927033290331619</v>
      </c>
      <c r="CS18" s="47">
        <v>89.154540098085207</v>
      </c>
      <c r="CT18" s="47">
        <v>24.64390139607988</v>
      </c>
      <c r="CU18" s="47">
        <v>68.961468865071424</v>
      </c>
      <c r="CV18" s="47">
        <v>3.112735146839897E-2</v>
      </c>
      <c r="CW18" s="47">
        <v>7.1917765882483831E-2</v>
      </c>
      <c r="CX18" s="47">
        <v>1.22106911528321</v>
      </c>
      <c r="CY18" s="47">
        <v>18.65565931339378</v>
      </c>
      <c r="CZ18" s="47">
        <v>0</v>
      </c>
      <c r="DA18" s="47">
        <v>0</v>
      </c>
      <c r="DB18" s="47">
        <v>0.96056406419996743</v>
      </c>
      <c r="DC18" s="47">
        <v>0</v>
      </c>
      <c r="DD18" s="48">
        <v>3308</v>
      </c>
      <c r="DE18" s="47">
        <v>1177</v>
      </c>
      <c r="DF18" s="47">
        <v>0</v>
      </c>
      <c r="DG18" s="47">
        <v>1177</v>
      </c>
      <c r="DH18" s="47">
        <v>0</v>
      </c>
      <c r="DI18" s="47">
        <v>0</v>
      </c>
      <c r="DJ18" s="47">
        <v>123</v>
      </c>
      <c r="DK18" s="47">
        <v>0</v>
      </c>
      <c r="DL18" s="47">
        <v>608</v>
      </c>
      <c r="DM18" s="47">
        <v>267</v>
      </c>
      <c r="DN18" s="47">
        <v>42</v>
      </c>
      <c r="DO18" s="48">
        <v>5525</v>
      </c>
      <c r="DP18" s="47"/>
      <c r="DQ18" s="47"/>
      <c r="DR18" s="47"/>
      <c r="DS18" s="47"/>
    </row>
    <row r="19" spans="1:123" x14ac:dyDescent="0.45">
      <c r="A19" s="6" t="s">
        <v>150</v>
      </c>
      <c r="B19" t="s">
        <v>151</v>
      </c>
      <c r="C19" s="47">
        <v>11.85540284945624</v>
      </c>
      <c r="D19" s="47">
        <v>0.7734864300626304</v>
      </c>
      <c r="E19" s="47">
        <v>0</v>
      </c>
      <c r="F19" s="47">
        <v>0</v>
      </c>
      <c r="G19" s="47">
        <v>4.7470482133559404</v>
      </c>
      <c r="H19" s="47">
        <v>2.0082916878942552</v>
      </c>
      <c r="I19" s="47">
        <v>3.2327478093162818</v>
      </c>
      <c r="J19" s="47">
        <v>46.130303996073387</v>
      </c>
      <c r="K19" s="47">
        <v>6.4161410615612962</v>
      </c>
      <c r="L19" s="47">
        <v>4.3328377049184352</v>
      </c>
      <c r="M19" s="47">
        <v>6.8819726828935712</v>
      </c>
      <c r="N19" s="47">
        <v>6.3161464052981202</v>
      </c>
      <c r="O19" s="47">
        <v>148.52714170155849</v>
      </c>
      <c r="P19" s="47">
        <v>163.02509032028169</v>
      </c>
      <c r="Q19" s="47">
        <v>3.76660370699698</v>
      </c>
      <c r="R19" s="47">
        <v>36.374026180099861</v>
      </c>
      <c r="S19" s="47">
        <v>0.94492733934824513</v>
      </c>
      <c r="T19" s="47">
        <v>3.0628297391296191</v>
      </c>
      <c r="U19" s="47">
        <v>0.17975299880633069</v>
      </c>
      <c r="V19" s="47">
        <v>2.7902124943969271E-2</v>
      </c>
      <c r="W19" s="47">
        <v>5.5446501905994188</v>
      </c>
      <c r="X19" s="47">
        <v>6.0583892915852449</v>
      </c>
      <c r="Y19" s="47">
        <v>3.6935401026286141</v>
      </c>
      <c r="Z19" s="47">
        <v>3.0105906770262409</v>
      </c>
      <c r="AA19" s="47">
        <v>1.2972002072384221</v>
      </c>
      <c r="AB19" s="47">
        <v>11.81349591289497</v>
      </c>
      <c r="AC19" s="47">
        <v>3.3958766027269589</v>
      </c>
      <c r="AD19" s="47">
        <v>0.73729538309691478</v>
      </c>
      <c r="AE19" s="47">
        <v>4.6576112144146098</v>
      </c>
      <c r="AF19" s="47">
        <v>8.0579048061351563E-2</v>
      </c>
      <c r="AG19" s="47">
        <v>8.9730721962846722</v>
      </c>
      <c r="AH19" s="47">
        <v>7.6814501880198174</v>
      </c>
      <c r="AI19" s="47">
        <v>3.1858568562649849</v>
      </c>
      <c r="AJ19" s="47">
        <v>0.4247524160354274</v>
      </c>
      <c r="AK19" s="47">
        <v>0.44922499106589692</v>
      </c>
      <c r="AL19" s="47">
        <v>2.025906075727443</v>
      </c>
      <c r="AM19" s="47">
        <v>2.0288004154691008</v>
      </c>
      <c r="AN19" s="47">
        <v>5.4877455815218266</v>
      </c>
      <c r="AO19" s="47">
        <v>49.671993162891802</v>
      </c>
      <c r="AP19" s="47">
        <v>36.947849240408743</v>
      </c>
      <c r="AQ19" s="47">
        <v>79.445051119189031</v>
      </c>
      <c r="AR19" s="47">
        <v>29.762051577276932</v>
      </c>
      <c r="AS19" s="47">
        <v>1.081492088791782</v>
      </c>
      <c r="AT19" s="47">
        <v>3.5827718171271941</v>
      </c>
      <c r="AU19" s="47">
        <v>1.396572520150834E-2</v>
      </c>
      <c r="AV19" s="47">
        <v>5.6917645785222764</v>
      </c>
      <c r="AW19" s="47">
        <v>1.707915759456915</v>
      </c>
      <c r="AX19" s="47">
        <v>8.2101245258673267E-2</v>
      </c>
      <c r="AY19" s="47">
        <v>4.9520497969135983E-2</v>
      </c>
      <c r="AZ19" s="47">
        <v>27.011461343050509</v>
      </c>
      <c r="BA19" s="47">
        <v>7.6514906448775699</v>
      </c>
      <c r="BB19" s="47">
        <v>4.1470304579898976</v>
      </c>
      <c r="BC19" s="47">
        <v>4.5489507566257013</v>
      </c>
      <c r="BD19" s="47">
        <v>0</v>
      </c>
      <c r="BE19" s="47">
        <v>4.5541056586626114</v>
      </c>
      <c r="BF19" s="47">
        <v>0</v>
      </c>
      <c r="BG19" s="47">
        <v>8.4426724679158713</v>
      </c>
      <c r="BH19" s="47">
        <v>121.67682086992249</v>
      </c>
      <c r="BI19" s="47">
        <v>32.767025800510659</v>
      </c>
      <c r="BJ19" s="47">
        <v>118.3991664134298</v>
      </c>
      <c r="BK19" s="47">
        <v>2.9598507270621548</v>
      </c>
      <c r="BL19" s="47">
        <v>260.72278995472402</v>
      </c>
      <c r="BM19" s="47">
        <v>18.45614952293818</v>
      </c>
      <c r="BN19" s="47">
        <v>4.8959347158793154</v>
      </c>
      <c r="BO19" s="47">
        <v>228.5510592853432</v>
      </c>
      <c r="BP19" s="47">
        <v>43.232352557843463</v>
      </c>
      <c r="BQ19" s="47">
        <v>144.29084132282131</v>
      </c>
      <c r="BR19" s="47">
        <v>1487.9709520274371</v>
      </c>
      <c r="BS19" s="47">
        <v>66.532783667572318</v>
      </c>
      <c r="BT19" s="47">
        <v>17.070339436291128</v>
      </c>
      <c r="BU19" s="47">
        <v>8.1479037357197779</v>
      </c>
      <c r="BV19" s="47">
        <v>61.275008531684307</v>
      </c>
      <c r="BW19" s="47">
        <v>4.3273244481287856</v>
      </c>
      <c r="BX19" s="47">
        <v>26.42319189481244</v>
      </c>
      <c r="BY19" s="47">
        <v>4.319799551549262</v>
      </c>
      <c r="BZ19" s="47">
        <v>14.31518407255715</v>
      </c>
      <c r="CA19" s="47">
        <v>0</v>
      </c>
      <c r="CB19" s="47">
        <v>0</v>
      </c>
      <c r="CC19" s="47">
        <v>65.365185802493272</v>
      </c>
      <c r="CD19" s="47">
        <v>0.1382970738836263</v>
      </c>
      <c r="CE19" s="47">
        <v>1.0369811507317279</v>
      </c>
      <c r="CF19" s="47">
        <v>1.081894963674547</v>
      </c>
      <c r="CG19" s="47">
        <v>2.0450863227803451</v>
      </c>
      <c r="CH19" s="47">
        <v>26.789319927742511</v>
      </c>
      <c r="CI19" s="47">
        <v>26.704211931964721</v>
      </c>
      <c r="CJ19" s="47">
        <v>11.446203654592781</v>
      </c>
      <c r="CK19" s="47">
        <v>0.97001951392584707</v>
      </c>
      <c r="CL19" s="47">
        <v>3.1868629707894272</v>
      </c>
      <c r="CM19" s="47">
        <v>13.94341294749348</v>
      </c>
      <c r="CN19" s="47">
        <v>9.5935366935328386</v>
      </c>
      <c r="CO19" s="47">
        <v>2.2846521390035961</v>
      </c>
      <c r="CP19" s="47">
        <v>14.6807552622454</v>
      </c>
      <c r="CQ19" s="47">
        <v>71.285448120550285</v>
      </c>
      <c r="CR19" s="47">
        <v>0</v>
      </c>
      <c r="CS19" s="47">
        <v>168.71235586421989</v>
      </c>
      <c r="CT19" s="47">
        <v>84.786187960917118</v>
      </c>
      <c r="CU19" s="47">
        <v>132.10339261347639</v>
      </c>
      <c r="CV19" s="47">
        <v>4.8743781976495066</v>
      </c>
      <c r="CW19" s="47">
        <v>1.834130556382304</v>
      </c>
      <c r="CX19" s="47">
        <v>14.14042949012671</v>
      </c>
      <c r="CY19" s="47">
        <v>65.002731893265349</v>
      </c>
      <c r="CZ19" s="47">
        <v>9.6004398826979482</v>
      </c>
      <c r="DA19" s="47">
        <v>16.46534871580787</v>
      </c>
      <c r="DB19" s="47">
        <v>17.053379369951671</v>
      </c>
      <c r="DC19" s="47">
        <v>0</v>
      </c>
      <c r="DD19" s="48">
        <v>4214.9999999999991</v>
      </c>
      <c r="DE19" s="47">
        <v>5231</v>
      </c>
      <c r="DF19" s="47">
        <v>0</v>
      </c>
      <c r="DG19" s="47">
        <v>5231</v>
      </c>
      <c r="DH19" s="47">
        <v>0</v>
      </c>
      <c r="DI19" s="47">
        <v>0</v>
      </c>
      <c r="DJ19" s="47">
        <v>35</v>
      </c>
      <c r="DK19" s="47">
        <v>0</v>
      </c>
      <c r="DL19" s="47">
        <v>545</v>
      </c>
      <c r="DM19" s="47">
        <v>282</v>
      </c>
      <c r="DN19" s="47">
        <v>134</v>
      </c>
      <c r="DO19" s="48">
        <v>10442</v>
      </c>
      <c r="DP19" s="47"/>
      <c r="DQ19" s="47"/>
      <c r="DR19" s="47"/>
      <c r="DS19" s="47"/>
    </row>
    <row r="20" spans="1:123" x14ac:dyDescent="0.45">
      <c r="A20" s="6" t="s">
        <v>152</v>
      </c>
      <c r="B20" t="s">
        <v>153</v>
      </c>
      <c r="C20" s="47">
        <v>2.8394331842528761E-3</v>
      </c>
      <c r="D20" s="47">
        <v>0</v>
      </c>
      <c r="E20" s="47">
        <v>0</v>
      </c>
      <c r="F20" s="47">
        <v>0</v>
      </c>
      <c r="G20" s="47">
        <v>0.96464539109409575</v>
      </c>
      <c r="H20" s="47">
        <v>2.0038331639003548</v>
      </c>
      <c r="I20" s="47">
        <v>1.628852001125908</v>
      </c>
      <c r="J20" s="47">
        <v>219.82973526302169</v>
      </c>
      <c r="K20" s="47">
        <v>172.23837242001019</v>
      </c>
      <c r="L20" s="47">
        <v>43.23253344399577</v>
      </c>
      <c r="M20" s="47">
        <v>86.897723980280077</v>
      </c>
      <c r="N20" s="47">
        <v>289.45353734641378</v>
      </c>
      <c r="O20" s="47">
        <v>501.80768449065152</v>
      </c>
      <c r="P20" s="47">
        <v>1360.683187942285</v>
      </c>
      <c r="Q20" s="47">
        <v>0.82220101338484064</v>
      </c>
      <c r="R20" s="47">
        <v>22.607163678220228</v>
      </c>
      <c r="S20" s="47">
        <v>298.10404018612201</v>
      </c>
      <c r="T20" s="47">
        <v>1.8911404337260509</v>
      </c>
      <c r="U20" s="47">
        <v>0.1050691982058452</v>
      </c>
      <c r="V20" s="47">
        <v>1.382123179095354E-2</v>
      </c>
      <c r="W20" s="47">
        <v>2.7673686592021829</v>
      </c>
      <c r="X20" s="47">
        <v>0.65303123727884915</v>
      </c>
      <c r="Y20" s="47">
        <v>2.5612276473832831</v>
      </c>
      <c r="Z20" s="47">
        <v>1.000638985953382</v>
      </c>
      <c r="AA20" s="47">
        <v>0.163793900343222</v>
      </c>
      <c r="AB20" s="47">
        <v>88.498448200697283</v>
      </c>
      <c r="AC20" s="47">
        <v>12.51197715622542</v>
      </c>
      <c r="AD20" s="47">
        <v>6.0146886331377103E-2</v>
      </c>
      <c r="AE20" s="47">
        <v>3.0941154036580549</v>
      </c>
      <c r="AF20" s="47">
        <v>0</v>
      </c>
      <c r="AG20" s="47">
        <v>0.29033461074291828</v>
      </c>
      <c r="AH20" s="47">
        <v>3.799087112839131</v>
      </c>
      <c r="AI20" s="47">
        <v>2.2626101033874289</v>
      </c>
      <c r="AJ20" s="47">
        <v>0.3179516775809178</v>
      </c>
      <c r="AK20" s="47">
        <v>0.16779131085447879</v>
      </c>
      <c r="AL20" s="47">
        <v>0.98502960141603157</v>
      </c>
      <c r="AM20" s="47">
        <v>0.91081212474086048</v>
      </c>
      <c r="AN20" s="47">
        <v>2.0926512101559509</v>
      </c>
      <c r="AO20" s="47">
        <v>18.24813507825057</v>
      </c>
      <c r="AP20" s="47">
        <v>13.54626195828815</v>
      </c>
      <c r="AQ20" s="47">
        <v>30.301475588682429</v>
      </c>
      <c r="AR20" s="47">
        <v>11.513035912541509</v>
      </c>
      <c r="AS20" s="47">
        <v>5.2260355526512439E-2</v>
      </c>
      <c r="AT20" s="47">
        <v>1.765253905493402</v>
      </c>
      <c r="AU20" s="47">
        <v>6.5105293034093976E-3</v>
      </c>
      <c r="AV20" s="47">
        <v>1.952629041466952</v>
      </c>
      <c r="AW20" s="47">
        <v>1.892270670812928</v>
      </c>
      <c r="AX20" s="47">
        <v>3.2725118923313028E-2</v>
      </c>
      <c r="AY20" s="47">
        <v>1.9682652834180359E-2</v>
      </c>
      <c r="AZ20" s="47">
        <v>10.211767402348221</v>
      </c>
      <c r="BA20" s="47">
        <v>2.5530329014681219</v>
      </c>
      <c r="BB20" s="47">
        <v>0.39962788040801278</v>
      </c>
      <c r="BC20" s="47">
        <v>1.8195803026502799</v>
      </c>
      <c r="BD20" s="47">
        <v>0</v>
      </c>
      <c r="BE20" s="47">
        <v>1.822365310592224</v>
      </c>
      <c r="BF20" s="47">
        <v>0</v>
      </c>
      <c r="BG20" s="47">
        <v>6.6521805375666414</v>
      </c>
      <c r="BH20" s="47">
        <v>48.06078998805598</v>
      </c>
      <c r="BI20" s="47">
        <v>79.188727645626827</v>
      </c>
      <c r="BJ20" s="47">
        <v>45.861889437529612</v>
      </c>
      <c r="BK20" s="47">
        <v>2.9598507270621548</v>
      </c>
      <c r="BL20" s="47">
        <v>104.6152755505167</v>
      </c>
      <c r="BM20" s="47">
        <v>4.8568814534047844</v>
      </c>
      <c r="BN20" s="47">
        <v>2.9375608295275879</v>
      </c>
      <c r="BO20" s="47">
        <v>74.490715618926657</v>
      </c>
      <c r="BP20" s="47">
        <v>13.907461579100049</v>
      </c>
      <c r="BQ20" s="47">
        <v>217.53599369487</v>
      </c>
      <c r="BR20" s="47">
        <v>2311.7905022245181</v>
      </c>
      <c r="BS20" s="47">
        <v>24.629616979317991</v>
      </c>
      <c r="BT20" s="47">
        <v>10.154974123895551</v>
      </c>
      <c r="BU20" s="47">
        <v>4.4802441357658047</v>
      </c>
      <c r="BV20" s="47">
        <v>35.966327373834737</v>
      </c>
      <c r="BW20" s="47">
        <v>2.6579382158093381</v>
      </c>
      <c r="BX20" s="47">
        <v>55.973390760688027</v>
      </c>
      <c r="BY20" s="47">
        <v>7.7756391927886712</v>
      </c>
      <c r="BZ20" s="47">
        <v>30.498551283574141</v>
      </c>
      <c r="CA20" s="47">
        <v>0</v>
      </c>
      <c r="CB20" s="47">
        <v>0</v>
      </c>
      <c r="CC20" s="47">
        <v>102.4725870809508</v>
      </c>
      <c r="CD20" s="47">
        <v>0.34756160848150203</v>
      </c>
      <c r="CE20" s="47">
        <v>2.5370353639772851</v>
      </c>
      <c r="CF20" s="47">
        <v>1.874168677785685</v>
      </c>
      <c r="CG20" s="47">
        <v>7.0227786874019387</v>
      </c>
      <c r="CH20" s="47">
        <v>36.51849932916825</v>
      </c>
      <c r="CI20" s="47">
        <v>14.78015947954829</v>
      </c>
      <c r="CJ20" s="47">
        <v>5.674950350142872</v>
      </c>
      <c r="CK20" s="47">
        <v>0</v>
      </c>
      <c r="CL20" s="47">
        <v>6.2072248836352406</v>
      </c>
      <c r="CM20" s="47">
        <v>5.7690809753831571</v>
      </c>
      <c r="CN20" s="47">
        <v>3.8374146774131348</v>
      </c>
      <c r="CO20" s="47">
        <v>0.19119620913511931</v>
      </c>
      <c r="CP20" s="47">
        <v>4.6790559813089967</v>
      </c>
      <c r="CQ20" s="47">
        <v>17.126037654062308</v>
      </c>
      <c r="CR20" s="47">
        <v>0</v>
      </c>
      <c r="CS20" s="47">
        <v>209.23605565698421</v>
      </c>
      <c r="CT20" s="47">
        <v>172.50730977255921</v>
      </c>
      <c r="CU20" s="47">
        <v>374.91728143545868</v>
      </c>
      <c r="CV20" s="47">
        <v>19.233606984670299</v>
      </c>
      <c r="CW20" s="47">
        <v>0.32825720082505061</v>
      </c>
      <c r="CX20" s="47">
        <v>20.595728881189899</v>
      </c>
      <c r="CY20" s="47">
        <v>101.3894527901836</v>
      </c>
      <c r="CZ20" s="47">
        <v>25.921187683284462</v>
      </c>
      <c r="DA20" s="47">
        <v>5.2009033471317831</v>
      </c>
      <c r="DB20" s="47">
        <v>7.7942881145701373E-2</v>
      </c>
      <c r="DC20" s="47">
        <v>0</v>
      </c>
      <c r="DD20" s="48">
        <v>7444</v>
      </c>
      <c r="DE20" s="47">
        <v>4113</v>
      </c>
      <c r="DF20" s="47">
        <v>0</v>
      </c>
      <c r="DG20" s="47">
        <v>4113</v>
      </c>
      <c r="DH20" s="47">
        <v>0</v>
      </c>
      <c r="DI20" s="47">
        <v>0</v>
      </c>
      <c r="DJ20" s="47">
        <v>-26</v>
      </c>
      <c r="DK20" s="47">
        <v>0</v>
      </c>
      <c r="DL20" s="47">
        <v>2120</v>
      </c>
      <c r="DM20" s="47">
        <v>1258</v>
      </c>
      <c r="DN20" s="47">
        <v>202</v>
      </c>
      <c r="DO20" s="48">
        <v>15111</v>
      </c>
      <c r="DP20" s="47"/>
      <c r="DQ20" s="47"/>
      <c r="DR20" s="47"/>
      <c r="DS20" s="47"/>
    </row>
    <row r="21" spans="1:123" x14ac:dyDescent="0.45">
      <c r="A21" s="6" t="s">
        <v>154</v>
      </c>
      <c r="B21" t="s">
        <v>155</v>
      </c>
      <c r="C21" s="47">
        <v>1384.9961129826379</v>
      </c>
      <c r="D21" s="47">
        <v>0</v>
      </c>
      <c r="E21" s="47">
        <v>245.34493815849751</v>
      </c>
      <c r="F21" s="47">
        <v>0</v>
      </c>
      <c r="G21" s="47">
        <v>0</v>
      </c>
      <c r="H21" s="47">
        <v>0</v>
      </c>
      <c r="I21" s="47">
        <v>0</v>
      </c>
      <c r="J21" s="47">
        <v>6.142407778095512</v>
      </c>
      <c r="K21" s="47">
        <v>6.1675445173884684</v>
      </c>
      <c r="L21" s="47">
        <v>13.35973691735774</v>
      </c>
      <c r="M21" s="47">
        <v>6.1393475976182934</v>
      </c>
      <c r="N21" s="47">
        <v>2.5711518293125128</v>
      </c>
      <c r="O21" s="47">
        <v>0</v>
      </c>
      <c r="P21" s="47">
        <v>3.9925650557620829</v>
      </c>
      <c r="Q21" s="47">
        <v>936.27235170839595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1.0749213611667141</v>
      </c>
      <c r="AB21" s="47">
        <v>0.61568956318431101</v>
      </c>
      <c r="AC21" s="47">
        <v>7.8315699170717776</v>
      </c>
      <c r="AD21" s="47">
        <v>0</v>
      </c>
      <c r="AE21" s="47">
        <v>0</v>
      </c>
      <c r="AF21" s="47">
        <v>0</v>
      </c>
      <c r="AG21" s="47">
        <v>0</v>
      </c>
      <c r="AH21" s="47">
        <v>0.30712038890477561</v>
      </c>
      <c r="AI21" s="47">
        <v>0</v>
      </c>
      <c r="AJ21" s="47">
        <v>0.30712038890477561</v>
      </c>
      <c r="AK21" s="47">
        <v>0</v>
      </c>
      <c r="AL21" s="47">
        <v>0</v>
      </c>
      <c r="AM21" s="47">
        <v>0</v>
      </c>
      <c r="AN21" s="47">
        <v>0.1535601944523878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26.049192278404721</v>
      </c>
      <c r="BH21" s="47">
        <v>0</v>
      </c>
      <c r="BI21" s="47">
        <v>80.160637682795482</v>
      </c>
      <c r="BJ21" s="47">
        <v>1.315694404675769</v>
      </c>
      <c r="BK21" s="47">
        <v>0</v>
      </c>
      <c r="BL21" s="47">
        <v>12.66305023476712</v>
      </c>
      <c r="BM21" s="47">
        <v>1.6481905634448011</v>
      </c>
      <c r="BN21" s="47">
        <v>0</v>
      </c>
      <c r="BO21" s="47">
        <v>0</v>
      </c>
      <c r="BP21" s="47">
        <v>1.3962037301973451E-4</v>
      </c>
      <c r="BQ21" s="47">
        <v>18.352049345809618</v>
      </c>
      <c r="BR21" s="47">
        <v>21.95040327578031</v>
      </c>
      <c r="BS21" s="47">
        <v>0.40328202760524251</v>
      </c>
      <c r="BT21" s="47">
        <v>20.011020409856538</v>
      </c>
      <c r="BU21" s="47">
        <v>0</v>
      </c>
      <c r="BV21" s="47">
        <v>5.605532456275145</v>
      </c>
      <c r="BW21" s="47">
        <v>0.46482440281422549</v>
      </c>
      <c r="BX21" s="47">
        <v>4.9266857649173856E-3</v>
      </c>
      <c r="BY21" s="47">
        <v>0</v>
      </c>
      <c r="BZ21" s="47">
        <v>1.7106549364613881E-3</v>
      </c>
      <c r="CA21" s="47">
        <v>0</v>
      </c>
      <c r="CB21" s="47">
        <v>0</v>
      </c>
      <c r="CC21" s="47">
        <v>53.762226777821112</v>
      </c>
      <c r="CD21" s="47">
        <v>2.0306217664565329</v>
      </c>
      <c r="CE21" s="47">
        <v>1.6798623452686621</v>
      </c>
      <c r="CF21" s="47">
        <v>3.3461661591352103E-2</v>
      </c>
      <c r="CG21" s="47">
        <v>12.35288396255887</v>
      </c>
      <c r="CH21" s="47">
        <v>5.2353301728438302</v>
      </c>
      <c r="CI21" s="47">
        <v>6.2231240286060832</v>
      </c>
      <c r="CJ21" s="47">
        <v>6.2252521235483407</v>
      </c>
      <c r="CK21" s="47">
        <v>0</v>
      </c>
      <c r="CL21" s="47">
        <v>11.427105180852999</v>
      </c>
      <c r="CM21" s="47">
        <v>0.14014631047346479</v>
      </c>
      <c r="CN21" s="47">
        <v>0</v>
      </c>
      <c r="CO21" s="47">
        <v>2.4707012762491921E-2</v>
      </c>
      <c r="CP21" s="47">
        <v>4.0259873498253128E-2</v>
      </c>
      <c r="CQ21" s="47">
        <v>2.8617376574379141</v>
      </c>
      <c r="CR21" s="47">
        <v>0</v>
      </c>
      <c r="CS21" s="47">
        <v>1.1324177247991709</v>
      </c>
      <c r="CT21" s="47">
        <v>0</v>
      </c>
      <c r="CU21" s="47">
        <v>0.59082663902565424</v>
      </c>
      <c r="CV21" s="47">
        <v>10.53010111048191</v>
      </c>
      <c r="CW21" s="47">
        <v>4.0564960785285074</v>
      </c>
      <c r="CX21" s="47">
        <v>2.1958633301314738</v>
      </c>
      <c r="CY21" s="47">
        <v>32.090389166237507</v>
      </c>
      <c r="CZ21" s="47">
        <v>13.44061583577713</v>
      </c>
      <c r="DA21" s="47">
        <v>0</v>
      </c>
      <c r="DB21" s="47">
        <v>1.9778839244823279E-2</v>
      </c>
      <c r="DC21" s="47">
        <v>0</v>
      </c>
      <c r="DD21" s="48">
        <v>2970</v>
      </c>
      <c r="DE21" s="47">
        <v>2406</v>
      </c>
      <c r="DF21" s="47">
        <v>0</v>
      </c>
      <c r="DG21" s="47">
        <v>2406</v>
      </c>
      <c r="DH21" s="47">
        <v>0</v>
      </c>
      <c r="DI21" s="47">
        <v>0</v>
      </c>
      <c r="DJ21" s="47">
        <v>62</v>
      </c>
      <c r="DK21" s="47">
        <v>0</v>
      </c>
      <c r="DL21" s="47">
        <v>459</v>
      </c>
      <c r="DM21" s="47">
        <v>272</v>
      </c>
      <c r="DN21" s="47">
        <v>132</v>
      </c>
      <c r="DO21" s="48">
        <v>6301</v>
      </c>
      <c r="DP21" s="47"/>
      <c r="DQ21" s="47"/>
      <c r="DR21" s="47"/>
      <c r="DS21" s="47"/>
    </row>
    <row r="22" spans="1:123" x14ac:dyDescent="0.45">
      <c r="A22" s="6" t="s">
        <v>156</v>
      </c>
      <c r="B22" t="s">
        <v>157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3.2507675128900962E-3</v>
      </c>
      <c r="K22" s="47">
        <v>8.8225663086191661E-2</v>
      </c>
      <c r="L22" s="47">
        <v>2.6534179171448661E-4</v>
      </c>
      <c r="M22" s="47">
        <v>3.2860132984835829E-3</v>
      </c>
      <c r="N22" s="47">
        <v>0.80370720493154235</v>
      </c>
      <c r="O22" s="47">
        <v>2.220820453848249E-2</v>
      </c>
      <c r="P22" s="47">
        <v>0.24940890690239911</v>
      </c>
      <c r="Q22" s="47">
        <v>0</v>
      </c>
      <c r="R22" s="47">
        <v>185.9759746146872</v>
      </c>
      <c r="S22" s="47">
        <v>0.44740052267420621</v>
      </c>
      <c r="T22" s="47">
        <v>6.1725272179702668E-5</v>
      </c>
      <c r="U22" s="47">
        <v>3.1960161212545882E-5</v>
      </c>
      <c r="V22" s="47">
        <v>0</v>
      </c>
      <c r="W22" s="47">
        <v>1.2646022035693401E-4</v>
      </c>
      <c r="X22" s="47">
        <v>1.7034377647206231E-6</v>
      </c>
      <c r="Y22" s="47">
        <v>0</v>
      </c>
      <c r="Z22" s="47">
        <v>0</v>
      </c>
      <c r="AA22" s="47">
        <v>0</v>
      </c>
      <c r="AB22" s="47">
        <v>1.077560437822284E-4</v>
      </c>
      <c r="AC22" s="47">
        <v>0</v>
      </c>
      <c r="AD22" s="47">
        <v>0</v>
      </c>
      <c r="AE22" s="47">
        <v>0</v>
      </c>
      <c r="AF22" s="47">
        <v>0</v>
      </c>
      <c r="AG22" s="47">
        <v>0.21441523118767</v>
      </c>
      <c r="AH22" s="47">
        <v>0</v>
      </c>
      <c r="AI22" s="47">
        <v>0</v>
      </c>
      <c r="AJ22" s="47">
        <v>0</v>
      </c>
      <c r="AK22" s="47">
        <v>0</v>
      </c>
      <c r="AL22" s="47">
        <v>7.7835104004000469E-5</v>
      </c>
      <c r="AM22" s="47">
        <v>0</v>
      </c>
      <c r="AN22" s="47">
        <v>6.7181992064621176E-3</v>
      </c>
      <c r="AO22" s="47">
        <v>2.6398570999509961E-3</v>
      </c>
      <c r="AP22" s="47">
        <v>1.021063302717513E-3</v>
      </c>
      <c r="AQ22" s="47">
        <v>0</v>
      </c>
      <c r="AR22" s="47">
        <v>0.91346087150873545</v>
      </c>
      <c r="AS22" s="47">
        <v>2.054978580800177E-4</v>
      </c>
      <c r="AT22" s="47">
        <v>5.5326346406158616E-4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1.2329871484801061E-3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1.924367719572314E-2</v>
      </c>
      <c r="BH22" s="47">
        <v>2.5585840587054571</v>
      </c>
      <c r="BI22" s="47">
        <v>18.647394196468909</v>
      </c>
      <c r="BJ22" s="47">
        <v>9.0733859075002528</v>
      </c>
      <c r="BK22" s="47">
        <v>0</v>
      </c>
      <c r="BL22" s="47">
        <v>0.839986497209253</v>
      </c>
      <c r="BM22" s="47">
        <v>0</v>
      </c>
      <c r="BN22" s="47">
        <v>0</v>
      </c>
      <c r="BO22" s="47">
        <v>1.6929708095210609</v>
      </c>
      <c r="BP22" s="47">
        <v>0.1835324908736469</v>
      </c>
      <c r="BQ22" s="47">
        <v>514.99162282098678</v>
      </c>
      <c r="BR22" s="47">
        <v>2407.458983314395</v>
      </c>
      <c r="BS22" s="47">
        <v>2.5649971410686659E-9</v>
      </c>
      <c r="BT22" s="47">
        <v>0</v>
      </c>
      <c r="BU22" s="47">
        <v>0</v>
      </c>
      <c r="BV22" s="47">
        <v>0.50632216449667355</v>
      </c>
      <c r="BW22" s="47">
        <v>1.5807527544616741E-5</v>
      </c>
      <c r="BX22" s="47">
        <v>1.2366095562410109E-8</v>
      </c>
      <c r="BY22" s="47">
        <v>0</v>
      </c>
      <c r="BZ22" s="47">
        <v>0</v>
      </c>
      <c r="CA22" s="47">
        <v>0</v>
      </c>
      <c r="CB22" s="47">
        <v>0</v>
      </c>
      <c r="CC22" s="47">
        <v>29.9452104297105</v>
      </c>
      <c r="CD22" s="47">
        <v>4.4261141635968591E-4</v>
      </c>
      <c r="CE22" s="47">
        <v>3.9443005787461162E-2</v>
      </c>
      <c r="CF22" s="47">
        <v>7.6968962265966249E-4</v>
      </c>
      <c r="CG22" s="47">
        <v>0.1593053533216725</v>
      </c>
      <c r="CH22" s="47">
        <v>1.413310590422453</v>
      </c>
      <c r="CI22" s="47">
        <v>0</v>
      </c>
      <c r="CJ22" s="47">
        <v>5.9472755468311773E-2</v>
      </c>
      <c r="CK22" s="47">
        <v>0</v>
      </c>
      <c r="CL22" s="47">
        <v>0.12077067400065079</v>
      </c>
      <c r="CM22" s="47">
        <v>0</v>
      </c>
      <c r="CN22" s="47">
        <v>0</v>
      </c>
      <c r="CO22" s="47">
        <v>0</v>
      </c>
      <c r="CP22" s="47">
        <v>0</v>
      </c>
      <c r="CQ22" s="47">
        <v>0.55485147999924023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</v>
      </c>
      <c r="DD22" s="48">
        <v>3177</v>
      </c>
      <c r="DE22" s="47">
        <v>4095</v>
      </c>
      <c r="DF22" s="47">
        <v>0</v>
      </c>
      <c r="DG22" s="47">
        <v>4095</v>
      </c>
      <c r="DH22" s="47">
        <v>0</v>
      </c>
      <c r="DI22" s="47">
        <v>0</v>
      </c>
      <c r="DJ22" s="47">
        <v>-25</v>
      </c>
      <c r="DK22" s="47">
        <v>0</v>
      </c>
      <c r="DL22" s="47">
        <v>718</v>
      </c>
      <c r="DM22" s="47">
        <v>1337</v>
      </c>
      <c r="DN22" s="47">
        <v>270</v>
      </c>
      <c r="DO22" s="48">
        <v>9572</v>
      </c>
      <c r="DP22" s="47"/>
      <c r="DQ22" s="47"/>
      <c r="DR22" s="47"/>
      <c r="DS22" s="47"/>
    </row>
    <row r="23" spans="1:123" x14ac:dyDescent="0.45">
      <c r="A23" s="6" t="s">
        <v>158</v>
      </c>
      <c r="B23" t="s">
        <v>159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1.221414701685892E-2</v>
      </c>
      <c r="K23" s="47">
        <v>3.6838577626589042</v>
      </c>
      <c r="L23" s="47">
        <v>9.9697183537931751E-4</v>
      </c>
      <c r="M23" s="47">
        <v>1.234657642168609E-2</v>
      </c>
      <c r="N23" s="47">
        <v>6.4179990799453246E-2</v>
      </c>
      <c r="O23" s="47">
        <v>8.3443148160521619E-2</v>
      </c>
      <c r="P23" s="47">
        <v>10.28086614269775</v>
      </c>
      <c r="Q23" s="47">
        <v>0</v>
      </c>
      <c r="R23" s="47">
        <v>10.380054397098821</v>
      </c>
      <c r="S23" s="47">
        <v>212.6686062155583</v>
      </c>
      <c r="T23" s="47">
        <v>5.7736882935232239E-3</v>
      </c>
      <c r="U23" s="47">
        <v>3.0568030798247018E-3</v>
      </c>
      <c r="V23" s="47">
        <v>0</v>
      </c>
      <c r="W23" s="47">
        <v>3.1667501357233712E-3</v>
      </c>
      <c r="X23" s="47">
        <v>1.7659421848152019E-3</v>
      </c>
      <c r="Y23" s="47">
        <v>3.9993496626240044E-3</v>
      </c>
      <c r="Z23" s="47">
        <v>0</v>
      </c>
      <c r="AA23" s="47">
        <v>5.4782446466084868E-4</v>
      </c>
      <c r="AB23" s="47">
        <v>1.096711393592874E-3</v>
      </c>
      <c r="AC23" s="47">
        <v>1.447124304267162E-2</v>
      </c>
      <c r="AD23" s="47">
        <v>6.9399887470345587E-7</v>
      </c>
      <c r="AE23" s="47">
        <v>4.3599257884972169E-3</v>
      </c>
      <c r="AF23" s="47">
        <v>0</v>
      </c>
      <c r="AG23" s="47">
        <v>6.3451591796365794E-2</v>
      </c>
      <c r="AH23" s="47">
        <v>1.5064154886901869E-2</v>
      </c>
      <c r="AI23" s="47">
        <v>4.5649906946025202E-4</v>
      </c>
      <c r="AJ23" s="47">
        <v>2.6907049386846599E-3</v>
      </c>
      <c r="AK23" s="47">
        <v>2.667392157163498E-5</v>
      </c>
      <c r="AL23" s="47">
        <v>6.6718846760637288E-4</v>
      </c>
      <c r="AM23" s="47">
        <v>0</v>
      </c>
      <c r="AN23" s="47">
        <v>5.6173282303269628E-3</v>
      </c>
      <c r="AO23" s="47">
        <v>0</v>
      </c>
      <c r="AP23" s="47">
        <v>2.3979958497692402E-3</v>
      </c>
      <c r="AQ23" s="47">
        <v>2.021858414187527E-2</v>
      </c>
      <c r="AR23" s="47">
        <v>1.393272729015209E-3</v>
      </c>
      <c r="AS23" s="47">
        <v>1.4741950507494709E-6</v>
      </c>
      <c r="AT23" s="47">
        <v>0</v>
      </c>
      <c r="AU23" s="47">
        <v>1.1131725417439699E-3</v>
      </c>
      <c r="AV23" s="47">
        <v>7.6444343319998741E-3</v>
      </c>
      <c r="AW23" s="47">
        <v>0.73413150268612404</v>
      </c>
      <c r="AX23" s="47">
        <v>0</v>
      </c>
      <c r="AY23" s="47">
        <v>2.7829313543599249E-4</v>
      </c>
      <c r="AZ23" s="47">
        <v>2.3562152133580701E-2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2.3087593472205712</v>
      </c>
      <c r="BH23" s="47">
        <v>1.0032485555870689</v>
      </c>
      <c r="BI23" s="47">
        <v>3.9979358155814211</v>
      </c>
      <c r="BJ23" s="47">
        <v>13.09791746202402</v>
      </c>
      <c r="BK23" s="47">
        <v>0</v>
      </c>
      <c r="BL23" s="47">
        <v>2.3169165700193992</v>
      </c>
      <c r="BM23" s="47">
        <v>2.9141288720428711</v>
      </c>
      <c r="BN23" s="47">
        <v>0</v>
      </c>
      <c r="BO23" s="47">
        <v>1.6929708095210609</v>
      </c>
      <c r="BP23" s="47">
        <v>0.1837245487034059</v>
      </c>
      <c r="BQ23" s="47">
        <v>121.2713474064404</v>
      </c>
      <c r="BR23" s="47">
        <v>987.44466062426363</v>
      </c>
      <c r="BS23" s="47">
        <v>3.5541709378799471</v>
      </c>
      <c r="BT23" s="47">
        <v>307.38659885986112</v>
      </c>
      <c r="BU23" s="47">
        <v>4.2373154120149371E-6</v>
      </c>
      <c r="BV23" s="47">
        <v>7.9290273136536067</v>
      </c>
      <c r="BW23" s="47">
        <v>9.5441995282240219E-2</v>
      </c>
      <c r="BX23" s="47">
        <v>29.306165154440031</v>
      </c>
      <c r="BY23" s="47">
        <v>1.7279198206197051</v>
      </c>
      <c r="BZ23" s="47">
        <v>12.417039575325809</v>
      </c>
      <c r="CA23" s="47">
        <v>0</v>
      </c>
      <c r="CB23" s="47">
        <v>0</v>
      </c>
      <c r="CC23" s="47">
        <v>57.466536117423118</v>
      </c>
      <c r="CD23" s="47">
        <v>5.6528394656314587E-4</v>
      </c>
      <c r="CE23" s="47">
        <v>1.5424473092005631</v>
      </c>
      <c r="CF23" s="47">
        <v>0.82427470073135867</v>
      </c>
      <c r="CG23" s="47">
        <v>0.31964965296929138</v>
      </c>
      <c r="CH23" s="47">
        <v>5.2661976469770746</v>
      </c>
      <c r="CI23" s="47">
        <v>60.855684574958318</v>
      </c>
      <c r="CJ23" s="47">
        <v>0.5445072320469907</v>
      </c>
      <c r="CK23" s="47">
        <v>0</v>
      </c>
      <c r="CL23" s="47">
        <v>0.74480224798379213</v>
      </c>
      <c r="CM23" s="47">
        <v>0.18183038509232019</v>
      </c>
      <c r="CN23" s="47">
        <v>0</v>
      </c>
      <c r="CO23" s="47">
        <v>2.7812023357101669E-2</v>
      </c>
      <c r="CP23" s="47">
        <v>4.3691998369614182E-2</v>
      </c>
      <c r="CQ23" s="47">
        <v>1.4187915437894409</v>
      </c>
      <c r="CR23" s="47">
        <v>4.9087916129145226</v>
      </c>
      <c r="CS23" s="47">
        <v>50.314938471196612</v>
      </c>
      <c r="CT23" s="47">
        <v>0</v>
      </c>
      <c r="CU23" s="47">
        <v>46.621838105963782</v>
      </c>
      <c r="CV23" s="47">
        <v>5.2781161185546079E-2</v>
      </c>
      <c r="CW23" s="47">
        <v>21.923550069329821</v>
      </c>
      <c r="CX23" s="47">
        <v>9.0636268816553294</v>
      </c>
      <c r="CY23" s="47">
        <v>31.633509270537289</v>
      </c>
      <c r="CZ23" s="47">
        <v>11.520527859237539</v>
      </c>
      <c r="DA23" s="47">
        <v>0</v>
      </c>
      <c r="DB23" s="47">
        <v>0.97214863800394924</v>
      </c>
      <c r="DC23" s="47">
        <v>0</v>
      </c>
      <c r="DD23" s="48">
        <v>2043</v>
      </c>
      <c r="DE23" s="47">
        <v>2200</v>
      </c>
      <c r="DF23" s="47">
        <v>0</v>
      </c>
      <c r="DG23" s="47">
        <v>2200</v>
      </c>
      <c r="DH23" s="47">
        <v>0</v>
      </c>
      <c r="DI23" s="47">
        <v>0</v>
      </c>
      <c r="DJ23" s="47">
        <v>85</v>
      </c>
      <c r="DK23" s="47">
        <v>0</v>
      </c>
      <c r="DL23" s="47">
        <v>275</v>
      </c>
      <c r="DM23" s="47">
        <v>111</v>
      </c>
      <c r="DN23" s="47">
        <v>216</v>
      </c>
      <c r="DO23" s="48">
        <v>4930</v>
      </c>
      <c r="DP23" s="47"/>
      <c r="DQ23" s="47"/>
      <c r="DR23" s="47"/>
      <c r="DS23" s="47"/>
    </row>
    <row r="24" spans="1:123" x14ac:dyDescent="0.45">
      <c r="A24" s="6" t="s">
        <v>160</v>
      </c>
      <c r="B24" t="s">
        <v>161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1.716141001855288E-2</v>
      </c>
      <c r="Q24" s="47">
        <v>0</v>
      </c>
      <c r="R24" s="47">
        <v>0</v>
      </c>
      <c r="S24" s="47">
        <v>0</v>
      </c>
      <c r="T24" s="47">
        <v>1.0875482458243699</v>
      </c>
      <c r="U24" s="47">
        <v>193.03576152671471</v>
      </c>
      <c r="V24" s="47">
        <v>2.7205033277045318</v>
      </c>
      <c r="W24" s="47">
        <v>0.13733310850485261</v>
      </c>
      <c r="X24" s="47">
        <v>9.195133147153535E-2</v>
      </c>
      <c r="Y24" s="47">
        <v>0.26219113172497333</v>
      </c>
      <c r="Z24" s="47">
        <v>0</v>
      </c>
      <c r="AA24" s="47">
        <v>2.026945936016843E-2</v>
      </c>
      <c r="AB24" s="47">
        <v>0.1482934751140112</v>
      </c>
      <c r="AC24" s="47">
        <v>0.53543599257884977</v>
      </c>
      <c r="AD24" s="47">
        <v>2.5531053888736941E-5</v>
      </c>
      <c r="AE24" s="47">
        <v>0.1665662256597141</v>
      </c>
      <c r="AF24" s="47">
        <v>0</v>
      </c>
      <c r="AG24" s="47">
        <v>1.904916512059369</v>
      </c>
      <c r="AH24" s="47">
        <v>1.434420096914599</v>
      </c>
      <c r="AI24" s="47">
        <v>1.6890464470445999E-2</v>
      </c>
      <c r="AJ24" s="47">
        <v>0.31309122466945821</v>
      </c>
      <c r="AK24" s="47">
        <v>1.045024662060996E-3</v>
      </c>
      <c r="AL24" s="47">
        <v>3.7948801134437382E-2</v>
      </c>
      <c r="AM24" s="47">
        <v>7.9044838507181369E-3</v>
      </c>
      <c r="AN24" s="47">
        <v>1.134586572162924</v>
      </c>
      <c r="AO24" s="47">
        <v>0.36617789069327272</v>
      </c>
      <c r="AP24" s="47">
        <v>0.24952832683031051</v>
      </c>
      <c r="AQ24" s="47">
        <v>0.91359230011893178</v>
      </c>
      <c r="AR24" s="47">
        <v>120.6339968060833</v>
      </c>
      <c r="AS24" s="47">
        <v>2.7180519405551669E-2</v>
      </c>
      <c r="AT24" s="47">
        <v>7.3723802171814984E-2</v>
      </c>
      <c r="AU24" s="47">
        <v>0.14037990423152219</v>
      </c>
      <c r="AV24" s="47">
        <v>0.28589472850785752</v>
      </c>
      <c r="AW24" s="47">
        <v>27.190830504230529</v>
      </c>
      <c r="AX24" s="47">
        <v>1.721837200292712E-3</v>
      </c>
      <c r="AY24" s="47">
        <v>1.443019997052053E-2</v>
      </c>
      <c r="AZ24" s="47">
        <v>3.3095114364911522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196.82264961937861</v>
      </c>
      <c r="BH24" s="47">
        <v>3.3489533495539313E-2</v>
      </c>
      <c r="BI24" s="47">
        <v>245.41922088327499</v>
      </c>
      <c r="BJ24" s="47">
        <v>0.53745298152677745</v>
      </c>
      <c r="BK24" s="47">
        <v>0</v>
      </c>
      <c r="BL24" s="47">
        <v>2.4380651325906548</v>
      </c>
      <c r="BM24" s="47">
        <v>0</v>
      </c>
      <c r="BN24" s="47">
        <v>0</v>
      </c>
      <c r="BO24" s="47">
        <v>0</v>
      </c>
      <c r="BP24" s="47">
        <v>4.2794356492187498E-3</v>
      </c>
      <c r="BQ24" s="47">
        <v>1.6066908064694141</v>
      </c>
      <c r="BR24" s="47">
        <v>12.52334967088354</v>
      </c>
      <c r="BS24" s="47">
        <v>0.26832079788087232</v>
      </c>
      <c r="BT24" s="47">
        <v>1.0131102202641309E-2</v>
      </c>
      <c r="BU24" s="47">
        <v>1.125226970018153E-2</v>
      </c>
      <c r="BV24" s="47">
        <v>1.304688319295735</v>
      </c>
      <c r="BW24" s="47">
        <v>0.28434688749186687</v>
      </c>
      <c r="BX24" s="47">
        <v>5.8013278762490517</v>
      </c>
      <c r="BY24" s="47">
        <v>1.7279198206197051</v>
      </c>
      <c r="BZ24" s="47">
        <v>2.711715010914461E-2</v>
      </c>
      <c r="CA24" s="47">
        <v>0</v>
      </c>
      <c r="CB24" s="47">
        <v>5</v>
      </c>
      <c r="CC24" s="47">
        <v>21.451226044037469</v>
      </c>
      <c r="CD24" s="47">
        <v>0.24325472966306119</v>
      </c>
      <c r="CE24" s="47">
        <v>0.1096700590682764</v>
      </c>
      <c r="CF24" s="47">
        <v>6.7408587612998963E-2</v>
      </c>
      <c r="CG24" s="47">
        <v>0.74278205693444865</v>
      </c>
      <c r="CH24" s="47">
        <v>1.247273636975284E-5</v>
      </c>
      <c r="CI24" s="47">
        <v>7.9070838019206932E-2</v>
      </c>
      <c r="CJ24" s="47">
        <v>148.30291722040681</v>
      </c>
      <c r="CK24" s="47">
        <v>0</v>
      </c>
      <c r="CL24" s="47">
        <v>0.88007090377175035</v>
      </c>
      <c r="CM24" s="47">
        <v>1.4192964698366801E-2</v>
      </c>
      <c r="CN24" s="47">
        <v>0</v>
      </c>
      <c r="CO24" s="47">
        <v>0.14541490944351279</v>
      </c>
      <c r="CP24" s="47">
        <v>2.5695874041715069E-3</v>
      </c>
      <c r="CQ24" s="47">
        <v>1.473759764203654</v>
      </c>
      <c r="CR24" s="47">
        <v>14.72637483874357</v>
      </c>
      <c r="CS24" s="47">
        <v>43.319993367452028</v>
      </c>
      <c r="CT24" s="47">
        <v>96.604093472633139</v>
      </c>
      <c r="CU24" s="47">
        <v>0</v>
      </c>
      <c r="CV24" s="47">
        <v>2.706726214643389E-3</v>
      </c>
      <c r="CW24" s="47">
        <v>0</v>
      </c>
      <c r="CX24" s="47">
        <v>3.0495782018315511E-2</v>
      </c>
      <c r="CY24" s="47">
        <v>1.6222312446429381</v>
      </c>
      <c r="CZ24" s="47">
        <v>0.96004398826979476</v>
      </c>
      <c r="DA24" s="47">
        <v>0</v>
      </c>
      <c r="DB24" s="47">
        <v>49.120595953618192</v>
      </c>
      <c r="DC24" s="47">
        <v>0</v>
      </c>
      <c r="DD24" s="48">
        <v>1210</v>
      </c>
      <c r="DE24" s="47">
        <v>2659</v>
      </c>
      <c r="DF24" s="47">
        <v>0</v>
      </c>
      <c r="DG24" s="47">
        <v>2659</v>
      </c>
      <c r="DH24" s="47">
        <v>0</v>
      </c>
      <c r="DI24" s="47">
        <v>722</v>
      </c>
      <c r="DJ24" s="47">
        <v>-16</v>
      </c>
      <c r="DK24" s="47">
        <v>0</v>
      </c>
      <c r="DL24" s="47">
        <v>1161</v>
      </c>
      <c r="DM24" s="47">
        <v>654</v>
      </c>
      <c r="DN24" s="47">
        <v>199</v>
      </c>
      <c r="DO24" s="48">
        <v>6589</v>
      </c>
      <c r="DP24" s="47"/>
      <c r="DQ24" s="47"/>
      <c r="DR24" s="47"/>
      <c r="DS24" s="47"/>
    </row>
    <row r="25" spans="1:123" x14ac:dyDescent="0.45">
      <c r="A25" s="6" t="s">
        <v>162</v>
      </c>
      <c r="B25" t="s">
        <v>163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1.009985288704877</v>
      </c>
      <c r="BH25" s="47">
        <v>1.076216671172924E-2</v>
      </c>
      <c r="BI25" s="47">
        <v>1.2352016582360399</v>
      </c>
      <c r="BJ25" s="47">
        <v>0.91245137021738276</v>
      </c>
      <c r="BK25" s="47">
        <v>0</v>
      </c>
      <c r="BL25" s="47">
        <v>1.2358795773623541E-4</v>
      </c>
      <c r="BM25" s="47">
        <v>0</v>
      </c>
      <c r="BN25" s="47">
        <v>0</v>
      </c>
      <c r="BO25" s="47">
        <v>0</v>
      </c>
      <c r="BP25" s="47">
        <v>8.0910000490170956E-5</v>
      </c>
      <c r="BQ25" s="47">
        <v>0.40255547388259372</v>
      </c>
      <c r="BR25" s="47">
        <v>0.39097724775379478</v>
      </c>
      <c r="BS25" s="47">
        <v>1.7735489877526241E-3</v>
      </c>
      <c r="BT25" s="47">
        <v>4.0581927997450971E-7</v>
      </c>
      <c r="BU25" s="47">
        <v>1.6444101817207091E-6</v>
      </c>
      <c r="BV25" s="47">
        <v>1.700784359428025</v>
      </c>
      <c r="BW25" s="47">
        <v>2.148021364486636E-2</v>
      </c>
      <c r="BX25" s="47">
        <v>7.5639937696131376</v>
      </c>
      <c r="BY25" s="47">
        <v>1.7279198206197051</v>
      </c>
      <c r="BZ25" s="47">
        <v>6.6435891066812713</v>
      </c>
      <c r="CA25" s="47">
        <v>0</v>
      </c>
      <c r="CB25" s="47">
        <v>1</v>
      </c>
      <c r="CC25" s="47">
        <v>12.65990735922272</v>
      </c>
      <c r="CD25" s="47">
        <v>1.865337320163007E-4</v>
      </c>
      <c r="CE25" s="47">
        <v>8.9279508992934353E-3</v>
      </c>
      <c r="CF25" s="47">
        <v>8.7351839016998126E-2</v>
      </c>
      <c r="CG25" s="47">
        <v>0</v>
      </c>
      <c r="CH25" s="47">
        <v>2.379583480595262</v>
      </c>
      <c r="CI25" s="47">
        <v>1.3466652380906231E-3</v>
      </c>
      <c r="CJ25" s="47">
        <v>3.9260861609662003E-2</v>
      </c>
      <c r="CK25" s="47">
        <v>0</v>
      </c>
      <c r="CL25" s="47">
        <v>0.20927067902938459</v>
      </c>
      <c r="CM25" s="47">
        <v>2.3486901535682021E-3</v>
      </c>
      <c r="CN25" s="47">
        <v>0</v>
      </c>
      <c r="CO25" s="47">
        <v>1.867769019253051E-3</v>
      </c>
      <c r="CP25" s="47">
        <v>1.7106549364613881E-3</v>
      </c>
      <c r="CQ25" s="47">
        <v>0.20371469404463241</v>
      </c>
      <c r="CR25" s="47">
        <v>111.9204487744511</v>
      </c>
      <c r="CS25" s="47">
        <v>12.35805506310092</v>
      </c>
      <c r="CT25" s="47">
        <v>64.074143629807679</v>
      </c>
      <c r="CU25" s="47">
        <v>11.655459526490951</v>
      </c>
      <c r="CV25" s="47">
        <v>0</v>
      </c>
      <c r="CW25" s="47">
        <v>5.5321358371141424E-3</v>
      </c>
      <c r="CX25" s="47">
        <v>0.84818962946524545</v>
      </c>
      <c r="CY25" s="47">
        <v>0</v>
      </c>
      <c r="CZ25" s="47">
        <v>1.92008797653959</v>
      </c>
      <c r="DA25" s="47">
        <v>0</v>
      </c>
      <c r="DB25" s="47">
        <v>9.2551414113489674E-4</v>
      </c>
      <c r="DC25" s="47">
        <v>0</v>
      </c>
      <c r="DD25" s="48">
        <v>241</v>
      </c>
      <c r="DE25" s="47">
        <v>745</v>
      </c>
      <c r="DF25" s="47">
        <v>0</v>
      </c>
      <c r="DG25" s="47">
        <v>745</v>
      </c>
      <c r="DH25" s="47">
        <v>0</v>
      </c>
      <c r="DI25" s="47">
        <v>0</v>
      </c>
      <c r="DJ25" s="47">
        <v>39</v>
      </c>
      <c r="DK25" s="47">
        <v>0</v>
      </c>
      <c r="DL25" s="47">
        <v>525</v>
      </c>
      <c r="DM25" s="47">
        <v>564</v>
      </c>
      <c r="DN25" s="47">
        <v>1893</v>
      </c>
      <c r="DO25" s="48">
        <v>4007</v>
      </c>
      <c r="DP25" s="47"/>
      <c r="DQ25" s="47"/>
      <c r="DR25" s="47"/>
      <c r="DS25" s="47"/>
    </row>
    <row r="26" spans="1:123" x14ac:dyDescent="0.45">
      <c r="A26" s="6" t="s">
        <v>164</v>
      </c>
      <c r="B26" t="s">
        <v>165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1.411764705882353E-3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8.9411764705882354E-3</v>
      </c>
      <c r="AX26" s="47">
        <v>0</v>
      </c>
      <c r="AY26" s="47">
        <v>1.411764705882353E-3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4.9148010522255889</v>
      </c>
      <c r="BH26" s="47">
        <v>6.2798386865738491E-5</v>
      </c>
      <c r="BI26" s="47">
        <v>1.132622802916625</v>
      </c>
      <c r="BJ26" s="47">
        <v>6.5897849303745721E-3</v>
      </c>
      <c r="BK26" s="47">
        <v>0</v>
      </c>
      <c r="BL26" s="47">
        <v>3.230242400013783E-4</v>
      </c>
      <c r="BM26" s="47">
        <v>0</v>
      </c>
      <c r="BN26" s="47">
        <v>0</v>
      </c>
      <c r="BO26" s="47">
        <v>0</v>
      </c>
      <c r="BP26" s="47">
        <v>2.1148111318496969E-4</v>
      </c>
      <c r="BQ26" s="47">
        <v>5.1187690955269158E-3</v>
      </c>
      <c r="BR26" s="47">
        <v>0.1080819940665618</v>
      </c>
      <c r="BS26" s="47">
        <v>1.557348850152519E-3</v>
      </c>
      <c r="BT26" s="47">
        <v>5.79741828535014E-7</v>
      </c>
      <c r="BU26" s="47">
        <v>2.3491574024581552E-6</v>
      </c>
      <c r="BV26" s="47">
        <v>1.107603337756113</v>
      </c>
      <c r="BW26" s="47">
        <v>2.222881658941403E-2</v>
      </c>
      <c r="BX26" s="47">
        <v>7.4807397873222188E-3</v>
      </c>
      <c r="BY26" s="47">
        <v>1.7279198206197051</v>
      </c>
      <c r="BZ26" s="47">
        <v>9.4390734953955242</v>
      </c>
      <c r="CA26" s="47">
        <v>0</v>
      </c>
      <c r="CB26" s="47">
        <v>0</v>
      </c>
      <c r="CC26" s="47">
        <v>27.43263125057041</v>
      </c>
      <c r="CD26" s="47">
        <v>3.976925784982898E-4</v>
      </c>
      <c r="CE26" s="47">
        <v>1.6238266107170649E-7</v>
      </c>
      <c r="CF26" s="47">
        <v>0</v>
      </c>
      <c r="CG26" s="47">
        <v>0</v>
      </c>
      <c r="CH26" s="47">
        <v>1.0865415923924211</v>
      </c>
      <c r="CI26" s="47">
        <v>6.6121569331258775E-7</v>
      </c>
      <c r="CJ26" s="47">
        <v>4.8385730655544787E-2</v>
      </c>
      <c r="CK26" s="47">
        <v>0</v>
      </c>
      <c r="CL26" s="47">
        <v>0.1093598181893862</v>
      </c>
      <c r="CM26" s="47">
        <v>2.3486901535682021E-3</v>
      </c>
      <c r="CN26" s="47">
        <v>0</v>
      </c>
      <c r="CO26" s="47">
        <v>6.1209983150800336E-4</v>
      </c>
      <c r="CP26" s="47">
        <v>0</v>
      </c>
      <c r="CQ26" s="47">
        <v>0.1888498617202839</v>
      </c>
      <c r="CR26" s="47">
        <v>104.0663821937879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0.84634146341463423</v>
      </c>
      <c r="CY26" s="47">
        <v>0</v>
      </c>
      <c r="CZ26" s="47">
        <v>0</v>
      </c>
      <c r="DA26" s="47">
        <v>1.7327058823529411</v>
      </c>
      <c r="DB26" s="47">
        <v>0</v>
      </c>
      <c r="DC26" s="47">
        <v>0</v>
      </c>
      <c r="DD26" s="48">
        <v>154</v>
      </c>
      <c r="DE26" s="47">
        <v>17</v>
      </c>
      <c r="DF26" s="47">
        <v>0</v>
      </c>
      <c r="DG26" s="47">
        <v>17</v>
      </c>
      <c r="DH26" s="47">
        <v>0</v>
      </c>
      <c r="DI26" s="47">
        <v>0</v>
      </c>
      <c r="DJ26" s="47">
        <v>80</v>
      </c>
      <c r="DK26" s="47">
        <v>0</v>
      </c>
      <c r="DL26" s="47">
        <v>1</v>
      </c>
      <c r="DM26" s="47">
        <v>0</v>
      </c>
      <c r="DN26" s="47">
        <v>733</v>
      </c>
      <c r="DO26" s="48">
        <v>985</v>
      </c>
      <c r="DP26" s="47"/>
      <c r="DQ26" s="47"/>
      <c r="DR26" s="47"/>
      <c r="DS26" s="47"/>
    </row>
    <row r="27" spans="1:123" x14ac:dyDescent="0.45">
      <c r="A27" s="6" t="s">
        <v>166</v>
      </c>
      <c r="B27" t="s">
        <v>167</v>
      </c>
      <c r="C27" s="47">
        <v>0</v>
      </c>
      <c r="D27" s="47">
        <v>0</v>
      </c>
      <c r="E27" s="47">
        <v>0</v>
      </c>
      <c r="F27" s="47">
        <v>0</v>
      </c>
      <c r="G27" s="47">
        <v>17.74369592297074</v>
      </c>
      <c r="H27" s="47">
        <v>0</v>
      </c>
      <c r="I27" s="47">
        <v>0</v>
      </c>
      <c r="J27" s="47">
        <v>0.9558590255864774</v>
      </c>
      <c r="K27" s="47">
        <v>5.2342997704762769E-3</v>
      </c>
      <c r="L27" s="47">
        <v>4.4210039867836388E-4</v>
      </c>
      <c r="M27" s="47">
        <v>2.1645327012473192E-3</v>
      </c>
      <c r="N27" s="47">
        <v>7.8190944282646897E-4</v>
      </c>
      <c r="O27" s="47">
        <v>7.4852779034220102E-5</v>
      </c>
      <c r="P27" s="47">
        <v>6.4529253832071282E-2</v>
      </c>
      <c r="Q27" s="47">
        <v>1.366869477533769E-2</v>
      </c>
      <c r="R27" s="47">
        <v>1.1519006360494819E-3</v>
      </c>
      <c r="S27" s="47">
        <v>6.0099163619972966E-4</v>
      </c>
      <c r="T27" s="47">
        <v>2.985854461549899</v>
      </c>
      <c r="U27" s="47">
        <v>0.59906198195892746</v>
      </c>
      <c r="V27" s="47">
        <v>8.5448819792433833E-3</v>
      </c>
      <c r="W27" s="47">
        <v>6.705950820000683</v>
      </c>
      <c r="X27" s="47">
        <v>306.66005874311168</v>
      </c>
      <c r="Y27" s="47">
        <v>10.849704801016181</v>
      </c>
      <c r="Z27" s="47">
        <v>7.5450005389286084E-4</v>
      </c>
      <c r="AA27" s="47">
        <v>1.716591156405405</v>
      </c>
      <c r="AB27" s="47">
        <v>0.48266997908561238</v>
      </c>
      <c r="AC27" s="47">
        <v>1.6940493888606041</v>
      </c>
      <c r="AD27" s="47">
        <v>4.0184629573973988E-3</v>
      </c>
      <c r="AE27" s="47">
        <v>1.303346198220418</v>
      </c>
      <c r="AF27" s="47">
        <v>1.4990761745930781E-2</v>
      </c>
      <c r="AG27" s="47">
        <v>8.3474205436117792</v>
      </c>
      <c r="AH27" s="47">
        <v>1.760931667744817</v>
      </c>
      <c r="AI27" s="47">
        <v>5.0772607533687682E-2</v>
      </c>
      <c r="AJ27" s="47">
        <v>1.239093849638524</v>
      </c>
      <c r="AK27" s="47">
        <v>0.41005031208635973</v>
      </c>
      <c r="AL27" s="47">
        <v>0.23726637841520151</v>
      </c>
      <c r="AM27" s="47">
        <v>4.4654884291610992</v>
      </c>
      <c r="AN27" s="47">
        <v>22.886501470592659</v>
      </c>
      <c r="AO27" s="47">
        <v>0.45790783038728988</v>
      </c>
      <c r="AP27" s="47">
        <v>8.126490346631229</v>
      </c>
      <c r="AQ27" s="47">
        <v>10.571976981572959</v>
      </c>
      <c r="AR27" s="47">
        <v>96.988146009890642</v>
      </c>
      <c r="AS27" s="47">
        <v>49.000268300943141</v>
      </c>
      <c r="AT27" s="47">
        <v>6.0096622026520041</v>
      </c>
      <c r="AU27" s="47">
        <v>2.8093291957475661</v>
      </c>
      <c r="AV27" s="47">
        <v>644.24462118529323</v>
      </c>
      <c r="AW27" s="47">
        <v>85.375148423903923</v>
      </c>
      <c r="AX27" s="47">
        <v>1.6377292107090899</v>
      </c>
      <c r="AY27" s="47">
        <v>9.0098009203564755E-2</v>
      </c>
      <c r="AZ27" s="47">
        <v>32.791444788296481</v>
      </c>
      <c r="BA27" s="47">
        <v>0</v>
      </c>
      <c r="BB27" s="47">
        <v>0</v>
      </c>
      <c r="BC27" s="47">
        <v>0</v>
      </c>
      <c r="BD27" s="47">
        <v>0</v>
      </c>
      <c r="BE27" s="47">
        <v>2.7323859258625109</v>
      </c>
      <c r="BF27" s="47">
        <v>0</v>
      </c>
      <c r="BG27" s="47">
        <v>4485.0809377883352</v>
      </c>
      <c r="BH27" s="47">
        <v>5.7218405925771744E-4</v>
      </c>
      <c r="BI27" s="47">
        <v>40.058243805873467</v>
      </c>
      <c r="BJ27" s="47">
        <v>4.1443396264028554</v>
      </c>
      <c r="BK27" s="47">
        <v>0</v>
      </c>
      <c r="BL27" s="47">
        <v>2.4936478850861228</v>
      </c>
      <c r="BM27" s="47">
        <v>0</v>
      </c>
      <c r="BN27" s="47">
        <v>0</v>
      </c>
      <c r="BO27" s="47">
        <v>0</v>
      </c>
      <c r="BP27" s="47">
        <v>2.501952288701766E-3</v>
      </c>
      <c r="BQ27" s="47">
        <v>6.466348133278931</v>
      </c>
      <c r="BR27" s="47">
        <v>70.156927408461058</v>
      </c>
      <c r="BS27" s="47">
        <v>0.41891118261901272</v>
      </c>
      <c r="BT27" s="47">
        <v>2.1156875846945451E-5</v>
      </c>
      <c r="BU27" s="47">
        <v>1.462804540419682E-5</v>
      </c>
      <c r="BV27" s="47">
        <v>6.7666623794209038</v>
      </c>
      <c r="BW27" s="47">
        <v>2.263463760524654E-2</v>
      </c>
      <c r="BX27" s="47">
        <v>3.824072207967399</v>
      </c>
      <c r="BY27" s="47">
        <v>5.1837594618591138</v>
      </c>
      <c r="BZ27" s="47">
        <v>14.17697345232212</v>
      </c>
      <c r="CA27" s="47">
        <v>0</v>
      </c>
      <c r="CB27" s="47">
        <v>174</v>
      </c>
      <c r="CC27" s="47">
        <v>73.299775500401651</v>
      </c>
      <c r="CD27" s="47">
        <v>0.1236887013286373</v>
      </c>
      <c r="CE27" s="47">
        <v>0.28411329695825638</v>
      </c>
      <c r="CF27" s="47">
        <v>0.66616258114218574</v>
      </c>
      <c r="CG27" s="47">
        <v>1.6115927244130119</v>
      </c>
      <c r="CH27" s="47">
        <v>23.595133756124781</v>
      </c>
      <c r="CI27" s="47">
        <v>0.58306843098373573</v>
      </c>
      <c r="CJ27" s="47">
        <v>9.5863205363785831</v>
      </c>
      <c r="CK27" s="47">
        <v>0</v>
      </c>
      <c r="CL27" s="47">
        <v>3.809968485159295</v>
      </c>
      <c r="CM27" s="47">
        <v>9.3289798094222699E-4</v>
      </c>
      <c r="CN27" s="47">
        <v>0</v>
      </c>
      <c r="CO27" s="47">
        <v>3.3702826588521231</v>
      </c>
      <c r="CP27" s="47">
        <v>259.05663365802423</v>
      </c>
      <c r="CQ27" s="47">
        <v>4.7048712680927176</v>
      </c>
      <c r="CR27" s="47">
        <v>8.8358249032461433</v>
      </c>
      <c r="CS27" s="47">
        <v>59.142120659125837</v>
      </c>
      <c r="CT27" s="47">
        <v>0</v>
      </c>
      <c r="CU27" s="47">
        <v>0</v>
      </c>
      <c r="CV27" s="47">
        <v>6.6725528086892787</v>
      </c>
      <c r="CW27" s="47">
        <v>0</v>
      </c>
      <c r="CX27" s="47">
        <v>0</v>
      </c>
      <c r="CY27" s="47">
        <v>0</v>
      </c>
      <c r="CZ27" s="47">
        <v>2.8801319648093839</v>
      </c>
      <c r="DA27" s="47">
        <v>9.5298823529411774</v>
      </c>
      <c r="DB27" s="47">
        <v>61.403841633495418</v>
      </c>
      <c r="DC27" s="47">
        <v>0</v>
      </c>
      <c r="DD27" s="48">
        <v>6674.0000000000018</v>
      </c>
      <c r="DE27" s="47">
        <v>621</v>
      </c>
      <c r="DF27" s="47">
        <v>0</v>
      </c>
      <c r="DG27" s="47">
        <v>621</v>
      </c>
      <c r="DH27" s="47">
        <v>0</v>
      </c>
      <c r="DI27" s="47">
        <v>0</v>
      </c>
      <c r="DJ27" s="47">
        <v>542</v>
      </c>
      <c r="DK27" s="47">
        <v>0</v>
      </c>
      <c r="DL27" s="47">
        <v>337</v>
      </c>
      <c r="DM27" s="47">
        <v>84</v>
      </c>
      <c r="DN27" s="47">
        <v>37</v>
      </c>
      <c r="DO27" s="48">
        <v>8295</v>
      </c>
      <c r="DP27" s="47"/>
      <c r="DQ27" s="47"/>
      <c r="DR27" s="47"/>
      <c r="DS27" s="47"/>
    </row>
    <row r="28" spans="1:123" x14ac:dyDescent="0.45">
      <c r="A28" s="6" t="s">
        <v>168</v>
      </c>
      <c r="B28" t="s">
        <v>169</v>
      </c>
      <c r="C28" s="47">
        <v>71.079936890063152</v>
      </c>
      <c r="D28" s="47">
        <v>0.7734864300626304</v>
      </c>
      <c r="E28" s="47">
        <v>3.818598259276226</v>
      </c>
      <c r="F28" s="47">
        <v>0</v>
      </c>
      <c r="G28" s="47">
        <v>1.925859379262304</v>
      </c>
      <c r="H28" s="47">
        <v>2.188223865379181</v>
      </c>
      <c r="I28" s="47">
        <v>0.91198202749277069</v>
      </c>
      <c r="J28" s="47">
        <v>102.20883920033449</v>
      </c>
      <c r="K28" s="47">
        <v>53.883078736742704</v>
      </c>
      <c r="L28" s="47">
        <v>21.99159537410975</v>
      </c>
      <c r="M28" s="47">
        <v>43.205930113585993</v>
      </c>
      <c r="N28" s="47">
        <v>104.0113225324928</v>
      </c>
      <c r="O28" s="47">
        <v>216.10390005455329</v>
      </c>
      <c r="P28" s="47">
        <v>190.93760479753959</v>
      </c>
      <c r="Q28" s="47">
        <v>67.990354606662507</v>
      </c>
      <c r="R28" s="47">
        <v>69.306337505842023</v>
      </c>
      <c r="S28" s="47">
        <v>1.1142916107441649</v>
      </c>
      <c r="T28" s="47">
        <v>2.150487257380894</v>
      </c>
      <c r="U28" s="47">
        <v>15.06206959636568</v>
      </c>
      <c r="V28" s="47">
        <v>2.9285852180644358</v>
      </c>
      <c r="W28" s="47">
        <v>14.93260477612624</v>
      </c>
      <c r="X28" s="47">
        <v>2.0608620961088868</v>
      </c>
      <c r="Y28" s="47">
        <v>1.716714121318822</v>
      </c>
      <c r="Z28" s="47">
        <v>1.961700140121438E-2</v>
      </c>
      <c r="AA28" s="47">
        <v>1.0050491939746411</v>
      </c>
      <c r="AB28" s="47">
        <v>108.3786149861469</v>
      </c>
      <c r="AC28" s="47">
        <v>34.922806823457087</v>
      </c>
      <c r="AD28" s="47">
        <v>11.13244574313687</v>
      </c>
      <c r="AE28" s="47">
        <v>4.4475645714005312</v>
      </c>
      <c r="AF28" s="47">
        <v>1.8808022392189701</v>
      </c>
      <c r="AG28" s="47">
        <v>70.190447114582071</v>
      </c>
      <c r="AH28" s="47">
        <v>105.8452520301464</v>
      </c>
      <c r="AI28" s="47">
        <v>34.746956048114413</v>
      </c>
      <c r="AJ28" s="47">
        <v>11.328129658422689</v>
      </c>
      <c r="AK28" s="47">
        <v>4.4990969146369686</v>
      </c>
      <c r="AL28" s="47">
        <v>0.94317567453889306</v>
      </c>
      <c r="AM28" s="47">
        <v>0.73538821106013108</v>
      </c>
      <c r="AN28" s="47">
        <v>63.184577775747897</v>
      </c>
      <c r="AO28" s="47">
        <v>44.316577194621011</v>
      </c>
      <c r="AP28" s="47">
        <v>41.799254171288858</v>
      </c>
      <c r="AQ28" s="47">
        <v>6.2905437156583286</v>
      </c>
      <c r="AR28" s="47">
        <v>37.874157657640467</v>
      </c>
      <c r="AS28" s="47">
        <v>2.3741315707031121</v>
      </c>
      <c r="AT28" s="47">
        <v>21.415318768355291</v>
      </c>
      <c r="AU28" s="47">
        <v>1.010793399252323</v>
      </c>
      <c r="AV28" s="47">
        <v>21.884327068560371</v>
      </c>
      <c r="AW28" s="47">
        <v>26.906710781810229</v>
      </c>
      <c r="AX28" s="47">
        <v>0.79978737689129198</v>
      </c>
      <c r="AY28" s="47">
        <v>5.3533082165623497E-2</v>
      </c>
      <c r="AZ28" s="47">
        <v>12.528201179795509</v>
      </c>
      <c r="BA28" s="47">
        <v>7.6442602928821826</v>
      </c>
      <c r="BB28" s="47">
        <v>17.908393138220379</v>
      </c>
      <c r="BC28" s="47">
        <v>2.7293704539754202</v>
      </c>
      <c r="BD28" s="47">
        <v>1.933452879059574</v>
      </c>
      <c r="BE28" s="47">
        <v>70.137178079492017</v>
      </c>
      <c r="BF28" s="47">
        <v>0.97560975609756095</v>
      </c>
      <c r="BG28" s="47">
        <v>204.2869202901424</v>
      </c>
      <c r="BH28" s="47">
        <v>55.642741725979931</v>
      </c>
      <c r="BI28" s="47">
        <v>276.77204413169147</v>
      </c>
      <c r="BJ28" s="47">
        <v>239.46372449219061</v>
      </c>
      <c r="BK28" s="47">
        <v>2.9598507270621548</v>
      </c>
      <c r="BL28" s="47">
        <v>98.419156369874003</v>
      </c>
      <c r="BM28" s="47">
        <v>4.8825342248202688</v>
      </c>
      <c r="BN28" s="47">
        <v>5.8751216590551767</v>
      </c>
      <c r="BO28" s="47">
        <v>140.516577190248</v>
      </c>
      <c r="BP28" s="47">
        <v>86.321193859865218</v>
      </c>
      <c r="BQ28" s="47">
        <v>97.362159583140496</v>
      </c>
      <c r="BR28" s="47">
        <v>277.57659628995913</v>
      </c>
      <c r="BS28" s="47">
        <v>1032.7487626372699</v>
      </c>
      <c r="BT28" s="47">
        <v>62.424644619237903</v>
      </c>
      <c r="BU28" s="47">
        <v>55.027678071426458</v>
      </c>
      <c r="BV28" s="47">
        <v>180.55049330144979</v>
      </c>
      <c r="BW28" s="47">
        <v>258.69399138477121</v>
      </c>
      <c r="BX28" s="47">
        <v>172.3627132061329</v>
      </c>
      <c r="BY28" s="47">
        <v>23.326917578366011</v>
      </c>
      <c r="BZ28" s="47">
        <v>158.62627520631369</v>
      </c>
      <c r="CA28" s="47">
        <v>21.657885849375209</v>
      </c>
      <c r="CB28" s="47">
        <v>23</v>
      </c>
      <c r="CC28" s="47">
        <v>119.29207506950139</v>
      </c>
      <c r="CD28" s="47">
        <v>104.9118854954764</v>
      </c>
      <c r="CE28" s="47">
        <v>34.156488512622779</v>
      </c>
      <c r="CF28" s="47">
        <v>100.9207158467289</v>
      </c>
      <c r="CG28" s="47">
        <v>42.230665793763052</v>
      </c>
      <c r="CH28" s="47">
        <v>158.79707773121811</v>
      </c>
      <c r="CI28" s="47">
        <v>306.25099786069012</v>
      </c>
      <c r="CJ28" s="47">
        <v>166.06461756012089</v>
      </c>
      <c r="CK28" s="47">
        <v>31.04062444562711</v>
      </c>
      <c r="CL28" s="47">
        <v>38.58288349596792</v>
      </c>
      <c r="CM28" s="47">
        <v>29.3627071918133</v>
      </c>
      <c r="CN28" s="47">
        <v>68.114110524083145</v>
      </c>
      <c r="CO28" s="47">
        <v>10.773536507177599</v>
      </c>
      <c r="CP28" s="47">
        <v>128.3485010260483</v>
      </c>
      <c r="CQ28" s="47">
        <v>14.22385922292028</v>
      </c>
      <c r="CR28" s="47">
        <v>599.85433509815482</v>
      </c>
      <c r="CS28" s="47">
        <v>528.21308260393346</v>
      </c>
      <c r="CT28" s="47">
        <v>605.44126819096095</v>
      </c>
      <c r="CU28" s="47">
        <v>123.38706358146121</v>
      </c>
      <c r="CV28" s="47">
        <v>6.8782640010021758</v>
      </c>
      <c r="CW28" s="47">
        <v>21.216711228555319</v>
      </c>
      <c r="CX28" s="47">
        <v>60.336484956391772</v>
      </c>
      <c r="CY28" s="47">
        <v>123.4943446319384</v>
      </c>
      <c r="CZ28" s="47">
        <v>81.062633839253166</v>
      </c>
      <c r="DA28" s="47">
        <v>3.77106787553689</v>
      </c>
      <c r="DB28" s="47">
        <v>229.63182630871589</v>
      </c>
      <c r="DC28" s="47">
        <v>0</v>
      </c>
      <c r="DD28" s="48">
        <v>8977</v>
      </c>
      <c r="DE28" s="47">
        <v>1377</v>
      </c>
      <c r="DF28" s="47">
        <v>0</v>
      </c>
      <c r="DG28" s="47">
        <v>1377</v>
      </c>
      <c r="DH28" s="47">
        <v>0</v>
      </c>
      <c r="DI28" s="47">
        <v>0</v>
      </c>
      <c r="DJ28" s="47">
        <v>139</v>
      </c>
      <c r="DK28" s="47">
        <v>0</v>
      </c>
      <c r="DL28" s="47">
        <v>1275</v>
      </c>
      <c r="DM28" s="47">
        <v>542</v>
      </c>
      <c r="DN28" s="47">
        <v>114</v>
      </c>
      <c r="DO28" s="48">
        <v>12424</v>
      </c>
      <c r="DP28" s="47"/>
      <c r="DQ28" s="47"/>
      <c r="DR28" s="47"/>
      <c r="DS28" s="47"/>
    </row>
    <row r="29" spans="1:123" x14ac:dyDescent="0.45">
      <c r="A29" s="6" t="s">
        <v>170</v>
      </c>
      <c r="B29" t="s">
        <v>171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1.662380499705109</v>
      </c>
      <c r="U29" s="47">
        <v>6.7586864701179236E-2</v>
      </c>
      <c r="V29" s="47">
        <v>4.6815151085260326E-3</v>
      </c>
      <c r="W29" s="47">
        <v>0.48595041584251658</v>
      </c>
      <c r="X29" s="47">
        <v>61.532272013602757</v>
      </c>
      <c r="Y29" s="47">
        <v>664.33651628828773</v>
      </c>
      <c r="Z29" s="47">
        <v>0</v>
      </c>
      <c r="AA29" s="47">
        <v>0</v>
      </c>
      <c r="AB29" s="47">
        <v>1.3717751461274781E-2</v>
      </c>
      <c r="AC29" s="47">
        <v>0</v>
      </c>
      <c r="AD29" s="47">
        <v>0</v>
      </c>
      <c r="AE29" s="47">
        <v>1.067854422638915E-2</v>
      </c>
      <c r="AF29" s="47">
        <v>0</v>
      </c>
      <c r="AG29" s="47">
        <v>0</v>
      </c>
      <c r="AH29" s="47">
        <v>0</v>
      </c>
      <c r="AI29" s="47">
        <v>0</v>
      </c>
      <c r="AJ29" s="47">
        <v>4.8697272480190358E-3</v>
      </c>
      <c r="AK29" s="47">
        <v>0.43232599948634531</v>
      </c>
      <c r="AL29" s="47">
        <v>8.6972196287086743E-6</v>
      </c>
      <c r="AM29" s="47">
        <v>0</v>
      </c>
      <c r="AN29" s="47">
        <v>6.4402320919004566E-2</v>
      </c>
      <c r="AO29" s="47">
        <v>0</v>
      </c>
      <c r="AP29" s="47">
        <v>3.0499420943914069E-3</v>
      </c>
      <c r="AQ29" s="47">
        <v>2.7333246728598808E-2</v>
      </c>
      <c r="AR29" s="47">
        <v>7.2530310371161739E-3</v>
      </c>
      <c r="AS29" s="47">
        <v>8.2064909128729078E-3</v>
      </c>
      <c r="AT29" s="47">
        <v>0</v>
      </c>
      <c r="AU29" s="47">
        <v>6.4262763298821857E-3</v>
      </c>
      <c r="AV29" s="47">
        <v>2.6471341097855881</v>
      </c>
      <c r="AW29" s="47">
        <v>65.49238486377601</v>
      </c>
      <c r="AX29" s="47">
        <v>0</v>
      </c>
      <c r="AY29" s="47">
        <v>0</v>
      </c>
      <c r="AZ29" s="47">
        <v>0.47492796571032869</v>
      </c>
      <c r="BA29" s="47">
        <v>0</v>
      </c>
      <c r="BB29" s="47">
        <v>0</v>
      </c>
      <c r="BC29" s="47">
        <v>0</v>
      </c>
      <c r="BD29" s="47">
        <v>0</v>
      </c>
      <c r="BE29" s="47">
        <v>22.769882715520929</v>
      </c>
      <c r="BF29" s="47">
        <v>0</v>
      </c>
      <c r="BG29" s="47">
        <v>0.7428091280682696</v>
      </c>
      <c r="BH29" s="47">
        <v>62.960393613586923</v>
      </c>
      <c r="BI29" s="47">
        <v>1037.1935355300311</v>
      </c>
      <c r="BJ29" s="47">
        <v>855.49127821942761</v>
      </c>
      <c r="BK29" s="47">
        <v>0</v>
      </c>
      <c r="BL29" s="47">
        <v>1.692469048988509</v>
      </c>
      <c r="BM29" s="47">
        <v>0</v>
      </c>
      <c r="BN29" s="47">
        <v>0</v>
      </c>
      <c r="BO29" s="47">
        <v>8.4648540476053036</v>
      </c>
      <c r="BP29" s="47">
        <v>1.179748082901013</v>
      </c>
      <c r="BQ29" s="47">
        <v>30.05757923404277</v>
      </c>
      <c r="BR29" s="47">
        <v>93.941612119280322</v>
      </c>
      <c r="BS29" s="47">
        <v>976.06659637502844</v>
      </c>
      <c r="BT29" s="47">
        <v>10.566097143632449</v>
      </c>
      <c r="BU29" s="47">
        <v>69.265952809278602</v>
      </c>
      <c r="BV29" s="47">
        <v>51.924596659878951</v>
      </c>
      <c r="BW29" s="47">
        <v>2.635731281759552</v>
      </c>
      <c r="BX29" s="47">
        <v>302.03156683137053</v>
      </c>
      <c r="BY29" s="47">
        <v>374.09464116416598</v>
      </c>
      <c r="BZ29" s="47">
        <v>204.38431053619291</v>
      </c>
      <c r="CA29" s="47">
        <v>0</v>
      </c>
      <c r="CB29" s="47">
        <v>25</v>
      </c>
      <c r="CC29" s="47">
        <v>85.499805933060756</v>
      </c>
      <c r="CD29" s="47">
        <v>113.9105716330011</v>
      </c>
      <c r="CE29" s="47">
        <v>1.2319468889876981</v>
      </c>
      <c r="CF29" s="47">
        <v>4.1623969292837826</v>
      </c>
      <c r="CG29" s="47">
        <v>0.53336482841741928</v>
      </c>
      <c r="CH29" s="47">
        <v>92.796003244631933</v>
      </c>
      <c r="CI29" s="47">
        <v>176.5191726954798</v>
      </c>
      <c r="CJ29" s="47">
        <v>5.4688937212936848</v>
      </c>
      <c r="CK29" s="47">
        <v>0</v>
      </c>
      <c r="CL29" s="47">
        <v>12.58479672184848</v>
      </c>
      <c r="CM29" s="47">
        <v>1.2470402249160459</v>
      </c>
      <c r="CN29" s="47">
        <v>95.935366935328375</v>
      </c>
      <c r="CO29" s="47">
        <v>1.253767380541855</v>
      </c>
      <c r="CP29" s="47">
        <v>11.88528086642277</v>
      </c>
      <c r="CQ29" s="47">
        <v>11.227805312730579</v>
      </c>
      <c r="CR29" s="47">
        <v>736.31874193717863</v>
      </c>
      <c r="CS29" s="47">
        <v>925.08869329498339</v>
      </c>
      <c r="CT29" s="47">
        <v>881.26591392381647</v>
      </c>
      <c r="CU29" s="47">
        <v>81.588216685436635</v>
      </c>
      <c r="CV29" s="47">
        <v>14.577120247299581</v>
      </c>
      <c r="CW29" s="47">
        <v>90.048497889628962</v>
      </c>
      <c r="CX29" s="47">
        <v>4.8598599749550218</v>
      </c>
      <c r="CY29" s="47">
        <v>167.08981819822259</v>
      </c>
      <c r="CZ29" s="47">
        <v>0</v>
      </c>
      <c r="DA29" s="47">
        <v>0</v>
      </c>
      <c r="DB29" s="47">
        <v>0.1611634275916774</v>
      </c>
      <c r="DC29" s="47">
        <v>0</v>
      </c>
      <c r="DD29" s="48">
        <v>8443</v>
      </c>
      <c r="DE29" s="47">
        <v>963</v>
      </c>
      <c r="DF29" s="47">
        <v>0</v>
      </c>
      <c r="DG29" s="47">
        <v>963</v>
      </c>
      <c r="DH29" s="47">
        <v>0</v>
      </c>
      <c r="DI29" s="47">
        <v>0</v>
      </c>
      <c r="DJ29" s="47">
        <v>-289</v>
      </c>
      <c r="DK29" s="47">
        <v>0</v>
      </c>
      <c r="DL29" s="47">
        <v>19</v>
      </c>
      <c r="DM29" s="47">
        <v>7</v>
      </c>
      <c r="DN29" s="47">
        <v>0</v>
      </c>
      <c r="DO29" s="48">
        <v>9143</v>
      </c>
      <c r="DP29" s="47"/>
      <c r="DQ29" s="47"/>
      <c r="DR29" s="47"/>
      <c r="DS29" s="47"/>
    </row>
    <row r="30" spans="1:123" x14ac:dyDescent="0.45">
      <c r="A30" s="6" t="s">
        <v>172</v>
      </c>
      <c r="B30" t="s">
        <v>173</v>
      </c>
      <c r="C30" s="47">
        <v>775.44904178159118</v>
      </c>
      <c r="D30" s="47">
        <v>15.46972860125261</v>
      </c>
      <c r="E30" s="47">
        <v>49.64177737059093</v>
      </c>
      <c r="F30" s="47">
        <v>7.8688524590163933</v>
      </c>
      <c r="G30" s="47">
        <v>37.855816777654177</v>
      </c>
      <c r="H30" s="47">
        <v>77.94660105934895</v>
      </c>
      <c r="I30" s="47">
        <v>0.17469335054874111</v>
      </c>
      <c r="J30" s="47">
        <v>55.234562608896461</v>
      </c>
      <c r="K30" s="47">
        <v>11.078170815412619</v>
      </c>
      <c r="L30" s="47">
        <v>3.2583423871679491</v>
      </c>
      <c r="M30" s="47">
        <v>24.453868808217241</v>
      </c>
      <c r="N30" s="47">
        <v>5.4928959049595463</v>
      </c>
      <c r="O30" s="47">
        <v>28.874283762153311</v>
      </c>
      <c r="P30" s="47">
        <v>12.29571514554571</v>
      </c>
      <c r="Q30" s="47">
        <v>33.557730775536022</v>
      </c>
      <c r="R30" s="47">
        <v>27.95555176752357</v>
      </c>
      <c r="S30" s="47">
        <v>4.2757417361817014</v>
      </c>
      <c r="T30" s="47">
        <v>6.837233352706992</v>
      </c>
      <c r="U30" s="47">
        <v>5.9250623379947189</v>
      </c>
      <c r="V30" s="47">
        <v>1.0171371900423349</v>
      </c>
      <c r="W30" s="47">
        <v>25.936565397839729</v>
      </c>
      <c r="X30" s="47">
        <v>36.503463138842058</v>
      </c>
      <c r="Y30" s="47">
        <v>6.1807525966927672</v>
      </c>
      <c r="Z30" s="47">
        <v>472.76385544467132</v>
      </c>
      <c r="AA30" s="47">
        <v>2.8370326368176739</v>
      </c>
      <c r="AB30" s="47">
        <v>2.8145164348884109</v>
      </c>
      <c r="AC30" s="47">
        <v>0.92292936653688118</v>
      </c>
      <c r="AD30" s="47">
        <v>3.919659620433658</v>
      </c>
      <c r="AE30" s="47">
        <v>256.97123674972988</v>
      </c>
      <c r="AF30" s="47">
        <v>4.015133673001765</v>
      </c>
      <c r="AG30" s="47">
        <v>8.4105620134176018</v>
      </c>
      <c r="AH30" s="47">
        <v>21.602891770431619</v>
      </c>
      <c r="AI30" s="47">
        <v>123.1682759709619</v>
      </c>
      <c r="AJ30" s="47">
        <v>133.12824815085281</v>
      </c>
      <c r="AK30" s="47">
        <v>3.465947863327739</v>
      </c>
      <c r="AL30" s="47">
        <v>5.9609579025489117</v>
      </c>
      <c r="AM30" s="47">
        <v>1.020492740230192</v>
      </c>
      <c r="AN30" s="47">
        <v>54.167560553383559</v>
      </c>
      <c r="AO30" s="47">
        <v>7.0029028538010936</v>
      </c>
      <c r="AP30" s="47">
        <v>7.2092259362555344</v>
      </c>
      <c r="AQ30" s="47">
        <v>23.496805714027229</v>
      </c>
      <c r="AR30" s="47">
        <v>7.6527862972560019</v>
      </c>
      <c r="AS30" s="47">
        <v>7.4741421139031559</v>
      </c>
      <c r="AT30" s="47">
        <v>9.3665685243345393</v>
      </c>
      <c r="AU30" s="47">
        <v>5.7050643997543364</v>
      </c>
      <c r="AV30" s="47">
        <v>20.485056669594059</v>
      </c>
      <c r="AW30" s="47">
        <v>19.770732928570251</v>
      </c>
      <c r="AX30" s="47">
        <v>2.7945051097419191</v>
      </c>
      <c r="AY30" s="47">
        <v>3.9709804690619941</v>
      </c>
      <c r="AZ30" s="47">
        <v>111.1225436728145</v>
      </c>
      <c r="BA30" s="47">
        <v>0.41505082573241492</v>
      </c>
      <c r="BB30" s="47">
        <v>3.5114120892901918E-2</v>
      </c>
      <c r="BC30" s="47">
        <v>25.474124237103929</v>
      </c>
      <c r="BD30" s="47">
        <v>17.401075911536161</v>
      </c>
      <c r="BE30" s="47">
        <v>71.962771279044858</v>
      </c>
      <c r="BF30" s="47">
        <v>10.73170731707317</v>
      </c>
      <c r="BG30" s="47">
        <v>1966.769383000486</v>
      </c>
      <c r="BH30" s="47">
        <v>302.11951426873389</v>
      </c>
      <c r="BI30" s="47">
        <v>2215.6921275499171</v>
      </c>
      <c r="BJ30" s="47">
        <v>649.19171870428181</v>
      </c>
      <c r="BK30" s="47">
        <v>193.37691416806081</v>
      </c>
      <c r="BL30" s="47">
        <v>1193.771109832509</v>
      </c>
      <c r="BM30" s="47">
        <v>538.47595106565143</v>
      </c>
      <c r="BN30" s="47">
        <v>3.916747772703451</v>
      </c>
      <c r="BO30" s="47">
        <v>308.12068733283297</v>
      </c>
      <c r="BP30" s="47">
        <v>407.98269057839241</v>
      </c>
      <c r="BQ30" s="47">
        <v>56.019042155195812</v>
      </c>
      <c r="BR30" s="47">
        <v>200.18811591033111</v>
      </c>
      <c r="BS30" s="47">
        <v>18.62453555049159</v>
      </c>
      <c r="BT30" s="47">
        <v>74.578285596417942</v>
      </c>
      <c r="BU30" s="47">
        <v>69.565686863064215</v>
      </c>
      <c r="BV30" s="47">
        <v>78.741012124077841</v>
      </c>
      <c r="BW30" s="47">
        <v>3.620551086636222</v>
      </c>
      <c r="BX30" s="47">
        <v>306.72582898525371</v>
      </c>
      <c r="BY30" s="47">
        <v>49.245714887661578</v>
      </c>
      <c r="BZ30" s="47">
        <v>204.79090896951149</v>
      </c>
      <c r="CA30" s="47">
        <v>14.160925363053019</v>
      </c>
      <c r="CB30" s="47">
        <v>5</v>
      </c>
      <c r="CC30" s="47">
        <v>206.4516938006235</v>
      </c>
      <c r="CD30" s="47">
        <v>20.230136231066162</v>
      </c>
      <c r="CE30" s="47">
        <v>38.830902715220937</v>
      </c>
      <c r="CF30" s="47">
        <v>97.362015905351782</v>
      </c>
      <c r="CG30" s="47">
        <v>73.421810201359619</v>
      </c>
      <c r="CH30" s="47">
        <v>54.726373094019067</v>
      </c>
      <c r="CI30" s="47">
        <v>41.887747988064881</v>
      </c>
      <c r="CJ30" s="47">
        <v>135.7535272022333</v>
      </c>
      <c r="CK30" s="47">
        <v>16.4903317367394</v>
      </c>
      <c r="CL30" s="47">
        <v>229.94082614906321</v>
      </c>
      <c r="CM30" s="47">
        <v>27.629753001852809</v>
      </c>
      <c r="CN30" s="47">
        <v>201.4642705641896</v>
      </c>
      <c r="CO30" s="47">
        <v>44.59106079418877</v>
      </c>
      <c r="CP30" s="47">
        <v>101.0041256188869</v>
      </c>
      <c r="CQ30" s="47">
        <v>160.9058345292606</v>
      </c>
      <c r="CR30" s="47">
        <v>358.34178774276018</v>
      </c>
      <c r="CS30" s="47">
        <v>292.86262334538151</v>
      </c>
      <c r="CT30" s="47">
        <v>261.24768911525138</v>
      </c>
      <c r="CU30" s="47">
        <v>226.70358813037339</v>
      </c>
      <c r="CV30" s="47">
        <v>8.6493713498955174</v>
      </c>
      <c r="CW30" s="47">
        <v>18.116703755995939</v>
      </c>
      <c r="CX30" s="47">
        <v>2.090302900005347</v>
      </c>
      <c r="CY30" s="47">
        <v>45.494632145853707</v>
      </c>
      <c r="CZ30" s="47">
        <v>94.180989040729983</v>
      </c>
      <c r="DA30" s="47">
        <v>7.8036904387825414</v>
      </c>
      <c r="DB30" s="47">
        <v>41.616712340138513</v>
      </c>
      <c r="DC30" s="47">
        <v>0</v>
      </c>
      <c r="DD30" s="48">
        <v>14369</v>
      </c>
      <c r="DE30" s="47">
        <v>7533</v>
      </c>
      <c r="DF30" s="47">
        <v>0</v>
      </c>
      <c r="DG30" s="47">
        <v>7533</v>
      </c>
      <c r="DH30" s="47">
        <v>0</v>
      </c>
      <c r="DI30" s="47">
        <v>0</v>
      </c>
      <c r="DJ30" s="47">
        <v>317</v>
      </c>
      <c r="DK30" s="47">
        <v>0</v>
      </c>
      <c r="DL30" s="47">
        <v>5040</v>
      </c>
      <c r="DM30" s="47">
        <v>3273</v>
      </c>
      <c r="DN30" s="47">
        <v>168</v>
      </c>
      <c r="DO30" s="48">
        <v>30700</v>
      </c>
      <c r="DP30" s="47"/>
      <c r="DQ30" s="47"/>
      <c r="DR30" s="47"/>
      <c r="DS30" s="47"/>
    </row>
    <row r="31" spans="1:123" x14ac:dyDescent="0.45">
      <c r="A31" s="6" t="s">
        <v>174</v>
      </c>
      <c r="B31" t="s">
        <v>175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2.7403695584090199E-3</v>
      </c>
      <c r="Q31" s="47">
        <v>0</v>
      </c>
      <c r="R31" s="47">
        <v>0</v>
      </c>
      <c r="S31" s="47">
        <v>0</v>
      </c>
      <c r="T31" s="47">
        <v>0.64894462110717166</v>
      </c>
      <c r="U31" s="47">
        <v>5.960672356096116E-2</v>
      </c>
      <c r="V31" s="47">
        <v>1.411764705882353E-3</v>
      </c>
      <c r="W31" s="47">
        <v>26.687490250054768</v>
      </c>
      <c r="X31" s="47">
        <v>80.25630738199817</v>
      </c>
      <c r="Y31" s="47">
        <v>0.33158698376746409</v>
      </c>
      <c r="Z31" s="47">
        <v>0</v>
      </c>
      <c r="AA31" s="47">
        <v>0.90476082201048724</v>
      </c>
      <c r="AB31" s="47">
        <v>8.8298385537919119E-2</v>
      </c>
      <c r="AC31" s="47">
        <v>0</v>
      </c>
      <c r="AD31" s="47">
        <v>2.0448380020374621E-2</v>
      </c>
      <c r="AE31" s="47">
        <v>0.17227885236536389</v>
      </c>
      <c r="AF31" s="47">
        <v>0</v>
      </c>
      <c r="AG31" s="47">
        <v>0</v>
      </c>
      <c r="AH31" s="47">
        <v>0.14669822603875449</v>
      </c>
      <c r="AI31" s="47">
        <v>1.4590631168407669E-2</v>
      </c>
      <c r="AJ31" s="47">
        <v>2.7163349657540421E-2</v>
      </c>
      <c r="AK31" s="47">
        <v>2.000257644824869</v>
      </c>
      <c r="AL31" s="47">
        <v>0.51922732531860782</v>
      </c>
      <c r="AM31" s="47">
        <v>0.12067542354110231</v>
      </c>
      <c r="AN31" s="47">
        <v>71.75625542853453</v>
      </c>
      <c r="AO31" s="47">
        <v>1.858407286284925</v>
      </c>
      <c r="AP31" s="47">
        <v>1.6961798585823771</v>
      </c>
      <c r="AQ31" s="47">
        <v>28.10143317450343</v>
      </c>
      <c r="AR31" s="47">
        <v>324.98428687534869</v>
      </c>
      <c r="AS31" s="47">
        <v>8.6862567327382703</v>
      </c>
      <c r="AT31" s="47">
        <v>0.26418357370627599</v>
      </c>
      <c r="AU31" s="47">
        <v>2.5754498902077771</v>
      </c>
      <c r="AV31" s="47">
        <v>12.82264489440271</v>
      </c>
      <c r="AW31" s="47">
        <v>1.2707757315927579</v>
      </c>
      <c r="AX31" s="47">
        <v>4.9589529091456281</v>
      </c>
      <c r="AY31" s="47">
        <v>1.912881676142806</v>
      </c>
      <c r="AZ31" s="47">
        <v>26.807513048876661</v>
      </c>
      <c r="BA31" s="47">
        <v>0</v>
      </c>
      <c r="BB31" s="47">
        <v>0</v>
      </c>
      <c r="BC31" s="47">
        <v>0</v>
      </c>
      <c r="BD31" s="47">
        <v>0</v>
      </c>
      <c r="BE31" s="47">
        <v>8.1971577775875346</v>
      </c>
      <c r="BF31" s="47">
        <v>0</v>
      </c>
      <c r="BG31" s="47">
        <v>789.64759778258485</v>
      </c>
      <c r="BH31" s="47">
        <v>2.3184292048124351E-4</v>
      </c>
      <c r="BI31" s="47">
        <v>9.579746979150352</v>
      </c>
      <c r="BJ31" s="47">
        <v>0.91981645744199803</v>
      </c>
      <c r="BK31" s="47">
        <v>0</v>
      </c>
      <c r="BL31" s="47">
        <v>1.450779367679498</v>
      </c>
      <c r="BM31" s="47">
        <v>0</v>
      </c>
      <c r="BN31" s="47">
        <v>0</v>
      </c>
      <c r="BO31" s="47">
        <v>0</v>
      </c>
      <c r="BP31" s="47">
        <v>2.9171188289445627E-4</v>
      </c>
      <c r="BQ31" s="47">
        <v>2.204915921623503</v>
      </c>
      <c r="BR31" s="47">
        <v>17.605216742655831</v>
      </c>
      <c r="BS31" s="47">
        <v>237.60060909821499</v>
      </c>
      <c r="BT31" s="47">
        <v>3.5368642869050712E-2</v>
      </c>
      <c r="BU31" s="47">
        <v>3.053904623195602E-6</v>
      </c>
      <c r="BV31" s="47">
        <v>4.4837699643980917</v>
      </c>
      <c r="BW31" s="47">
        <v>2.9351724133463718E-2</v>
      </c>
      <c r="BX31" s="47">
        <v>0.95545782710622973</v>
      </c>
      <c r="BY31" s="47">
        <v>1.7279198206197051</v>
      </c>
      <c r="BZ31" s="47">
        <v>12.27529470409265</v>
      </c>
      <c r="CA31" s="47">
        <v>0</v>
      </c>
      <c r="CB31" s="47">
        <v>5</v>
      </c>
      <c r="CC31" s="47">
        <v>36.271687449895339</v>
      </c>
      <c r="CD31" s="47">
        <v>0.26415861828682402</v>
      </c>
      <c r="CE31" s="47">
        <v>0.24180663844817479</v>
      </c>
      <c r="CF31" s="47">
        <v>1.755045910300107E-2</v>
      </c>
      <c r="CG31" s="47">
        <v>1.759636386694597</v>
      </c>
      <c r="CH31" s="47">
        <v>26.794675757591001</v>
      </c>
      <c r="CI31" s="47">
        <v>35.380650086321623</v>
      </c>
      <c r="CJ31" s="47">
        <v>2.1831376070799191</v>
      </c>
      <c r="CK31" s="47">
        <v>0</v>
      </c>
      <c r="CL31" s="47">
        <v>1.609418725719103</v>
      </c>
      <c r="CM31" s="47">
        <v>2.842062525375558E-2</v>
      </c>
      <c r="CN31" s="47">
        <v>0</v>
      </c>
      <c r="CO31" s="47">
        <v>3.7894167005007441E-3</v>
      </c>
      <c r="CP31" s="47">
        <v>5.9999097757928452E-3</v>
      </c>
      <c r="CQ31" s="47">
        <v>0.97306403317100576</v>
      </c>
      <c r="CR31" s="47">
        <v>63.814290967888809</v>
      </c>
      <c r="CS31" s="47">
        <v>43.253192720853221</v>
      </c>
      <c r="CT31" s="47">
        <v>0</v>
      </c>
      <c r="CU31" s="47">
        <v>18.454477583610661</v>
      </c>
      <c r="CV31" s="47">
        <v>9.4735417512518613E-3</v>
      </c>
      <c r="CW31" s="47">
        <v>0</v>
      </c>
      <c r="CX31" s="47">
        <v>0.1067352370641043</v>
      </c>
      <c r="CY31" s="47">
        <v>5.6778093562502816</v>
      </c>
      <c r="CZ31" s="47">
        <v>0</v>
      </c>
      <c r="DA31" s="47">
        <v>1.7327058823529411</v>
      </c>
      <c r="DB31" s="47">
        <v>6.0813620193476969E-3</v>
      </c>
      <c r="DC31" s="47">
        <v>0</v>
      </c>
      <c r="DD31" s="48">
        <v>1930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47">
        <v>29</v>
      </c>
      <c r="DK31" s="47">
        <v>0</v>
      </c>
      <c r="DL31" s="47">
        <v>688</v>
      </c>
      <c r="DM31" s="47">
        <v>471</v>
      </c>
      <c r="DN31" s="47">
        <v>61</v>
      </c>
      <c r="DO31" s="48">
        <v>3179</v>
      </c>
      <c r="DP31" s="47"/>
      <c r="DQ31" s="47"/>
      <c r="DR31" s="47"/>
      <c r="DS31" s="47"/>
    </row>
    <row r="32" spans="1:123" x14ac:dyDescent="0.45">
      <c r="A32" s="6" t="s">
        <v>176</v>
      </c>
      <c r="B32" t="s">
        <v>177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2.8395009180122899</v>
      </c>
      <c r="K32" s="47">
        <v>1.7412235417547332E-2</v>
      </c>
      <c r="L32" s="47">
        <v>0.11869181773640371</v>
      </c>
      <c r="M32" s="47">
        <v>5.797787342567184</v>
      </c>
      <c r="N32" s="47">
        <v>2.414817593944405E-3</v>
      </c>
      <c r="O32" s="47">
        <v>2.0002795135960061</v>
      </c>
      <c r="P32" s="47">
        <v>0</v>
      </c>
      <c r="Q32" s="47">
        <v>2.1936194721290131E-2</v>
      </c>
      <c r="R32" s="47">
        <v>3.4557019081484452E-3</v>
      </c>
      <c r="S32" s="47">
        <v>1.0889294948982831E-2</v>
      </c>
      <c r="T32" s="47">
        <v>0.19964036076989761</v>
      </c>
      <c r="U32" s="47">
        <v>0</v>
      </c>
      <c r="V32" s="47">
        <v>0</v>
      </c>
      <c r="W32" s="47">
        <v>0</v>
      </c>
      <c r="X32" s="47">
        <v>0.11810506408544311</v>
      </c>
      <c r="Y32" s="47">
        <v>0</v>
      </c>
      <c r="Z32" s="47">
        <v>0</v>
      </c>
      <c r="AA32" s="47">
        <v>0</v>
      </c>
      <c r="AB32" s="47">
        <v>291.07191373837668</v>
      </c>
      <c r="AC32" s="47">
        <v>2.4039665447989178E-3</v>
      </c>
      <c r="AD32" s="47">
        <v>2.017760901518864</v>
      </c>
      <c r="AE32" s="47">
        <v>2.1375906345943658</v>
      </c>
      <c r="AF32" s="47">
        <v>0</v>
      </c>
      <c r="AG32" s="47">
        <v>6.0688818085267797E-4</v>
      </c>
      <c r="AH32" s="47">
        <v>1.2019832723994589E-3</v>
      </c>
      <c r="AI32" s="47">
        <v>0</v>
      </c>
      <c r="AJ32" s="47">
        <v>0.31651151396374327</v>
      </c>
      <c r="AK32" s="47">
        <v>0.4265862329343626</v>
      </c>
      <c r="AL32" s="47">
        <v>2.074539749146826E-3</v>
      </c>
      <c r="AM32" s="47">
        <v>0</v>
      </c>
      <c r="AN32" s="47">
        <v>2.571688666363223E-2</v>
      </c>
      <c r="AO32" s="47">
        <v>0</v>
      </c>
      <c r="AP32" s="47">
        <v>0.82835594019524428</v>
      </c>
      <c r="AQ32" s="47">
        <v>0.19781969622733961</v>
      </c>
      <c r="AR32" s="47">
        <v>0</v>
      </c>
      <c r="AS32" s="47">
        <v>0</v>
      </c>
      <c r="AT32" s="47">
        <v>0</v>
      </c>
      <c r="AU32" s="47">
        <v>0</v>
      </c>
      <c r="AV32" s="47">
        <v>1.517220452131695E-3</v>
      </c>
      <c r="AW32" s="47">
        <v>0</v>
      </c>
      <c r="AX32" s="47">
        <v>0</v>
      </c>
      <c r="AY32" s="47">
        <v>0</v>
      </c>
      <c r="AZ32" s="47">
        <v>7.5977230096628587E-2</v>
      </c>
      <c r="BA32" s="47">
        <v>0</v>
      </c>
      <c r="BB32" s="47">
        <v>0</v>
      </c>
      <c r="BC32" s="47">
        <v>0</v>
      </c>
      <c r="BD32" s="47">
        <v>0</v>
      </c>
      <c r="BE32" s="47">
        <v>21.859087406900091</v>
      </c>
      <c r="BF32" s="47">
        <v>0.97560975609756095</v>
      </c>
      <c r="BG32" s="47">
        <v>2.1535282655062828</v>
      </c>
      <c r="BH32" s="47">
        <v>1.559931734196605</v>
      </c>
      <c r="BI32" s="47">
        <v>57.835566570148323</v>
      </c>
      <c r="BJ32" s="47">
        <v>130.72971740494</v>
      </c>
      <c r="BK32" s="47">
        <v>0</v>
      </c>
      <c r="BL32" s="47">
        <v>1.1064210951054609</v>
      </c>
      <c r="BM32" s="47">
        <v>0</v>
      </c>
      <c r="BN32" s="47">
        <v>0</v>
      </c>
      <c r="BO32" s="47">
        <v>0</v>
      </c>
      <c r="BP32" s="47">
        <v>1.5638725590753401E-3</v>
      </c>
      <c r="BQ32" s="47">
        <v>4.8765039778654726</v>
      </c>
      <c r="BR32" s="47">
        <v>97.853893909521716</v>
      </c>
      <c r="BS32" s="47">
        <v>2.695815133488285E-2</v>
      </c>
      <c r="BT32" s="47">
        <v>7.5812610182434653E-2</v>
      </c>
      <c r="BU32" s="47">
        <v>6.6027560248367673E-5</v>
      </c>
      <c r="BV32" s="47">
        <v>5.7339544643718972</v>
      </c>
      <c r="BW32" s="47">
        <v>3.5633313663661782E-3</v>
      </c>
      <c r="BX32" s="47">
        <v>5.6976513944470204</v>
      </c>
      <c r="BY32" s="47">
        <v>0</v>
      </c>
      <c r="BZ32" s="47">
        <v>13.24263547081236</v>
      </c>
      <c r="CA32" s="47">
        <v>0</v>
      </c>
      <c r="CB32" s="47">
        <v>0</v>
      </c>
      <c r="CC32" s="47">
        <v>39.562085415781517</v>
      </c>
      <c r="CD32" s="47">
        <v>8.221077520816808E-2</v>
      </c>
      <c r="CE32" s="47">
        <v>0.22924793144989281</v>
      </c>
      <c r="CF32" s="47">
        <v>0.47927618569284769</v>
      </c>
      <c r="CG32" s="47">
        <v>0.36444311433550408</v>
      </c>
      <c r="CH32" s="47">
        <v>13.40830239467466</v>
      </c>
      <c r="CI32" s="47">
        <v>6.8971803119536617</v>
      </c>
      <c r="CJ32" s="47">
        <v>0.88949802251931864</v>
      </c>
      <c r="CK32" s="47">
        <v>2.9100585417775409</v>
      </c>
      <c r="CL32" s="47">
        <v>2.2298074960031049</v>
      </c>
      <c r="CM32" s="47">
        <v>6.1700966670283873E-2</v>
      </c>
      <c r="CN32" s="47">
        <v>0</v>
      </c>
      <c r="CO32" s="47">
        <v>2.2289677848042349</v>
      </c>
      <c r="CP32" s="47">
        <v>166.17895350648331</v>
      </c>
      <c r="CQ32" s="47">
        <v>3.1251829508732372</v>
      </c>
      <c r="CR32" s="47">
        <v>64.796049290471728</v>
      </c>
      <c r="CS32" s="47">
        <v>150.07066291288959</v>
      </c>
      <c r="CT32" s="47">
        <v>41.410129714215948</v>
      </c>
      <c r="CU32" s="47">
        <v>151.5209738443823</v>
      </c>
      <c r="CV32" s="47">
        <v>5.7396314254863503</v>
      </c>
      <c r="CW32" s="47">
        <v>5.5487978687633586</v>
      </c>
      <c r="CX32" s="47">
        <v>0.49115794432417331</v>
      </c>
      <c r="CY32" s="47">
        <v>12.16673433482203</v>
      </c>
      <c r="CZ32" s="47">
        <v>2.8801319648093839</v>
      </c>
      <c r="DA32" s="47">
        <v>0</v>
      </c>
      <c r="DB32" s="47">
        <v>157.7601992245647</v>
      </c>
      <c r="DC32" s="47">
        <v>0</v>
      </c>
      <c r="DD32" s="48">
        <v>1483</v>
      </c>
      <c r="DE32" s="47">
        <v>3558</v>
      </c>
      <c r="DF32" s="47">
        <v>0</v>
      </c>
      <c r="DG32" s="47">
        <v>3558</v>
      </c>
      <c r="DH32" s="47">
        <v>0</v>
      </c>
      <c r="DI32" s="47">
        <v>0</v>
      </c>
      <c r="DJ32" s="47">
        <v>-63</v>
      </c>
      <c r="DK32" s="47">
        <v>0</v>
      </c>
      <c r="DL32" s="47">
        <v>2035</v>
      </c>
      <c r="DM32" s="47">
        <v>1255</v>
      </c>
      <c r="DN32" s="47">
        <v>412</v>
      </c>
      <c r="DO32" s="48">
        <v>8680</v>
      </c>
      <c r="DP32" s="47"/>
      <c r="DQ32" s="47"/>
      <c r="DR32" s="47"/>
      <c r="DS32" s="47"/>
    </row>
    <row r="33" spans="1:123" x14ac:dyDescent="0.45">
      <c r="A33" s="6" t="s">
        <v>178</v>
      </c>
      <c r="B33" t="s">
        <v>179</v>
      </c>
      <c r="C33" s="47">
        <v>2.1746749054689658E-2</v>
      </c>
      <c r="D33" s="47">
        <v>0.7734864300626304</v>
      </c>
      <c r="E33" s="47">
        <v>0</v>
      </c>
      <c r="F33" s="47">
        <v>4.918032786885246</v>
      </c>
      <c r="G33" s="47">
        <v>1.165570830842797E-2</v>
      </c>
      <c r="H33" s="47">
        <v>13.549118116408721</v>
      </c>
      <c r="I33" s="47">
        <v>19.680079957437862</v>
      </c>
      <c r="J33" s="47">
        <v>0.39932832195051687</v>
      </c>
      <c r="K33" s="47">
        <v>1.115826169735407E-3</v>
      </c>
      <c r="L33" s="47">
        <v>3.049750556808901E-3</v>
      </c>
      <c r="M33" s="47">
        <v>5.2319889893156158E-5</v>
      </c>
      <c r="N33" s="47">
        <v>1.6273852212434221E-3</v>
      </c>
      <c r="O33" s="47">
        <v>0</v>
      </c>
      <c r="P33" s="47">
        <v>4.8403540743130044E-3</v>
      </c>
      <c r="Q33" s="47">
        <v>4.6592183210403768E-5</v>
      </c>
      <c r="R33" s="47">
        <v>0</v>
      </c>
      <c r="S33" s="47">
        <v>0</v>
      </c>
      <c r="T33" s="47">
        <v>1.6494514342502959</v>
      </c>
      <c r="U33" s="47">
        <v>0.1235016469535023</v>
      </c>
      <c r="V33" s="47">
        <v>32.512613521695258</v>
      </c>
      <c r="W33" s="47">
        <v>272.46232221773562</v>
      </c>
      <c r="X33" s="47">
        <v>177.34609740848671</v>
      </c>
      <c r="Y33" s="47">
        <v>119.21677131236579</v>
      </c>
      <c r="Z33" s="47">
        <v>0.99755962646015672</v>
      </c>
      <c r="AA33" s="47">
        <v>0.3367384587971432</v>
      </c>
      <c r="AB33" s="47">
        <v>0.38634420523100732</v>
      </c>
      <c r="AC33" s="47">
        <v>1.3124172502188871</v>
      </c>
      <c r="AD33" s="47">
        <v>1.0132822778512309</v>
      </c>
      <c r="AE33" s="47">
        <v>0.37149033736926679</v>
      </c>
      <c r="AF33" s="47">
        <v>3.0609842241582291E-2</v>
      </c>
      <c r="AG33" s="47">
        <v>9.4184129974099365E-4</v>
      </c>
      <c r="AH33" s="47">
        <v>84.945255925811665</v>
      </c>
      <c r="AI33" s="47">
        <v>52.859955623364712</v>
      </c>
      <c r="AJ33" s="47">
        <v>3.538762253344562</v>
      </c>
      <c r="AK33" s="47">
        <v>0.71025974759547617</v>
      </c>
      <c r="AL33" s="47">
        <v>0.32709450491693037</v>
      </c>
      <c r="AM33" s="47">
        <v>50.381267448218821</v>
      </c>
      <c r="AN33" s="47">
        <v>31.43408951169863</v>
      </c>
      <c r="AO33" s="47">
        <v>0.18010527669453349</v>
      </c>
      <c r="AP33" s="47">
        <v>1.0127337590183401</v>
      </c>
      <c r="AQ33" s="47">
        <v>1.6750939578134429</v>
      </c>
      <c r="AR33" s="47">
        <v>1.8750149524348061</v>
      </c>
      <c r="AS33" s="47">
        <v>5.8669558067229823E-2</v>
      </c>
      <c r="AT33" s="47">
        <v>3.7940359076269338E-2</v>
      </c>
      <c r="AU33" s="47">
        <v>0.90487846307065189</v>
      </c>
      <c r="AV33" s="47">
        <v>20.62259889957863</v>
      </c>
      <c r="AW33" s="47">
        <v>14.6274621345071</v>
      </c>
      <c r="AX33" s="47">
        <v>0.1932616146877997</v>
      </c>
      <c r="AY33" s="47">
        <v>1.0215213975040559E-2</v>
      </c>
      <c r="AZ33" s="47">
        <v>22.91792064227781</v>
      </c>
      <c r="BA33" s="47">
        <v>1.341033639734816E-2</v>
      </c>
      <c r="BB33" s="47">
        <v>0</v>
      </c>
      <c r="BC33" s="47">
        <v>0</v>
      </c>
      <c r="BD33" s="47">
        <v>2.9001793185893598</v>
      </c>
      <c r="BE33" s="47">
        <v>1.691413815364751E-2</v>
      </c>
      <c r="BF33" s="47">
        <v>1.9512195121951219</v>
      </c>
      <c r="BG33" s="47">
        <v>89.866015873670861</v>
      </c>
      <c r="BH33" s="47">
        <v>1.365140202982734E-2</v>
      </c>
      <c r="BI33" s="47">
        <v>26.74708196593464</v>
      </c>
      <c r="BJ33" s="47">
        <v>0.66459065192093747</v>
      </c>
      <c r="BK33" s="47">
        <v>0</v>
      </c>
      <c r="BL33" s="47">
        <v>4.7283347784211456</v>
      </c>
      <c r="BM33" s="47">
        <v>0</v>
      </c>
      <c r="BN33" s="47">
        <v>0</v>
      </c>
      <c r="BO33" s="47">
        <v>0</v>
      </c>
      <c r="BP33" s="47">
        <v>6.6396273077987697E-4</v>
      </c>
      <c r="BQ33" s="47">
        <v>0.50171890097415373</v>
      </c>
      <c r="BR33" s="47">
        <v>12.605271859451101</v>
      </c>
      <c r="BS33" s="47">
        <v>12.237021387004059</v>
      </c>
      <c r="BT33" s="47">
        <v>33.338528871961003</v>
      </c>
      <c r="BU33" s="47">
        <v>3.017289259873124E-4</v>
      </c>
      <c r="BV33" s="47">
        <v>12.78432878177275</v>
      </c>
      <c r="BW33" s="47">
        <v>5.4867470314603262E-2</v>
      </c>
      <c r="BX33" s="47">
        <v>1.8350841296593191E-2</v>
      </c>
      <c r="BY33" s="47">
        <v>1.7279198206197051</v>
      </c>
      <c r="BZ33" s="47">
        <v>2.987538444324318</v>
      </c>
      <c r="CA33" s="47">
        <v>0</v>
      </c>
      <c r="CB33" s="47">
        <v>0</v>
      </c>
      <c r="CC33" s="47">
        <v>34.502100368072057</v>
      </c>
      <c r="CD33" s="47">
        <v>0.36492808558083623</v>
      </c>
      <c r="CE33" s="47">
        <v>0.21006522223066701</v>
      </c>
      <c r="CF33" s="47">
        <v>4.6371186366217687</v>
      </c>
      <c r="CG33" s="47">
        <v>109.06088639327891</v>
      </c>
      <c r="CH33" s="47">
        <v>12.56684986561241</v>
      </c>
      <c r="CI33" s="47">
        <v>11.32139732933155</v>
      </c>
      <c r="CJ33" s="47">
        <v>3.1493638660619792</v>
      </c>
      <c r="CK33" s="47">
        <v>0</v>
      </c>
      <c r="CL33" s="47">
        <v>1.958129748128997</v>
      </c>
      <c r="CM33" s="47">
        <v>9.1338932044303951E-3</v>
      </c>
      <c r="CN33" s="47">
        <v>0</v>
      </c>
      <c r="CO33" s="47">
        <v>0.51730568220504347</v>
      </c>
      <c r="CP33" s="47">
        <v>29.655577483154708</v>
      </c>
      <c r="CQ33" s="47">
        <v>2.336657697158838</v>
      </c>
      <c r="CR33" s="47">
        <v>13.74461651616067</v>
      </c>
      <c r="CS33" s="47">
        <v>11.49422481457615</v>
      </c>
      <c r="CT33" s="47">
        <v>243.4817457932692</v>
      </c>
      <c r="CU33" s="47">
        <v>2.916996405631088</v>
      </c>
      <c r="CV33" s="47">
        <v>0</v>
      </c>
      <c r="CW33" s="47">
        <v>0.41312613655149621</v>
      </c>
      <c r="CX33" s="47">
        <v>0</v>
      </c>
      <c r="CY33" s="47">
        <v>9.9164926931106456E-2</v>
      </c>
      <c r="CZ33" s="47">
        <v>0.9640722461985487</v>
      </c>
      <c r="DA33" s="47">
        <v>0</v>
      </c>
      <c r="DB33" s="47">
        <v>1.7273180397754629E-3</v>
      </c>
      <c r="DC33" s="47">
        <v>0</v>
      </c>
      <c r="DD33" s="48">
        <v>1622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47">
        <v>603</v>
      </c>
      <c r="DK33" s="47">
        <v>0</v>
      </c>
      <c r="DL33" s="47">
        <v>1888</v>
      </c>
      <c r="DM33" s="47">
        <v>1756</v>
      </c>
      <c r="DN33" s="47">
        <v>96</v>
      </c>
      <c r="DO33" s="48">
        <v>5965</v>
      </c>
      <c r="DP33" s="47"/>
      <c r="DQ33" s="47"/>
      <c r="DR33" s="47"/>
      <c r="DS33" s="47"/>
    </row>
    <row r="34" spans="1:123" x14ac:dyDescent="0.45">
      <c r="A34" s="6" t="s">
        <v>180</v>
      </c>
      <c r="B34" t="s">
        <v>181</v>
      </c>
      <c r="C34" s="47">
        <v>365.38384296449863</v>
      </c>
      <c r="D34" s="47">
        <v>0</v>
      </c>
      <c r="E34" s="47">
        <v>0</v>
      </c>
      <c r="F34" s="47">
        <v>0</v>
      </c>
      <c r="G34" s="47">
        <v>1.6613995485327311</v>
      </c>
      <c r="H34" s="47">
        <v>0.77810946930953462</v>
      </c>
      <c r="I34" s="47">
        <v>0</v>
      </c>
      <c r="J34" s="47">
        <v>7.1449736559223783E-4</v>
      </c>
      <c r="K34" s="47">
        <v>0.18327085383349001</v>
      </c>
      <c r="L34" s="47">
        <v>0.1179615461909177</v>
      </c>
      <c r="M34" s="47">
        <v>7.620363662394189E-4</v>
      </c>
      <c r="N34" s="47">
        <v>0.87800557196131068</v>
      </c>
      <c r="O34" s="47">
        <v>4.881217612259247E-3</v>
      </c>
      <c r="P34" s="47">
        <v>0.62663298852789884</v>
      </c>
      <c r="Q34" s="47">
        <v>5.9713166243826549E-3</v>
      </c>
      <c r="R34" s="47">
        <v>6.1317517738721952</v>
      </c>
      <c r="S34" s="47">
        <v>10.770859350850399</v>
      </c>
      <c r="T34" s="47">
        <v>6.506027793838105</v>
      </c>
      <c r="U34" s="47">
        <v>0.29316347990328329</v>
      </c>
      <c r="V34" s="47">
        <v>3.6151403812082962E-2</v>
      </c>
      <c r="W34" s="47">
        <v>4.6285216858260557E-2</v>
      </c>
      <c r="X34" s="47">
        <v>0.67792440430786716</v>
      </c>
      <c r="Y34" s="47">
        <v>0.2080236440694227</v>
      </c>
      <c r="Z34" s="47">
        <v>0.33565018476156949</v>
      </c>
      <c r="AA34" s="47">
        <v>57.012793399951548</v>
      </c>
      <c r="AB34" s="47">
        <v>0.1124606596882735</v>
      </c>
      <c r="AC34" s="47">
        <v>0.45630292104232179</v>
      </c>
      <c r="AD34" s="47">
        <v>5.1619700659573322</v>
      </c>
      <c r="AE34" s="47">
        <v>97.047765124767821</v>
      </c>
      <c r="AF34" s="47">
        <v>0.21426889569107599</v>
      </c>
      <c r="AG34" s="47">
        <v>1.981496994737151</v>
      </c>
      <c r="AH34" s="47">
        <v>20.409320004324108</v>
      </c>
      <c r="AI34" s="47">
        <v>3.8326456986726392</v>
      </c>
      <c r="AJ34" s="47">
        <v>40.776716397884677</v>
      </c>
      <c r="AK34" s="47">
        <v>1.622465176579873</v>
      </c>
      <c r="AL34" s="47">
        <v>4.0869909132107489</v>
      </c>
      <c r="AM34" s="47">
        <v>1.2994055834735661</v>
      </c>
      <c r="AN34" s="47">
        <v>38.994217979091999</v>
      </c>
      <c r="AO34" s="47">
        <v>0.24104908073751219</v>
      </c>
      <c r="AP34" s="47">
        <v>0.4554183905831406</v>
      </c>
      <c r="AQ34" s="47">
        <v>2.773494221492383</v>
      </c>
      <c r="AR34" s="47">
        <v>24.271804151464181</v>
      </c>
      <c r="AS34" s="47">
        <v>8.3847652879145251E-2</v>
      </c>
      <c r="AT34" s="47">
        <v>4.3119697413650826</v>
      </c>
      <c r="AU34" s="47">
        <v>0.27003655346939032</v>
      </c>
      <c r="AV34" s="47">
        <v>0.50232894567483477</v>
      </c>
      <c r="AW34" s="47">
        <v>0.3851607181836888</v>
      </c>
      <c r="AX34" s="47">
        <v>6.916188153617997E-2</v>
      </c>
      <c r="AY34" s="47">
        <v>5.1135778449978832E-2</v>
      </c>
      <c r="AZ34" s="47">
        <v>6.7732627754234436</v>
      </c>
      <c r="BA34" s="47">
        <v>288.41140436463678</v>
      </c>
      <c r="BB34" s="47">
        <v>45.142342791028682</v>
      </c>
      <c r="BC34" s="47">
        <v>98.257336343115128</v>
      </c>
      <c r="BD34" s="47">
        <v>0</v>
      </c>
      <c r="BE34" s="47">
        <v>0</v>
      </c>
      <c r="BF34" s="47">
        <v>0</v>
      </c>
      <c r="BG34" s="47">
        <v>13.10712440743333</v>
      </c>
      <c r="BH34" s="47">
        <v>1.036461994490091E-3</v>
      </c>
      <c r="BI34" s="47">
        <v>17.830212885655389</v>
      </c>
      <c r="BJ34" s="47">
        <v>3.1809369420522549E-3</v>
      </c>
      <c r="BK34" s="47">
        <v>0</v>
      </c>
      <c r="BL34" s="47">
        <v>5.8891153456207279</v>
      </c>
      <c r="BM34" s="47">
        <v>0</v>
      </c>
      <c r="BN34" s="47">
        <v>0</v>
      </c>
      <c r="BO34" s="47">
        <v>0</v>
      </c>
      <c r="BP34" s="47">
        <v>3.0328925289792563E-4</v>
      </c>
      <c r="BQ34" s="47">
        <v>4.6243363595437863</v>
      </c>
      <c r="BR34" s="47">
        <v>7.2787219399448748</v>
      </c>
      <c r="BS34" s="47">
        <v>6.746710893666702E-2</v>
      </c>
      <c r="BT34" s="47">
        <v>0</v>
      </c>
      <c r="BU34" s="47">
        <v>0</v>
      </c>
      <c r="BV34" s="47">
        <v>4.2357857808219856</v>
      </c>
      <c r="BW34" s="47">
        <v>0.20635472575651989</v>
      </c>
      <c r="BX34" s="47">
        <v>0.95584098158158681</v>
      </c>
      <c r="BY34" s="47">
        <v>1.7279198206197051</v>
      </c>
      <c r="BZ34" s="47">
        <v>5.1101082700643436E-3</v>
      </c>
      <c r="CA34" s="47">
        <v>0</v>
      </c>
      <c r="CB34" s="47">
        <v>0</v>
      </c>
      <c r="CC34" s="47">
        <v>40.381473653420777</v>
      </c>
      <c r="CD34" s="47">
        <v>1.0339030844528421</v>
      </c>
      <c r="CE34" s="47">
        <v>0.98839113885060037</v>
      </c>
      <c r="CF34" s="47">
        <v>1.171860671793239E-2</v>
      </c>
      <c r="CG34" s="47">
        <v>4.6428718953937782</v>
      </c>
      <c r="CH34" s="47">
        <v>6.5076712015627312</v>
      </c>
      <c r="CI34" s="47">
        <v>3.465049643499701E-3</v>
      </c>
      <c r="CJ34" s="47">
        <v>2.6700693546876582</v>
      </c>
      <c r="CK34" s="47">
        <v>0</v>
      </c>
      <c r="CL34" s="47">
        <v>3.358248662806</v>
      </c>
      <c r="CM34" s="47">
        <v>5.3308456053841546E-4</v>
      </c>
      <c r="CN34" s="47">
        <v>0</v>
      </c>
      <c r="CO34" s="47">
        <v>2.443792766373412E-3</v>
      </c>
      <c r="CP34" s="47">
        <v>4.2766373411534699E-3</v>
      </c>
      <c r="CQ34" s="47">
        <v>2.7040830452265072</v>
      </c>
      <c r="CR34" s="47">
        <v>9.817583225829047</v>
      </c>
      <c r="CS34" s="47">
        <v>0.29874967608188652</v>
      </c>
      <c r="CT34" s="47">
        <v>186.30789455436391</v>
      </c>
      <c r="CU34" s="47">
        <v>0.1558693962166364</v>
      </c>
      <c r="CV34" s="47">
        <v>3.8128873192510171</v>
      </c>
      <c r="CW34" s="47">
        <v>0</v>
      </c>
      <c r="CX34" s="47">
        <v>0</v>
      </c>
      <c r="CY34" s="47">
        <v>0.44162995594713661</v>
      </c>
      <c r="CZ34" s="47">
        <v>4.8002199413489741</v>
      </c>
      <c r="DA34" s="47">
        <v>3.4654117647058831</v>
      </c>
      <c r="DB34" s="47">
        <v>2.1323382421536618E-3</v>
      </c>
      <c r="DC34" s="47">
        <v>0</v>
      </c>
      <c r="DD34" s="48">
        <v>1467</v>
      </c>
      <c r="DE34" s="47">
        <v>324</v>
      </c>
      <c r="DF34" s="47">
        <v>0</v>
      </c>
      <c r="DG34" s="47">
        <v>324</v>
      </c>
      <c r="DH34" s="47">
        <v>0</v>
      </c>
      <c r="DI34" s="47">
        <v>0</v>
      </c>
      <c r="DJ34" s="47">
        <v>-61</v>
      </c>
      <c r="DK34" s="47">
        <v>0</v>
      </c>
      <c r="DL34" s="47">
        <v>516</v>
      </c>
      <c r="DM34" s="47">
        <v>348</v>
      </c>
      <c r="DN34" s="47">
        <v>435</v>
      </c>
      <c r="DO34" s="48">
        <v>3029</v>
      </c>
      <c r="DP34" s="47"/>
      <c r="DQ34" s="47"/>
      <c r="DR34" s="47"/>
      <c r="DS34" s="47"/>
    </row>
    <row r="35" spans="1:123" x14ac:dyDescent="0.45">
      <c r="A35" s="6" t="s">
        <v>182</v>
      </c>
      <c r="B35" t="s">
        <v>183</v>
      </c>
      <c r="C35" s="47">
        <v>6.2418149958498557E-2</v>
      </c>
      <c r="D35" s="47">
        <v>0</v>
      </c>
      <c r="E35" s="47">
        <v>0</v>
      </c>
      <c r="F35" s="47">
        <v>0</v>
      </c>
      <c r="G35" s="47">
        <v>0.29632610526950182</v>
      </c>
      <c r="H35" s="47">
        <v>24.286377343375481</v>
      </c>
      <c r="I35" s="47">
        <v>0.85304804943281376</v>
      </c>
      <c r="J35" s="47">
        <v>5.1134378688909098E-2</v>
      </c>
      <c r="K35" s="47">
        <v>1.253743239143744</v>
      </c>
      <c r="L35" s="47">
        <v>0.7273545391781634</v>
      </c>
      <c r="M35" s="47">
        <v>1.6433836458706191E-2</v>
      </c>
      <c r="N35" s="47">
        <v>0.38241245798861689</v>
      </c>
      <c r="O35" s="47">
        <v>2.6763439825642461E-2</v>
      </c>
      <c r="P35" s="47">
        <v>5.7851062210176822</v>
      </c>
      <c r="Q35" s="47">
        <v>0.25866396400429281</v>
      </c>
      <c r="R35" s="47">
        <v>0.99524898821045227</v>
      </c>
      <c r="S35" s="47">
        <v>61.228128372552668</v>
      </c>
      <c r="T35" s="47">
        <v>99.791700876735405</v>
      </c>
      <c r="U35" s="47">
        <v>4.4205481799382822</v>
      </c>
      <c r="V35" s="47">
        <v>4.1068199923059714</v>
      </c>
      <c r="W35" s="47">
        <v>7.6627367136200926</v>
      </c>
      <c r="X35" s="47">
        <v>23.856813096958</v>
      </c>
      <c r="Y35" s="47">
        <v>16.606213258282398</v>
      </c>
      <c r="Z35" s="47">
        <v>145.04130765653039</v>
      </c>
      <c r="AA35" s="47">
        <v>223.21701471373319</v>
      </c>
      <c r="AB35" s="47">
        <v>44.110606232826299</v>
      </c>
      <c r="AC35" s="47">
        <v>191.48409333425579</v>
      </c>
      <c r="AD35" s="47">
        <v>42.710311803101391</v>
      </c>
      <c r="AE35" s="47">
        <v>1234.702615925084</v>
      </c>
      <c r="AF35" s="47">
        <v>32.219268845269411</v>
      </c>
      <c r="AG35" s="47">
        <v>137.5562953532075</v>
      </c>
      <c r="AH35" s="47">
        <v>1617.1625014702049</v>
      </c>
      <c r="AI35" s="47">
        <v>57.514671943426123</v>
      </c>
      <c r="AJ35" s="47">
        <v>45.727898206746403</v>
      </c>
      <c r="AK35" s="47">
        <v>6.8238363833928046</v>
      </c>
      <c r="AL35" s="47">
        <v>7.4920900814612059</v>
      </c>
      <c r="AM35" s="47">
        <v>2.4152567103236122</v>
      </c>
      <c r="AN35" s="47">
        <v>28.124280538760299</v>
      </c>
      <c r="AO35" s="47">
        <v>61.619279024575292</v>
      </c>
      <c r="AP35" s="47">
        <v>69.313477407273567</v>
      </c>
      <c r="AQ35" s="47">
        <v>9.665702484387344</v>
      </c>
      <c r="AR35" s="47">
        <v>327.03884699210761</v>
      </c>
      <c r="AS35" s="47">
        <v>15.314645073843041</v>
      </c>
      <c r="AT35" s="47">
        <v>81.649222061237893</v>
      </c>
      <c r="AU35" s="47">
        <v>0.20495750158933851</v>
      </c>
      <c r="AV35" s="47">
        <v>33.572612873205991</v>
      </c>
      <c r="AW35" s="47">
        <v>74.299501962647696</v>
      </c>
      <c r="AX35" s="47">
        <v>5.3174459819106028</v>
      </c>
      <c r="AY35" s="47">
        <v>6.9806272545891113E-2</v>
      </c>
      <c r="AZ35" s="47">
        <v>16.515459921190779</v>
      </c>
      <c r="BA35" s="47">
        <v>0.19556500599894469</v>
      </c>
      <c r="BB35" s="47">
        <v>2.2573363431151239E-2</v>
      </c>
      <c r="BC35" s="47">
        <v>16.376222723852521</v>
      </c>
      <c r="BD35" s="47">
        <v>4.8336321976489343</v>
      </c>
      <c r="BE35" s="47">
        <v>2.7809333758302328</v>
      </c>
      <c r="BF35" s="47">
        <v>0</v>
      </c>
      <c r="BG35" s="47">
        <v>18.562280150769482</v>
      </c>
      <c r="BH35" s="47">
        <v>0.57454294063871592</v>
      </c>
      <c r="BI35" s="47">
        <v>217.71557279980351</v>
      </c>
      <c r="BJ35" s="47">
        <v>1.2648222509220961</v>
      </c>
      <c r="BK35" s="47">
        <v>0</v>
      </c>
      <c r="BL35" s="47">
        <v>21.63399857017238</v>
      </c>
      <c r="BM35" s="47">
        <v>0</v>
      </c>
      <c r="BN35" s="47">
        <v>0</v>
      </c>
      <c r="BO35" s="47">
        <v>0</v>
      </c>
      <c r="BP35" s="47">
        <v>1.0506283803565109E-3</v>
      </c>
      <c r="BQ35" s="47">
        <v>0.10026900257226209</v>
      </c>
      <c r="BR35" s="47">
        <v>38.898256025412962</v>
      </c>
      <c r="BS35" s="47">
        <v>0.50989273686976755</v>
      </c>
      <c r="BT35" s="47">
        <v>3.6108522321090882E-4</v>
      </c>
      <c r="BU35" s="47">
        <v>8.6061644200785851E-4</v>
      </c>
      <c r="BV35" s="47">
        <v>38.418060300693597</v>
      </c>
      <c r="BW35" s="47">
        <v>0.52857860938535339</v>
      </c>
      <c r="BX35" s="47">
        <v>0.98255177728938181</v>
      </c>
      <c r="BY35" s="47">
        <v>0.86395991030985231</v>
      </c>
      <c r="BZ35" s="47">
        <v>1.39528453619299</v>
      </c>
      <c r="CA35" s="47">
        <v>0</v>
      </c>
      <c r="CB35" s="47">
        <v>0</v>
      </c>
      <c r="CC35" s="47">
        <v>45.630891755496613</v>
      </c>
      <c r="CD35" s="47">
        <v>5.000529358803842</v>
      </c>
      <c r="CE35" s="47">
        <v>4.6021636052902917</v>
      </c>
      <c r="CF35" s="47">
        <v>18.05786042065456</v>
      </c>
      <c r="CG35" s="47">
        <v>317.03397294609368</v>
      </c>
      <c r="CH35" s="47">
        <v>154.2653522949029</v>
      </c>
      <c r="CI35" s="47">
        <v>0.14096582767217691</v>
      </c>
      <c r="CJ35" s="47">
        <v>12.491859297452089</v>
      </c>
      <c r="CK35" s="47">
        <v>0</v>
      </c>
      <c r="CL35" s="47">
        <v>7.6783213529857663</v>
      </c>
      <c r="CM35" s="47">
        <v>2.6216365227983429E-2</v>
      </c>
      <c r="CN35" s="47">
        <v>0</v>
      </c>
      <c r="CO35" s="47">
        <v>0.40295271867294458</v>
      </c>
      <c r="CP35" s="47">
        <v>0.50560758454769317</v>
      </c>
      <c r="CQ35" s="47">
        <v>16.28247892932449</v>
      </c>
      <c r="CR35" s="47">
        <v>8.8358249032461433</v>
      </c>
      <c r="CS35" s="47">
        <v>2.6828930426028461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0.41893882459041032</v>
      </c>
      <c r="DA35" s="47">
        <v>1.7327058823529411</v>
      </c>
      <c r="DB35" s="47">
        <v>1.983244588146207E-4</v>
      </c>
      <c r="DC35" s="47">
        <v>0</v>
      </c>
      <c r="DD35" s="48">
        <v>5724.9999999999991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47">
        <v>211</v>
      </c>
      <c r="DK35" s="47">
        <v>0</v>
      </c>
      <c r="DL35" s="47">
        <v>2407</v>
      </c>
      <c r="DM35" s="47">
        <v>2025</v>
      </c>
      <c r="DN35" s="47">
        <v>435</v>
      </c>
      <c r="DO35" s="48">
        <v>10803</v>
      </c>
      <c r="DP35" s="47"/>
      <c r="DQ35" s="47"/>
      <c r="DR35" s="47"/>
      <c r="DS35" s="47"/>
    </row>
    <row r="36" spans="1:123" x14ac:dyDescent="0.45">
      <c r="A36" s="6" t="s">
        <v>184</v>
      </c>
      <c r="B36" t="s">
        <v>185</v>
      </c>
      <c r="C36" s="47">
        <v>1416.88747084737</v>
      </c>
      <c r="D36" s="47">
        <v>0</v>
      </c>
      <c r="E36" s="47">
        <v>0</v>
      </c>
      <c r="F36" s="47">
        <v>0</v>
      </c>
      <c r="G36" s="47">
        <v>0.1076833040715659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0.28824650045556199</v>
      </c>
      <c r="U36" s="47">
        <v>1.6565890830779421E-2</v>
      </c>
      <c r="V36" s="47">
        <v>0</v>
      </c>
      <c r="W36" s="47">
        <v>0</v>
      </c>
      <c r="X36" s="47">
        <v>37.296446616416802</v>
      </c>
      <c r="Y36" s="47">
        <v>0</v>
      </c>
      <c r="Z36" s="47">
        <v>0</v>
      </c>
      <c r="AA36" s="47">
        <v>0</v>
      </c>
      <c r="AB36" s="47">
        <v>4.6384494326182378E-2</v>
      </c>
      <c r="AC36" s="47">
        <v>0</v>
      </c>
      <c r="AD36" s="47">
        <v>0</v>
      </c>
      <c r="AE36" s="47">
        <v>3.6444959827714743E-2</v>
      </c>
      <c r="AF36" s="47">
        <v>0</v>
      </c>
      <c r="AG36" s="47">
        <v>0</v>
      </c>
      <c r="AH36" s="47">
        <v>0</v>
      </c>
      <c r="AI36" s="47">
        <v>0</v>
      </c>
      <c r="AJ36" s="47">
        <v>1.6565890830779431E-2</v>
      </c>
      <c r="AK36" s="47">
        <v>0</v>
      </c>
      <c r="AL36" s="47">
        <v>0</v>
      </c>
      <c r="AM36" s="47">
        <v>0</v>
      </c>
      <c r="AN36" s="47">
        <v>1.755706044645097E-3</v>
      </c>
      <c r="AO36" s="47">
        <v>0</v>
      </c>
      <c r="AP36" s="47">
        <v>0</v>
      </c>
      <c r="AQ36" s="47">
        <v>6.6263563323117711E-2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0.4406526960987327</v>
      </c>
      <c r="AX36" s="47">
        <v>0</v>
      </c>
      <c r="AY36" s="47">
        <v>0</v>
      </c>
      <c r="AZ36" s="47">
        <v>0</v>
      </c>
      <c r="BA36" s="47">
        <v>5.3256416687567927E-2</v>
      </c>
      <c r="BB36" s="47">
        <v>8.7785302232254812E-3</v>
      </c>
      <c r="BC36" s="47">
        <v>6.3685310592759814</v>
      </c>
      <c r="BD36" s="47">
        <v>0</v>
      </c>
      <c r="BE36" s="47">
        <v>0</v>
      </c>
      <c r="BF36" s="47">
        <v>0</v>
      </c>
      <c r="BG36" s="47">
        <v>27.7924117293881</v>
      </c>
      <c r="BH36" s="47">
        <v>1.0322572132610591E-5</v>
      </c>
      <c r="BI36" s="47">
        <v>10.25662694752571</v>
      </c>
      <c r="BJ36" s="47">
        <v>8.9225763445406045E-2</v>
      </c>
      <c r="BK36" s="47">
        <v>0</v>
      </c>
      <c r="BL36" s="47">
        <v>11.40495251801428</v>
      </c>
      <c r="BM36" s="47">
        <v>0</v>
      </c>
      <c r="BN36" s="47">
        <v>0</v>
      </c>
      <c r="BO36" s="47">
        <v>0</v>
      </c>
      <c r="BP36" s="47">
        <v>1.5779509541239469E-4</v>
      </c>
      <c r="BQ36" s="47">
        <v>18.01859976604516</v>
      </c>
      <c r="BR36" s="47">
        <v>12.159395459718279</v>
      </c>
      <c r="BS36" s="47">
        <v>0.20741396225644121</v>
      </c>
      <c r="BT36" s="47">
        <v>4.7626286580082811</v>
      </c>
      <c r="BU36" s="47">
        <v>0</v>
      </c>
      <c r="BV36" s="47">
        <v>3.0643534146926581</v>
      </c>
      <c r="BW36" s="47">
        <v>0.46479049590025961</v>
      </c>
      <c r="BX36" s="47">
        <v>2.8409903557725791</v>
      </c>
      <c r="BY36" s="47">
        <v>1.7279198206197051</v>
      </c>
      <c r="BZ36" s="47">
        <v>1.349748023541297E-2</v>
      </c>
      <c r="CA36" s="47">
        <v>0</v>
      </c>
      <c r="CB36" s="47">
        <v>0</v>
      </c>
      <c r="CC36" s="47">
        <v>55.654563208793043</v>
      </c>
      <c r="CD36" s="47">
        <v>1.764386630903358</v>
      </c>
      <c r="CE36" s="47">
        <v>1.564795205092909</v>
      </c>
      <c r="CF36" s="47">
        <v>3.2756939631374299E-2</v>
      </c>
      <c r="CG36" s="47">
        <v>11.85433472305335</v>
      </c>
      <c r="CH36" s="47">
        <v>1.3139308098870941</v>
      </c>
      <c r="CI36" s="47">
        <v>0.96803019937745816</v>
      </c>
      <c r="CJ36" s="47">
        <v>5.3092209162167876</v>
      </c>
      <c r="CK36" s="47">
        <v>0</v>
      </c>
      <c r="CL36" s="47">
        <v>9.9185106097226079</v>
      </c>
      <c r="CM36" s="47">
        <v>0</v>
      </c>
      <c r="CN36" s="47">
        <v>0</v>
      </c>
      <c r="CO36" s="47">
        <v>0</v>
      </c>
      <c r="CP36" s="47">
        <v>0</v>
      </c>
      <c r="CQ36" s="47">
        <v>1.4910006959224831</v>
      </c>
      <c r="CR36" s="47">
        <v>26.507474709738428</v>
      </c>
      <c r="CS36" s="47">
        <v>3.8066477893147632</v>
      </c>
      <c r="CT36" s="47">
        <v>0</v>
      </c>
      <c r="CU36" s="47">
        <v>0.60443119979269233</v>
      </c>
      <c r="CV36" s="47">
        <v>0</v>
      </c>
      <c r="CW36" s="47">
        <v>5.9018019507356592E-2</v>
      </c>
      <c r="CX36" s="47">
        <v>0</v>
      </c>
      <c r="CY36" s="47">
        <v>1.712555066079295</v>
      </c>
      <c r="CZ36" s="47">
        <v>0</v>
      </c>
      <c r="DA36" s="47">
        <v>0</v>
      </c>
      <c r="DB36" s="47">
        <v>3.2231189475444549E-4</v>
      </c>
      <c r="DC36" s="47">
        <v>0</v>
      </c>
      <c r="DD36" s="48">
        <v>1677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47">
        <v>-64</v>
      </c>
      <c r="DK36" s="47">
        <v>0</v>
      </c>
      <c r="DL36" s="47">
        <v>575</v>
      </c>
      <c r="DM36" s="47">
        <v>334</v>
      </c>
      <c r="DN36" s="47">
        <v>23</v>
      </c>
      <c r="DO36" s="48">
        <v>2545</v>
      </c>
      <c r="DP36" s="47"/>
      <c r="DQ36" s="47"/>
      <c r="DR36" s="47"/>
      <c r="DS36" s="47"/>
    </row>
    <row r="37" spans="1:123" x14ac:dyDescent="0.45">
      <c r="A37" s="6" t="s">
        <v>186</v>
      </c>
      <c r="B37" t="s">
        <v>187</v>
      </c>
      <c r="C37" s="47">
        <v>200.45996372117131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2.343971840096134E-3</v>
      </c>
      <c r="K37" s="47">
        <v>2.099082743689859E-2</v>
      </c>
      <c r="L37" s="47">
        <v>9.5788419713645517E-2</v>
      </c>
      <c r="M37" s="47">
        <v>2.378856609629016E-3</v>
      </c>
      <c r="N37" s="47">
        <v>6.6451444749748428E-3</v>
      </c>
      <c r="O37" s="47">
        <v>1.6218102124081021E-2</v>
      </c>
      <c r="P37" s="47">
        <v>2.8363356661751591</v>
      </c>
      <c r="Q37" s="47">
        <v>1.3772698047855461</v>
      </c>
      <c r="R37" s="47">
        <v>0</v>
      </c>
      <c r="S37" s="47">
        <v>0</v>
      </c>
      <c r="T37" s="47">
        <v>0.78778693157756474</v>
      </c>
      <c r="U37" s="47">
        <v>0.4596809391435504</v>
      </c>
      <c r="V37" s="47">
        <v>0</v>
      </c>
      <c r="W37" s="47">
        <v>1.67914280290207E-2</v>
      </c>
      <c r="X37" s="47">
        <v>1.947053703030371E-2</v>
      </c>
      <c r="Y37" s="47">
        <v>0.13345231711199201</v>
      </c>
      <c r="Z37" s="47">
        <v>0.16347501167678649</v>
      </c>
      <c r="AA37" s="47">
        <v>0.21342481162784041</v>
      </c>
      <c r="AB37" s="47">
        <v>7.0208558958991691</v>
      </c>
      <c r="AC37" s="47">
        <v>7.4425968651625647</v>
      </c>
      <c r="AD37" s="47">
        <v>2.3238665317915439E-2</v>
      </c>
      <c r="AE37" s="47">
        <v>1.1652847134108111</v>
      </c>
      <c r="AF37" s="47">
        <v>3.2479983782850019</v>
      </c>
      <c r="AG37" s="47">
        <v>569.61753324742926</v>
      </c>
      <c r="AH37" s="47">
        <v>0.37484774496550188</v>
      </c>
      <c r="AI37" s="47">
        <v>6.4230413164583777E-2</v>
      </c>
      <c r="AJ37" s="47">
        <v>6.7158593824277232E-2</v>
      </c>
      <c r="AK37" s="47">
        <v>0.28418433135239968</v>
      </c>
      <c r="AL37" s="47">
        <v>0.1038456214709612</v>
      </c>
      <c r="AM37" s="47">
        <v>5.0631589936319032E-3</v>
      </c>
      <c r="AN37" s="47">
        <v>3.3649204391712879</v>
      </c>
      <c r="AO37" s="47">
        <v>4.5271579895923741</v>
      </c>
      <c r="AP37" s="47">
        <v>1.102312575459617</v>
      </c>
      <c r="AQ37" s="47">
        <v>64.044626532019947</v>
      </c>
      <c r="AR37" s="47">
        <v>1.0060474854443331</v>
      </c>
      <c r="AS37" s="47">
        <v>4.5449340990181053E-2</v>
      </c>
      <c r="AT37" s="47">
        <v>0</v>
      </c>
      <c r="AU37" s="47">
        <v>5.5658627087198506E-3</v>
      </c>
      <c r="AV37" s="47">
        <v>0.12558913458518561</v>
      </c>
      <c r="AW37" s="47">
        <v>11.261534160325629</v>
      </c>
      <c r="AX37" s="47">
        <v>5.5694748929950938E-2</v>
      </c>
      <c r="AY37" s="47">
        <v>1.3914656771799631E-3</v>
      </c>
      <c r="AZ37" s="47">
        <v>15.76713881328422</v>
      </c>
      <c r="BA37" s="47">
        <v>22.838008283132531</v>
      </c>
      <c r="BB37" s="47">
        <v>3.5740775602409638</v>
      </c>
      <c r="BC37" s="47">
        <v>0</v>
      </c>
      <c r="BD37" s="47">
        <v>0</v>
      </c>
      <c r="BE37" s="47">
        <v>0</v>
      </c>
      <c r="BF37" s="47">
        <v>0</v>
      </c>
      <c r="BG37" s="47">
        <v>5.6811065738877042</v>
      </c>
      <c r="BH37" s="47">
        <v>2.8755147877198959</v>
      </c>
      <c r="BI37" s="47">
        <v>63.41590101104569</v>
      </c>
      <c r="BJ37" s="47">
        <v>6.4930730859193337</v>
      </c>
      <c r="BK37" s="47">
        <v>0</v>
      </c>
      <c r="BL37" s="47">
        <v>2.8728034550684098</v>
      </c>
      <c r="BM37" s="47">
        <v>0</v>
      </c>
      <c r="BN37" s="47">
        <v>0</v>
      </c>
      <c r="BO37" s="47">
        <v>0</v>
      </c>
      <c r="BP37" s="47">
        <v>1.812429376325156E-4</v>
      </c>
      <c r="BQ37" s="47">
        <v>3.2325613048729149</v>
      </c>
      <c r="BR37" s="47">
        <v>18.219747634742159</v>
      </c>
      <c r="BS37" s="47">
        <v>1.188184275102061</v>
      </c>
      <c r="BT37" s="47">
        <v>0</v>
      </c>
      <c r="BU37" s="47">
        <v>0</v>
      </c>
      <c r="BV37" s="47">
        <v>45.362287979306707</v>
      </c>
      <c r="BW37" s="47">
        <v>0.42384192132920201</v>
      </c>
      <c r="BX37" s="47">
        <v>7.9015782006605535E-3</v>
      </c>
      <c r="BY37" s="47">
        <v>0</v>
      </c>
      <c r="BZ37" s="47">
        <v>6.9648093841642228E-3</v>
      </c>
      <c r="CA37" s="47">
        <v>0</v>
      </c>
      <c r="CB37" s="47">
        <v>0</v>
      </c>
      <c r="CC37" s="47">
        <v>46.242983447503782</v>
      </c>
      <c r="CD37" s="47">
        <v>2.1501577224000399</v>
      </c>
      <c r="CE37" s="47">
        <v>1.411242002586492</v>
      </c>
      <c r="CF37" s="47">
        <v>26.232526679693379</v>
      </c>
      <c r="CG37" s="47">
        <v>2.1253872636624109</v>
      </c>
      <c r="CH37" s="47">
        <v>484.95481561780099</v>
      </c>
      <c r="CI37" s="47">
        <v>2.1154608940226211E-3</v>
      </c>
      <c r="CJ37" s="47">
        <v>4.3156503909735964</v>
      </c>
      <c r="CK37" s="47">
        <v>341.44686890189809</v>
      </c>
      <c r="CL37" s="47">
        <v>3.941201804897418</v>
      </c>
      <c r="CM37" s="47">
        <v>0</v>
      </c>
      <c r="CN37" s="47">
        <v>0</v>
      </c>
      <c r="CO37" s="47">
        <v>2.7859237536656891E-2</v>
      </c>
      <c r="CP37" s="47">
        <v>4.8753665689149558E-2</v>
      </c>
      <c r="CQ37" s="47">
        <v>5.4959142057066401</v>
      </c>
      <c r="CR37" s="47">
        <v>160.02660658101351</v>
      </c>
      <c r="CS37" s="47">
        <v>19.583703378875772</v>
      </c>
      <c r="CT37" s="47">
        <v>5073.6864194249256</v>
      </c>
      <c r="CU37" s="47">
        <v>48.649929075676518</v>
      </c>
      <c r="CV37" s="47">
        <v>0</v>
      </c>
      <c r="CW37" s="47">
        <v>0</v>
      </c>
      <c r="CX37" s="47">
        <v>0</v>
      </c>
      <c r="CY37" s="47">
        <v>0.24229074889867841</v>
      </c>
      <c r="CZ37" s="47">
        <v>56.885681839119172</v>
      </c>
      <c r="DA37" s="47">
        <v>0</v>
      </c>
      <c r="DB37" s="47">
        <v>1.4543793646405519E-3</v>
      </c>
      <c r="DC37" s="47">
        <v>0</v>
      </c>
      <c r="DD37" s="48">
        <v>7351</v>
      </c>
      <c r="DE37" s="47">
        <v>7933</v>
      </c>
      <c r="DF37" s="47">
        <v>4632</v>
      </c>
      <c r="DG37" s="47">
        <v>3301</v>
      </c>
      <c r="DH37" s="47">
        <v>0</v>
      </c>
      <c r="DI37" s="47">
        <v>0</v>
      </c>
      <c r="DJ37" s="47">
        <v>674</v>
      </c>
      <c r="DK37" s="47">
        <v>0</v>
      </c>
      <c r="DL37" s="47">
        <v>3790</v>
      </c>
      <c r="DM37" s="47">
        <v>5271</v>
      </c>
      <c r="DN37" s="47">
        <v>155</v>
      </c>
      <c r="DO37" s="48">
        <v>25174</v>
      </c>
      <c r="DP37" s="47"/>
      <c r="DQ37" s="47"/>
      <c r="DR37" s="47"/>
      <c r="DS37" s="47"/>
    </row>
    <row r="38" spans="1:123" x14ac:dyDescent="0.45">
      <c r="A38" s="6" t="s">
        <v>188</v>
      </c>
      <c r="B38" t="s">
        <v>189</v>
      </c>
      <c r="C38" s="47">
        <v>533.04126716766007</v>
      </c>
      <c r="D38" s="47">
        <v>0</v>
      </c>
      <c r="E38" s="47">
        <v>4.7732478240952814</v>
      </c>
      <c r="F38" s="47">
        <v>0.98360655737704916</v>
      </c>
      <c r="G38" s="47">
        <v>3.8537130511780343E-2</v>
      </c>
      <c r="H38" s="47">
        <v>23.97020305890798</v>
      </c>
      <c r="I38" s="47">
        <v>0</v>
      </c>
      <c r="J38" s="47">
        <v>391.03490549947298</v>
      </c>
      <c r="K38" s="47">
        <v>212.07090377428679</v>
      </c>
      <c r="L38" s="47">
        <v>10.211000121353729</v>
      </c>
      <c r="M38" s="47">
        <v>287.40571957267099</v>
      </c>
      <c r="N38" s="47">
        <v>4.8909739830781067</v>
      </c>
      <c r="O38" s="47">
        <v>334.31326777580631</v>
      </c>
      <c r="P38" s="47">
        <v>189.0778948936368</v>
      </c>
      <c r="Q38" s="47">
        <v>3.696117316457165</v>
      </c>
      <c r="R38" s="47">
        <v>11.70466728397413</v>
      </c>
      <c r="S38" s="47">
        <v>385.45942642167432</v>
      </c>
      <c r="T38" s="47">
        <v>18.416342151835469</v>
      </c>
      <c r="U38" s="47">
        <v>1.5031418105581771</v>
      </c>
      <c r="V38" s="47">
        <v>9.4742140737505615E-2</v>
      </c>
      <c r="W38" s="47">
        <v>1.225852286062199</v>
      </c>
      <c r="X38" s="47">
        <v>507.3401083282078</v>
      </c>
      <c r="Y38" s="47">
        <v>342.26643152645579</v>
      </c>
      <c r="Z38" s="47">
        <v>7.92225056587504E-2</v>
      </c>
      <c r="AA38" s="47">
        <v>1.4676295455499879</v>
      </c>
      <c r="AB38" s="47">
        <v>20.762604161809559</v>
      </c>
      <c r="AC38" s="47">
        <v>7.799603168885648</v>
      </c>
      <c r="AD38" s="47">
        <v>9.0841655071412255</v>
      </c>
      <c r="AE38" s="47">
        <v>3.6006726197218129</v>
      </c>
      <c r="AF38" s="47">
        <v>1.9719579324633021</v>
      </c>
      <c r="AG38" s="47">
        <v>279.81390543007223</v>
      </c>
      <c r="AH38" s="47">
        <v>3.9426832864506061</v>
      </c>
      <c r="AI38" s="47">
        <v>11.986302810276211</v>
      </c>
      <c r="AJ38" s="47">
        <v>4.1118561200108346</v>
      </c>
      <c r="AK38" s="47">
        <v>8.9299519702475205</v>
      </c>
      <c r="AL38" s="47">
        <v>2.902966080973552</v>
      </c>
      <c r="AM38" s="47">
        <v>4.6485765079164967</v>
      </c>
      <c r="AN38" s="47">
        <v>138.72733436717701</v>
      </c>
      <c r="AO38" s="47">
        <v>225.78702994430489</v>
      </c>
      <c r="AP38" s="47">
        <v>202.48722296653321</v>
      </c>
      <c r="AQ38" s="47">
        <v>193.13488582117739</v>
      </c>
      <c r="AR38" s="47">
        <v>991.80611534879597</v>
      </c>
      <c r="AS38" s="47">
        <v>32.29823648260188</v>
      </c>
      <c r="AT38" s="47">
        <v>191.19709896362241</v>
      </c>
      <c r="AU38" s="47">
        <v>5.8761900891926953</v>
      </c>
      <c r="AV38" s="47">
        <v>54.102525762905373</v>
      </c>
      <c r="AW38" s="47">
        <v>95.183726935439552</v>
      </c>
      <c r="AX38" s="47">
        <v>2.4189881271693912</v>
      </c>
      <c r="AY38" s="47">
        <v>0.30344278007694009</v>
      </c>
      <c r="AZ38" s="47">
        <v>162.80102936373149</v>
      </c>
      <c r="BA38" s="47">
        <v>2.3982805644545208E-2</v>
      </c>
      <c r="BB38" s="47">
        <v>2.5081514923501369E-3</v>
      </c>
      <c r="BC38" s="47">
        <v>1.8195803026502799</v>
      </c>
      <c r="BD38" s="47">
        <v>1.933452879059574</v>
      </c>
      <c r="BE38" s="47">
        <v>255.02268641383441</v>
      </c>
      <c r="BF38" s="47">
        <v>1.9512195121951219</v>
      </c>
      <c r="BG38" s="47">
        <v>3100.9586027025689</v>
      </c>
      <c r="BH38" s="47">
        <v>11.772072217073211</v>
      </c>
      <c r="BI38" s="47">
        <v>505.56402935247479</v>
      </c>
      <c r="BJ38" s="47">
        <v>910.68725483688127</v>
      </c>
      <c r="BK38" s="47">
        <v>1.973233818041437</v>
      </c>
      <c r="BL38" s="47">
        <v>436.74095256185689</v>
      </c>
      <c r="BM38" s="47">
        <v>3.2065964269354097E-2</v>
      </c>
      <c r="BN38" s="47">
        <v>0</v>
      </c>
      <c r="BO38" s="47">
        <v>188.76624526159819</v>
      </c>
      <c r="BP38" s="47">
        <v>20.45017676680785</v>
      </c>
      <c r="BQ38" s="47">
        <v>12.326935742180369</v>
      </c>
      <c r="BR38" s="47">
        <v>205.30107221272209</v>
      </c>
      <c r="BS38" s="47">
        <v>5.3111779815093447</v>
      </c>
      <c r="BT38" s="47">
        <v>1.4391599399645589E-5</v>
      </c>
      <c r="BU38" s="47">
        <v>7.9922395072910488</v>
      </c>
      <c r="BV38" s="47">
        <v>75.270190496759199</v>
      </c>
      <c r="BW38" s="47">
        <v>0.70559909995349712</v>
      </c>
      <c r="BX38" s="47">
        <v>62.681885077494258</v>
      </c>
      <c r="BY38" s="47">
        <v>13.82335856495764</v>
      </c>
      <c r="BZ38" s="47">
        <v>56.943438598667143</v>
      </c>
      <c r="CA38" s="47">
        <v>0</v>
      </c>
      <c r="CB38" s="47">
        <v>7</v>
      </c>
      <c r="CC38" s="47">
        <v>129.49896440181641</v>
      </c>
      <c r="CD38" s="47">
        <v>5.5595840217363568</v>
      </c>
      <c r="CE38" s="47">
        <v>3.280568124272254</v>
      </c>
      <c r="CF38" s="47">
        <v>4.3243134800057286</v>
      </c>
      <c r="CG38" s="47">
        <v>16.642949027508099</v>
      </c>
      <c r="CH38" s="47">
        <v>178.28929926233181</v>
      </c>
      <c r="CI38" s="47">
        <v>9.9088528413952517</v>
      </c>
      <c r="CJ38" s="47">
        <v>19.584241491742791</v>
      </c>
      <c r="CK38" s="47">
        <v>0</v>
      </c>
      <c r="CL38" s="47">
        <v>14.04806168408621</v>
      </c>
      <c r="CM38" s="47">
        <v>5.3432640647299703E-2</v>
      </c>
      <c r="CN38" s="47">
        <v>0</v>
      </c>
      <c r="CO38" s="47">
        <v>2.3535760187653012</v>
      </c>
      <c r="CP38" s="47">
        <v>139.3819045676737</v>
      </c>
      <c r="CQ38" s="47">
        <v>15.625851755969871</v>
      </c>
      <c r="CR38" s="47">
        <v>124.6833069680289</v>
      </c>
      <c r="CS38" s="47">
        <v>76.349598637906837</v>
      </c>
      <c r="CT38" s="47">
        <v>346.98613165680467</v>
      </c>
      <c r="CU38" s="47">
        <v>76.959165731743042</v>
      </c>
      <c r="CV38" s="47">
        <v>133.45105617378559</v>
      </c>
      <c r="CW38" s="47">
        <v>5.5100072937656837</v>
      </c>
      <c r="CX38" s="47">
        <v>1.8407733864088709</v>
      </c>
      <c r="CY38" s="47">
        <v>0.71527633434973104</v>
      </c>
      <c r="CZ38" s="47">
        <v>24.258908214185119</v>
      </c>
      <c r="DA38" s="47">
        <v>5.1981176470588242</v>
      </c>
      <c r="DB38" s="47">
        <v>57.697802193702088</v>
      </c>
      <c r="DC38" s="47">
        <v>0</v>
      </c>
      <c r="DD38" s="48">
        <v>13198</v>
      </c>
      <c r="DE38" s="47">
        <v>0</v>
      </c>
      <c r="DF38" s="47">
        <v>0</v>
      </c>
      <c r="DG38" s="47">
        <v>0</v>
      </c>
      <c r="DH38" s="47">
        <v>0</v>
      </c>
      <c r="DI38" s="47">
        <v>198</v>
      </c>
      <c r="DJ38" s="47">
        <v>-36</v>
      </c>
      <c r="DK38" s="47">
        <v>0</v>
      </c>
      <c r="DL38" s="47">
        <v>4843</v>
      </c>
      <c r="DM38" s="47">
        <v>2610</v>
      </c>
      <c r="DN38" s="47">
        <v>400</v>
      </c>
      <c r="DO38" s="48">
        <v>21213</v>
      </c>
      <c r="DP38" s="47"/>
      <c r="DQ38" s="47"/>
      <c r="DR38" s="47"/>
      <c r="DS38" s="47"/>
    </row>
    <row r="39" spans="1:123" x14ac:dyDescent="0.45">
      <c r="A39" s="6" t="s">
        <v>190</v>
      </c>
      <c r="B39" t="s">
        <v>191</v>
      </c>
      <c r="C39" s="47">
        <v>0</v>
      </c>
      <c r="D39" s="47">
        <v>0</v>
      </c>
      <c r="E39" s="47">
        <v>0</v>
      </c>
      <c r="F39" s="47">
        <v>0</v>
      </c>
      <c r="G39" s="47">
        <v>4.2422366614589667E-2</v>
      </c>
      <c r="H39" s="47">
        <v>15.869722928209461</v>
      </c>
      <c r="I39" s="47">
        <v>0</v>
      </c>
      <c r="J39" s="47">
        <v>4.762068413072222E-4</v>
      </c>
      <c r="K39" s="47">
        <v>3.1739464109708911E-2</v>
      </c>
      <c r="L39" s="47">
        <v>0.1184627896545736</v>
      </c>
      <c r="M39" s="47">
        <v>1.9881558159399338E-3</v>
      </c>
      <c r="N39" s="47">
        <v>6.1840638407250008E-2</v>
      </c>
      <c r="O39" s="47">
        <v>0</v>
      </c>
      <c r="P39" s="47">
        <v>0.1630632117511141</v>
      </c>
      <c r="Q39" s="47">
        <v>1.7705029619953429E-3</v>
      </c>
      <c r="R39" s="47">
        <v>0</v>
      </c>
      <c r="S39" s="47">
        <v>0</v>
      </c>
      <c r="T39" s="47">
        <v>1.1740790748392591</v>
      </c>
      <c r="U39" s="47">
        <v>3.3292478390603299E-3</v>
      </c>
      <c r="V39" s="47">
        <v>0</v>
      </c>
      <c r="W39" s="47">
        <v>1.913019184656084E-2</v>
      </c>
      <c r="X39" s="47">
        <v>7.6282240803467571E-2</v>
      </c>
      <c r="Y39" s="47">
        <v>0.17320463130094271</v>
      </c>
      <c r="Z39" s="47">
        <v>0</v>
      </c>
      <c r="AA39" s="47">
        <v>1.12229941440284</v>
      </c>
      <c r="AB39" s="47">
        <v>6.5033740895230494</v>
      </c>
      <c r="AC39" s="47">
        <v>30.951974583962379</v>
      </c>
      <c r="AD39" s="47">
        <v>0.66646439248982869</v>
      </c>
      <c r="AE39" s="47">
        <v>0.9484374797212205</v>
      </c>
      <c r="AF39" s="47">
        <v>0</v>
      </c>
      <c r="AG39" s="47">
        <v>0</v>
      </c>
      <c r="AH39" s="47">
        <v>3.9054446864652892</v>
      </c>
      <c r="AI39" s="47">
        <v>59.272129092031903</v>
      </c>
      <c r="AJ39" s="47">
        <v>130.13831188156161</v>
      </c>
      <c r="AK39" s="47">
        <v>2.5275638521131132</v>
      </c>
      <c r="AL39" s="47">
        <v>0.70336700128737295</v>
      </c>
      <c r="AM39" s="47">
        <v>7.1262681823737933E-2</v>
      </c>
      <c r="AN39" s="47">
        <v>90.051896464451303</v>
      </c>
      <c r="AO39" s="47">
        <v>6.3430808662379268E-2</v>
      </c>
      <c r="AP39" s="47">
        <v>0.31284552085745182</v>
      </c>
      <c r="AQ39" s="47">
        <v>4.9425673349550072</v>
      </c>
      <c r="AR39" s="47">
        <v>0.86898156195514298</v>
      </c>
      <c r="AS39" s="47">
        <v>6.8125739059014923E-2</v>
      </c>
      <c r="AT39" s="47">
        <v>0.1554822148881555</v>
      </c>
      <c r="AU39" s="47">
        <v>0.22391097842312391</v>
      </c>
      <c r="AV39" s="47">
        <v>0.9772988694282021</v>
      </c>
      <c r="AW39" s="47">
        <v>1.5914558826939929E-2</v>
      </c>
      <c r="AX39" s="47">
        <v>7.7741107444077751E-2</v>
      </c>
      <c r="AY39" s="47">
        <v>3.2392128101699058E-2</v>
      </c>
      <c r="AZ39" s="47">
        <v>3.8410549289704088</v>
      </c>
      <c r="BA39" s="47">
        <v>2.8366148940022391E-2</v>
      </c>
      <c r="BB39" s="47">
        <v>2.5081514923501369E-3</v>
      </c>
      <c r="BC39" s="47">
        <v>1.8195803026502799</v>
      </c>
      <c r="BD39" s="47">
        <v>2.9001793185893598</v>
      </c>
      <c r="BE39" s="47">
        <v>16.394315555175069</v>
      </c>
      <c r="BF39" s="47">
        <v>0</v>
      </c>
      <c r="BG39" s="47">
        <v>7473.3555479616043</v>
      </c>
      <c r="BH39" s="47">
        <v>5.2155075497698215E-4</v>
      </c>
      <c r="BI39" s="47">
        <v>10.179837658653399</v>
      </c>
      <c r="BJ39" s="47">
        <v>8.0390315801310201</v>
      </c>
      <c r="BK39" s="47">
        <v>0.9866169090207183</v>
      </c>
      <c r="BL39" s="47">
        <v>3.1845140242196881</v>
      </c>
      <c r="BM39" s="47">
        <v>0</v>
      </c>
      <c r="BN39" s="47">
        <v>0</v>
      </c>
      <c r="BO39" s="47">
        <v>0</v>
      </c>
      <c r="BP39" s="47">
        <v>2.6996309761439808E-4</v>
      </c>
      <c r="BQ39" s="47">
        <v>11.07088324140685</v>
      </c>
      <c r="BR39" s="47">
        <v>78.606187803258322</v>
      </c>
      <c r="BS39" s="47">
        <v>2.9768425765542891E-2</v>
      </c>
      <c r="BT39" s="47">
        <v>0.1667343927962156</v>
      </c>
      <c r="BU39" s="47">
        <v>2.3491574024581549E-7</v>
      </c>
      <c r="BV39" s="47">
        <v>4.9610246471303876</v>
      </c>
      <c r="BW39" s="47">
        <v>3.7844069380563228E-2</v>
      </c>
      <c r="BX39" s="47">
        <v>9.5269570293582441E-3</v>
      </c>
      <c r="BY39" s="47">
        <v>0</v>
      </c>
      <c r="BZ39" s="47">
        <v>0.94525143556105762</v>
      </c>
      <c r="CA39" s="47">
        <v>0</v>
      </c>
      <c r="CB39" s="47">
        <v>120</v>
      </c>
      <c r="CC39" s="47">
        <v>57.276466474776797</v>
      </c>
      <c r="CD39" s="47">
        <v>0.40100126165014721</v>
      </c>
      <c r="CE39" s="47">
        <v>0.41640853901488628</v>
      </c>
      <c r="CF39" s="47">
        <v>3.3661568301554007E-2</v>
      </c>
      <c r="CG39" s="47">
        <v>1.2162506857376081</v>
      </c>
      <c r="CH39" s="47">
        <v>16.470804436380011</v>
      </c>
      <c r="CI39" s="47">
        <v>2.493367441251972</v>
      </c>
      <c r="CJ39" s="47">
        <v>15.1448215853334</v>
      </c>
      <c r="CK39" s="47">
        <v>0</v>
      </c>
      <c r="CL39" s="47">
        <v>1.128042589462569</v>
      </c>
      <c r="CM39" s="47">
        <v>0.13558220130646301</v>
      </c>
      <c r="CN39" s="47">
        <v>0</v>
      </c>
      <c r="CO39" s="47">
        <v>2.3240737102667872E-2</v>
      </c>
      <c r="CP39" s="47">
        <v>3.7693891093561048E-2</v>
      </c>
      <c r="CQ39" s="47">
        <v>1.442897467667928</v>
      </c>
      <c r="CR39" s="47">
        <v>97.194073935707578</v>
      </c>
      <c r="CS39" s="47">
        <v>107.6916226927366</v>
      </c>
      <c r="CT39" s="47">
        <v>27.60116956360946</v>
      </c>
      <c r="CU39" s="47">
        <v>0</v>
      </c>
      <c r="CV39" s="47">
        <v>11.48332294029467</v>
      </c>
      <c r="CW39" s="47">
        <v>19.052938319572601</v>
      </c>
      <c r="CX39" s="47">
        <v>0.50318040330220593</v>
      </c>
      <c r="CY39" s="47">
        <v>26.766815536608469</v>
      </c>
      <c r="CZ39" s="47">
        <v>10.56048387096774</v>
      </c>
      <c r="DA39" s="47">
        <v>0</v>
      </c>
      <c r="DB39" s="47">
        <v>2.7860504147407001E-2</v>
      </c>
      <c r="DC39" s="47">
        <v>0</v>
      </c>
      <c r="DD39" s="48">
        <v>8485.9999999999982</v>
      </c>
      <c r="DE39" s="47">
        <v>14</v>
      </c>
      <c r="DF39" s="47">
        <v>0</v>
      </c>
      <c r="DG39" s="47">
        <v>14</v>
      </c>
      <c r="DH39" s="47">
        <v>0</v>
      </c>
      <c r="DI39" s="47">
        <v>0</v>
      </c>
      <c r="DJ39" s="47">
        <v>128</v>
      </c>
      <c r="DK39" s="47">
        <v>0</v>
      </c>
      <c r="DL39" s="47">
        <v>135</v>
      </c>
      <c r="DM39" s="47">
        <v>47</v>
      </c>
      <c r="DN39" s="47">
        <v>5</v>
      </c>
      <c r="DO39" s="48">
        <v>8815</v>
      </c>
      <c r="DP39" s="47"/>
      <c r="DQ39" s="47"/>
      <c r="DR39" s="47"/>
      <c r="DS39" s="47"/>
    </row>
    <row r="40" spans="1:123" x14ac:dyDescent="0.45">
      <c r="A40" s="6" t="s">
        <v>192</v>
      </c>
      <c r="B40" t="s">
        <v>193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138.9813273332141</v>
      </c>
      <c r="I40" s="47">
        <v>0</v>
      </c>
      <c r="J40" s="47">
        <v>6.8656335866596843</v>
      </c>
      <c r="K40" s="47">
        <v>3.0866224019974808</v>
      </c>
      <c r="L40" s="47">
        <v>0.26879108294664728</v>
      </c>
      <c r="M40" s="47">
        <v>2.334972164652505</v>
      </c>
      <c r="N40" s="47">
        <v>1.9252077693940071</v>
      </c>
      <c r="O40" s="47">
        <v>1.320296335120122</v>
      </c>
      <c r="P40" s="47">
        <v>74.655201632410638</v>
      </c>
      <c r="Q40" s="47">
        <v>1.271325973648197E-2</v>
      </c>
      <c r="R40" s="47">
        <v>262.96137805983682</v>
      </c>
      <c r="S40" s="47">
        <v>125.57411046869569</v>
      </c>
      <c r="T40" s="47">
        <v>0.57948689312943846</v>
      </c>
      <c r="U40" s="47">
        <v>4.4599874645215908E-3</v>
      </c>
      <c r="V40" s="47">
        <v>0</v>
      </c>
      <c r="W40" s="47">
        <v>15.737727248771661</v>
      </c>
      <c r="X40" s="47">
        <v>0.88251760136177826</v>
      </c>
      <c r="Y40" s="47">
        <v>0.89710782996528926</v>
      </c>
      <c r="Z40" s="47">
        <v>1.5090001077857219E-3</v>
      </c>
      <c r="AA40" s="47">
        <v>2.0337209877683119E-2</v>
      </c>
      <c r="AB40" s="47">
        <v>4.7427118516268019</v>
      </c>
      <c r="AC40" s="47">
        <v>0.89970291727949081</v>
      </c>
      <c r="AD40" s="47">
        <v>4.400705813241494</v>
      </c>
      <c r="AE40" s="47">
        <v>0.20571948107018431</v>
      </c>
      <c r="AF40" s="47">
        <v>6.0591365733443849E-2</v>
      </c>
      <c r="AG40" s="47">
        <v>5.5888774420522864</v>
      </c>
      <c r="AH40" s="47">
        <v>97.425150349115299</v>
      </c>
      <c r="AI40" s="47">
        <v>32.519274964746863</v>
      </c>
      <c r="AJ40" s="47">
        <v>14.654272133790331</v>
      </c>
      <c r="AK40" s="47">
        <v>31.9747558855051</v>
      </c>
      <c r="AL40" s="47">
        <v>1.0358311657928989</v>
      </c>
      <c r="AM40" s="47">
        <v>7.2336985301767451E-2</v>
      </c>
      <c r="AN40" s="47">
        <v>13.307529211003519</v>
      </c>
      <c r="AO40" s="47">
        <v>3.9812991456463571</v>
      </c>
      <c r="AP40" s="47">
        <v>40.677774890408557</v>
      </c>
      <c r="AQ40" s="47">
        <v>5.1942349798724363</v>
      </c>
      <c r="AR40" s="47">
        <v>26.36735252508138</v>
      </c>
      <c r="AS40" s="47">
        <v>62.944330085104887</v>
      </c>
      <c r="AT40" s="47">
        <v>4.8215375260979527E-2</v>
      </c>
      <c r="AU40" s="47">
        <v>1.011543852779247E-2</v>
      </c>
      <c r="AV40" s="47">
        <v>0.94952480849421084</v>
      </c>
      <c r="AW40" s="47">
        <v>1.6720770845046939</v>
      </c>
      <c r="AX40" s="47">
        <v>0.19992480932049991</v>
      </c>
      <c r="AY40" s="47">
        <v>5.557313131408355E-3</v>
      </c>
      <c r="AZ40" s="47">
        <v>2.9118307580466078</v>
      </c>
      <c r="BA40" s="47">
        <v>0</v>
      </c>
      <c r="BB40" s="47">
        <v>0</v>
      </c>
      <c r="BC40" s="47">
        <v>0</v>
      </c>
      <c r="BD40" s="47">
        <v>0</v>
      </c>
      <c r="BE40" s="47">
        <v>93.811916787946231</v>
      </c>
      <c r="BF40" s="47">
        <v>0</v>
      </c>
      <c r="BG40" s="47">
        <v>3120.8198732183459</v>
      </c>
      <c r="BH40" s="47">
        <v>7.574801728292238</v>
      </c>
      <c r="BI40" s="47">
        <v>42.490047413695457</v>
      </c>
      <c r="BJ40" s="47">
        <v>64.701068187786973</v>
      </c>
      <c r="BK40" s="47">
        <v>5.9197014541243096</v>
      </c>
      <c r="BL40" s="47">
        <v>11.562948942475799</v>
      </c>
      <c r="BM40" s="47">
        <v>0</v>
      </c>
      <c r="BN40" s="47">
        <v>0</v>
      </c>
      <c r="BO40" s="47">
        <v>0</v>
      </c>
      <c r="BP40" s="47">
        <v>1.8646272216796701E-4</v>
      </c>
      <c r="BQ40" s="47">
        <v>36.15219307437124</v>
      </c>
      <c r="BR40" s="47">
        <v>136.56699851124489</v>
      </c>
      <c r="BS40" s="47">
        <v>1.87870046268661E-2</v>
      </c>
      <c r="BT40" s="47">
        <v>0</v>
      </c>
      <c r="BU40" s="47">
        <v>0</v>
      </c>
      <c r="BV40" s="47">
        <v>5.9660988311816654</v>
      </c>
      <c r="BW40" s="47">
        <v>4.9028529011911563E-2</v>
      </c>
      <c r="BX40" s="47">
        <v>6.5789973852631318E-3</v>
      </c>
      <c r="BY40" s="47">
        <v>0.86395991030985231</v>
      </c>
      <c r="BZ40" s="47">
        <v>2.565982404692082E-3</v>
      </c>
      <c r="CA40" s="47">
        <v>0</v>
      </c>
      <c r="CB40" s="47">
        <v>122</v>
      </c>
      <c r="CC40" s="47">
        <v>52.653455536939852</v>
      </c>
      <c r="CD40" s="47">
        <v>0.68280044513512084</v>
      </c>
      <c r="CE40" s="47">
        <v>0.86984983185184339</v>
      </c>
      <c r="CF40" s="47">
        <v>3.43182286596483E-3</v>
      </c>
      <c r="CG40" s="47">
        <v>2.3772012205326929</v>
      </c>
      <c r="CH40" s="47">
        <v>12.9535395219026</v>
      </c>
      <c r="CI40" s="47">
        <v>1.914715762786947E-2</v>
      </c>
      <c r="CJ40" s="47">
        <v>8.0724440706779585</v>
      </c>
      <c r="CK40" s="47">
        <v>0</v>
      </c>
      <c r="CL40" s="47">
        <v>3.6472208058812372</v>
      </c>
      <c r="CM40" s="47">
        <v>1.8073896394221061E-2</v>
      </c>
      <c r="CN40" s="47">
        <v>0</v>
      </c>
      <c r="CO40" s="47">
        <v>3.4450624490864647E-2</v>
      </c>
      <c r="CP40" s="47">
        <v>2.2900282433322129E-2</v>
      </c>
      <c r="CQ40" s="47">
        <v>3.0073901472748412</v>
      </c>
      <c r="CR40" s="47">
        <v>53.996707742059769</v>
      </c>
      <c r="CS40" s="47">
        <v>64.43842997188338</v>
      </c>
      <c r="CT40" s="47">
        <v>24.64390139607988</v>
      </c>
      <c r="CU40" s="47">
        <v>0</v>
      </c>
      <c r="CV40" s="47">
        <v>13.345105617378559</v>
      </c>
      <c r="CW40" s="47">
        <v>8.9444753448943199</v>
      </c>
      <c r="CX40" s="47">
        <v>0.12382712539095821</v>
      </c>
      <c r="CY40" s="47">
        <v>0</v>
      </c>
      <c r="CZ40" s="47">
        <v>20.160923753665688</v>
      </c>
      <c r="DA40" s="47">
        <v>0</v>
      </c>
      <c r="DB40" s="47">
        <v>59.518872003711422</v>
      </c>
      <c r="DC40" s="47">
        <v>0</v>
      </c>
      <c r="DD40" s="48">
        <v>4966</v>
      </c>
      <c r="DE40" s="47">
        <v>315</v>
      </c>
      <c r="DF40" s="47">
        <v>0</v>
      </c>
      <c r="DG40" s="47">
        <v>315</v>
      </c>
      <c r="DH40" s="47">
        <v>0</v>
      </c>
      <c r="DI40" s="47">
        <v>63</v>
      </c>
      <c r="DJ40" s="47">
        <v>-6</v>
      </c>
      <c r="DK40" s="47">
        <v>0</v>
      </c>
      <c r="DL40" s="47">
        <v>1085</v>
      </c>
      <c r="DM40" s="47">
        <v>644</v>
      </c>
      <c r="DN40" s="47">
        <v>53</v>
      </c>
      <c r="DO40" s="48">
        <v>7120</v>
      </c>
      <c r="DP40" s="47"/>
      <c r="DQ40" s="47"/>
      <c r="DR40" s="47"/>
      <c r="DS40" s="47"/>
    </row>
    <row r="41" spans="1:123" x14ac:dyDescent="0.45">
      <c r="A41" s="6" t="s">
        <v>194</v>
      </c>
      <c r="B41" t="s">
        <v>195</v>
      </c>
      <c r="C41" s="47">
        <v>1.660057179747302E-4</v>
      </c>
      <c r="D41" s="47">
        <v>0</v>
      </c>
      <c r="E41" s="47">
        <v>0</v>
      </c>
      <c r="F41" s="47">
        <v>1.9672131147540981</v>
      </c>
      <c r="G41" s="47">
        <v>68.173147493519167</v>
      </c>
      <c r="H41" s="47">
        <v>0.40572568344479631</v>
      </c>
      <c r="I41" s="47">
        <v>2.2687448123213131E-3</v>
      </c>
      <c r="J41" s="47">
        <v>0.95584820725490771</v>
      </c>
      <c r="K41" s="47">
        <v>0.9416634942414247</v>
      </c>
      <c r="L41" s="47">
        <v>0</v>
      </c>
      <c r="M41" s="47">
        <v>2.1535533630490308E-3</v>
      </c>
      <c r="N41" s="47">
        <v>7.5123954524966205E-4</v>
      </c>
      <c r="O41" s="47">
        <v>0</v>
      </c>
      <c r="P41" s="47">
        <v>2.837143170908998E-2</v>
      </c>
      <c r="Q41" s="47">
        <v>7.8314914601821019E-3</v>
      </c>
      <c r="R41" s="47">
        <v>1.1519006360494819E-3</v>
      </c>
      <c r="S41" s="47">
        <v>6.0099163619972966E-4</v>
      </c>
      <c r="T41" s="47">
        <v>1.303872258201815</v>
      </c>
      <c r="U41" s="47">
        <v>0.42063185265691461</v>
      </c>
      <c r="V41" s="47">
        <v>0.1455957289183088</v>
      </c>
      <c r="W41" s="47">
        <v>1.039164490023935</v>
      </c>
      <c r="X41" s="47">
        <v>0.17155492038535741</v>
      </c>
      <c r="Y41" s="47">
        <v>1.912933377317998</v>
      </c>
      <c r="Z41" s="47">
        <v>0.99755962646015672</v>
      </c>
      <c r="AA41" s="47">
        <v>0.73067174877452978</v>
      </c>
      <c r="AB41" s="47">
        <v>5.6188695616252032E-2</v>
      </c>
      <c r="AC41" s="47">
        <v>4.0723935080584814</v>
      </c>
      <c r="AD41" s="47">
        <v>4.6042309774281558E-4</v>
      </c>
      <c r="AE41" s="47">
        <v>0.41867013046628748</v>
      </c>
      <c r="AF41" s="47">
        <v>0</v>
      </c>
      <c r="AG41" s="47">
        <v>3.1650377549333668</v>
      </c>
      <c r="AH41" s="47">
        <v>8.0752493083509727</v>
      </c>
      <c r="AI41" s="47">
        <v>80.869074897316011</v>
      </c>
      <c r="AJ41" s="47">
        <v>8.5020427734324038</v>
      </c>
      <c r="AK41" s="47">
        <v>8.5054986522511822</v>
      </c>
      <c r="AL41" s="47">
        <v>7.3503882252207733</v>
      </c>
      <c r="AM41" s="47">
        <v>21.118664818343621</v>
      </c>
      <c r="AN41" s="47">
        <v>25.47844768910792</v>
      </c>
      <c r="AO41" s="47">
        <v>51.404174552180613</v>
      </c>
      <c r="AP41" s="47">
        <v>39.439613173363171</v>
      </c>
      <c r="AQ41" s="47">
        <v>27.45324668961171</v>
      </c>
      <c r="AR41" s="47">
        <v>1441.2338164758539</v>
      </c>
      <c r="AS41" s="47">
        <v>68.090818588135392</v>
      </c>
      <c r="AT41" s="47">
        <v>1100.5476851373071</v>
      </c>
      <c r="AU41" s="47">
        <v>29.841864603784948</v>
      </c>
      <c r="AV41" s="47">
        <v>66.316130831967087</v>
      </c>
      <c r="AW41" s="47">
        <v>46.401538049514102</v>
      </c>
      <c r="AX41" s="47">
        <v>32.535869791324963</v>
      </c>
      <c r="AY41" s="47">
        <v>0.16697247059849421</v>
      </c>
      <c r="AZ41" s="47">
        <v>102.0106268297983</v>
      </c>
      <c r="BA41" s="47">
        <v>2.603065109166043E-4</v>
      </c>
      <c r="BB41" s="47">
        <v>0</v>
      </c>
      <c r="BC41" s="47">
        <v>0</v>
      </c>
      <c r="BD41" s="47">
        <v>0</v>
      </c>
      <c r="BE41" s="47">
        <v>298.74099034319312</v>
      </c>
      <c r="BF41" s="47">
        <v>0</v>
      </c>
      <c r="BG41" s="47">
        <v>859.42449014651709</v>
      </c>
      <c r="BH41" s="47">
        <v>8.7071925229502368E-5</v>
      </c>
      <c r="BI41" s="47">
        <v>27.652410987275651</v>
      </c>
      <c r="BJ41" s="47">
        <v>0.97097886860404825</v>
      </c>
      <c r="BK41" s="47">
        <v>0</v>
      </c>
      <c r="BL41" s="47">
        <v>20.407415554739391</v>
      </c>
      <c r="BM41" s="47">
        <v>0</v>
      </c>
      <c r="BN41" s="47">
        <v>0</v>
      </c>
      <c r="BO41" s="47">
        <v>0</v>
      </c>
      <c r="BP41" s="47">
        <v>1.3020644328121101E-4</v>
      </c>
      <c r="BQ41" s="47">
        <v>0.86615707702505551</v>
      </c>
      <c r="BR41" s="47">
        <v>29.722712903306888</v>
      </c>
      <c r="BS41" s="47">
        <v>0.23049903534962349</v>
      </c>
      <c r="BT41" s="47">
        <v>9.6017885379801937E-7</v>
      </c>
      <c r="BU41" s="47">
        <v>2.2882487400734379E-6</v>
      </c>
      <c r="BV41" s="47">
        <v>22.338664637850378</v>
      </c>
      <c r="BW41" s="47">
        <v>0.36593586911231563</v>
      </c>
      <c r="BX41" s="47">
        <v>4.5945535735145053E-3</v>
      </c>
      <c r="BY41" s="47">
        <v>3.4558396412394088</v>
      </c>
      <c r="BZ41" s="47">
        <v>1.1885053898270401E-3</v>
      </c>
      <c r="CA41" s="47">
        <v>0</v>
      </c>
      <c r="CB41" s="47">
        <v>0</v>
      </c>
      <c r="CC41" s="47">
        <v>39.253787359069541</v>
      </c>
      <c r="CD41" s="47">
        <v>2.9209570555918041</v>
      </c>
      <c r="CE41" s="47">
        <v>2.451548023045663</v>
      </c>
      <c r="CF41" s="47">
        <v>3.5484976610408517E-2</v>
      </c>
      <c r="CG41" s="47">
        <v>28.262561390098231</v>
      </c>
      <c r="CH41" s="47">
        <v>169.95071545518999</v>
      </c>
      <c r="CI41" s="47">
        <v>4.5692807149589204E-3</v>
      </c>
      <c r="CJ41" s="47">
        <v>9.396556610603632</v>
      </c>
      <c r="CK41" s="47">
        <v>0</v>
      </c>
      <c r="CL41" s="47">
        <v>4.2051493738846837</v>
      </c>
      <c r="CM41" s="47">
        <v>7.3608007627935833E-4</v>
      </c>
      <c r="CN41" s="47">
        <v>0</v>
      </c>
      <c r="CO41" s="47">
        <v>1.626805216003121E-3</v>
      </c>
      <c r="CP41" s="47">
        <v>1.3447010227332259E-3</v>
      </c>
      <c r="CQ41" s="47">
        <v>10.09697578185531</v>
      </c>
      <c r="CR41" s="47">
        <v>0</v>
      </c>
      <c r="CS41" s="47">
        <v>9.2389325064035055E-5</v>
      </c>
      <c r="CT41" s="47">
        <v>0</v>
      </c>
      <c r="CU41" s="47">
        <v>0</v>
      </c>
      <c r="CV41" s="47">
        <v>4.7661091490637704</v>
      </c>
      <c r="CW41" s="47">
        <v>13.337056823700831</v>
      </c>
      <c r="CX41" s="47">
        <v>0</v>
      </c>
      <c r="CY41" s="47">
        <v>0</v>
      </c>
      <c r="CZ41" s="47">
        <v>0</v>
      </c>
      <c r="DA41" s="47">
        <v>0.86635294117647066</v>
      </c>
      <c r="DB41" s="47">
        <v>2.6654228026920771E-3</v>
      </c>
      <c r="DC41" s="47">
        <v>0</v>
      </c>
      <c r="DD41" s="48">
        <v>4802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47">
        <v>598</v>
      </c>
      <c r="DK41" s="47">
        <v>0</v>
      </c>
      <c r="DL41" s="47">
        <v>1881</v>
      </c>
      <c r="DM41" s="47">
        <v>958</v>
      </c>
      <c r="DN41" s="47">
        <v>3</v>
      </c>
      <c r="DO41" s="48">
        <v>8242</v>
      </c>
      <c r="DP41" s="47"/>
      <c r="DQ41" s="47"/>
      <c r="DR41" s="47"/>
      <c r="DS41" s="47"/>
    </row>
    <row r="42" spans="1:123" x14ac:dyDescent="0.45">
      <c r="A42" s="6" t="s">
        <v>196</v>
      </c>
      <c r="B42" t="s">
        <v>197</v>
      </c>
      <c r="C42" s="47">
        <v>0</v>
      </c>
      <c r="D42" s="47">
        <v>0</v>
      </c>
      <c r="E42" s="47">
        <v>0</v>
      </c>
      <c r="F42" s="47">
        <v>0</v>
      </c>
      <c r="G42" s="47">
        <v>0.30766658306161693</v>
      </c>
      <c r="H42" s="47">
        <v>0</v>
      </c>
      <c r="I42" s="47">
        <v>0</v>
      </c>
      <c r="J42" s="47">
        <v>1.253175898176901E-5</v>
      </c>
      <c r="K42" s="47">
        <v>2.810413474694414</v>
      </c>
      <c r="L42" s="47">
        <v>3.049750556808901E-3</v>
      </c>
      <c r="M42" s="47">
        <v>5.2319889893156158E-5</v>
      </c>
      <c r="N42" s="47">
        <v>1.6273852212434221E-3</v>
      </c>
      <c r="O42" s="47">
        <v>0</v>
      </c>
      <c r="P42" s="47">
        <v>6.7116415313744654E-2</v>
      </c>
      <c r="Q42" s="47">
        <v>1.6048718424665849E-3</v>
      </c>
      <c r="R42" s="47">
        <v>0</v>
      </c>
      <c r="S42" s="47">
        <v>0</v>
      </c>
      <c r="T42" s="47">
        <v>2.0400287608111491</v>
      </c>
      <c r="U42" s="47">
        <v>0.64070714414577534</v>
      </c>
      <c r="V42" s="47">
        <v>9.4364173963972051E-2</v>
      </c>
      <c r="W42" s="47">
        <v>1.053808097379684</v>
      </c>
      <c r="X42" s="47">
        <v>0.34259117697305952</v>
      </c>
      <c r="Y42" s="47">
        <v>3.3607059344934762</v>
      </c>
      <c r="Z42" s="47">
        <v>0</v>
      </c>
      <c r="AA42" s="47">
        <v>1.3289721388922271</v>
      </c>
      <c r="AB42" s="47">
        <v>0.11299352579753021</v>
      </c>
      <c r="AC42" s="47">
        <v>5.2731039361446053</v>
      </c>
      <c r="AD42" s="47">
        <v>5.6148747397386772E-3</v>
      </c>
      <c r="AE42" s="47">
        <v>0.57819359319292596</v>
      </c>
      <c r="AF42" s="47">
        <v>0</v>
      </c>
      <c r="AG42" s="47">
        <v>5.821197274968557</v>
      </c>
      <c r="AH42" s="47">
        <v>7.5905384981864019</v>
      </c>
      <c r="AI42" s="47">
        <v>0.1089936790871817</v>
      </c>
      <c r="AJ42" s="47">
        <v>3.6174309025249221</v>
      </c>
      <c r="AK42" s="47">
        <v>107.7943716561112</v>
      </c>
      <c r="AL42" s="47">
        <v>8.9103261230166204</v>
      </c>
      <c r="AM42" s="47">
        <v>110.4006696486683</v>
      </c>
      <c r="AN42" s="47">
        <v>18.53542484424311</v>
      </c>
      <c r="AO42" s="47">
        <v>261.30147741431551</v>
      </c>
      <c r="AP42" s="47">
        <v>14.341069321071091</v>
      </c>
      <c r="AQ42" s="47">
        <v>125.6458440891812</v>
      </c>
      <c r="AR42" s="47">
        <v>626.37094260368849</v>
      </c>
      <c r="AS42" s="47">
        <v>7.6021565383737499</v>
      </c>
      <c r="AT42" s="47">
        <v>706.81458248836884</v>
      </c>
      <c r="AU42" s="47">
        <v>7.7011928580877118</v>
      </c>
      <c r="AV42" s="47">
        <v>50.131186749584373</v>
      </c>
      <c r="AW42" s="47">
        <v>85.276747183637042</v>
      </c>
      <c r="AX42" s="47">
        <v>7.8565185049666891E-2</v>
      </c>
      <c r="AY42" s="47">
        <v>14.21968795727831</v>
      </c>
      <c r="AZ42" s="47">
        <v>182.05788054348039</v>
      </c>
      <c r="BA42" s="47">
        <v>390.09000632105801</v>
      </c>
      <c r="BB42" s="47">
        <v>61.049146524963668</v>
      </c>
      <c r="BC42" s="47">
        <v>18.195803026502809</v>
      </c>
      <c r="BD42" s="47">
        <v>0</v>
      </c>
      <c r="BE42" s="47">
        <v>0</v>
      </c>
      <c r="BF42" s="47">
        <v>0</v>
      </c>
      <c r="BG42" s="47">
        <v>1420.965790566057</v>
      </c>
      <c r="BH42" s="47">
        <v>3.7031466091188713E-4</v>
      </c>
      <c r="BI42" s="47">
        <v>27.273489514730048</v>
      </c>
      <c r="BJ42" s="47">
        <v>1.303079614018485</v>
      </c>
      <c r="BK42" s="47">
        <v>0</v>
      </c>
      <c r="BL42" s="47">
        <v>11.905597568182779</v>
      </c>
      <c r="BM42" s="47">
        <v>0</v>
      </c>
      <c r="BN42" s="47">
        <v>0</v>
      </c>
      <c r="BO42" s="47">
        <v>0</v>
      </c>
      <c r="BP42" s="47">
        <v>2.3238103760915029E-4</v>
      </c>
      <c r="BQ42" s="47">
        <v>1.4329995626199259</v>
      </c>
      <c r="BR42" s="47">
        <v>39.592414665353729</v>
      </c>
      <c r="BS42" s="47">
        <v>0.47472487557095328</v>
      </c>
      <c r="BT42" s="47">
        <v>0</v>
      </c>
      <c r="BU42" s="47">
        <v>0</v>
      </c>
      <c r="BV42" s="47">
        <v>16.65409028058507</v>
      </c>
      <c r="BW42" s="47">
        <v>0.2173330338977158</v>
      </c>
      <c r="BX42" s="47">
        <v>0.95334002599364243</v>
      </c>
      <c r="BY42" s="47">
        <v>0.86395991030985231</v>
      </c>
      <c r="BZ42" s="47">
        <v>4.4991600784709896E-3</v>
      </c>
      <c r="CA42" s="47">
        <v>0</v>
      </c>
      <c r="CB42" s="47">
        <v>0</v>
      </c>
      <c r="CC42" s="47">
        <v>49.031497138090742</v>
      </c>
      <c r="CD42" s="47">
        <v>1.925588558174339</v>
      </c>
      <c r="CE42" s="47">
        <v>1.602519415098119</v>
      </c>
      <c r="CF42" s="47">
        <v>1.0918979877124769E-2</v>
      </c>
      <c r="CG42" s="47">
        <v>16.304113897149971</v>
      </c>
      <c r="CH42" s="47">
        <v>122.0906407210052</v>
      </c>
      <c r="CI42" s="47">
        <v>0</v>
      </c>
      <c r="CJ42" s="47">
        <v>7.8911648406105419</v>
      </c>
      <c r="CK42" s="47">
        <v>0</v>
      </c>
      <c r="CL42" s="47">
        <v>2.910554723389255</v>
      </c>
      <c r="CM42" s="47">
        <v>0</v>
      </c>
      <c r="CN42" s="47">
        <v>0</v>
      </c>
      <c r="CO42" s="47">
        <v>0</v>
      </c>
      <c r="CP42" s="47">
        <v>0</v>
      </c>
      <c r="CQ42" s="47">
        <v>7.1805062508342319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1.7327058823529411</v>
      </c>
      <c r="DB42" s="47">
        <v>0</v>
      </c>
      <c r="DC42" s="47">
        <v>0</v>
      </c>
      <c r="DD42" s="48">
        <v>4564</v>
      </c>
      <c r="DE42" s="47">
        <v>7</v>
      </c>
      <c r="DF42" s="47">
        <v>0</v>
      </c>
      <c r="DG42" s="47">
        <v>7</v>
      </c>
      <c r="DH42" s="47">
        <v>0</v>
      </c>
      <c r="DI42" s="47">
        <v>0</v>
      </c>
      <c r="DJ42" s="47">
        <v>-64</v>
      </c>
      <c r="DK42" s="47">
        <v>1483</v>
      </c>
      <c r="DL42" s="47">
        <v>0</v>
      </c>
      <c r="DM42" s="47">
        <v>0</v>
      </c>
      <c r="DN42" s="47">
        <v>25</v>
      </c>
      <c r="DO42" s="48">
        <v>6015</v>
      </c>
      <c r="DP42" s="47"/>
      <c r="DQ42" s="47"/>
      <c r="DR42" s="47"/>
      <c r="DS42" s="47"/>
    </row>
    <row r="43" spans="1:123" x14ac:dyDescent="0.45">
      <c r="A43" s="6" t="s">
        <v>198</v>
      </c>
      <c r="B43" t="s">
        <v>199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0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0</v>
      </c>
      <c r="BH43" s="47">
        <v>0</v>
      </c>
      <c r="BI43" s="47">
        <v>0</v>
      </c>
      <c r="BJ43" s="47">
        <v>0</v>
      </c>
      <c r="BK43" s="47">
        <v>0</v>
      </c>
      <c r="BL43" s="47">
        <v>0</v>
      </c>
      <c r="BM43" s="47">
        <v>0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16.09073556280682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20.66624443264006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1978.243020004553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8">
        <v>2015</v>
      </c>
      <c r="DE43" s="47">
        <v>0</v>
      </c>
      <c r="DF43" s="47">
        <v>0</v>
      </c>
      <c r="DG43" s="47">
        <v>0</v>
      </c>
      <c r="DH43" s="47">
        <v>0</v>
      </c>
      <c r="DI43" s="47">
        <v>404</v>
      </c>
      <c r="DJ43" s="47">
        <v>-122</v>
      </c>
      <c r="DK43" s="47">
        <v>0</v>
      </c>
      <c r="DL43" s="47">
        <v>156</v>
      </c>
      <c r="DM43" s="47">
        <v>455</v>
      </c>
      <c r="DN43" s="47">
        <v>0</v>
      </c>
      <c r="DO43" s="48">
        <v>2908</v>
      </c>
      <c r="DP43" s="47"/>
      <c r="DQ43" s="47"/>
      <c r="DR43" s="47"/>
      <c r="DS43" s="47"/>
    </row>
    <row r="44" spans="1:123" x14ac:dyDescent="0.45">
      <c r="A44" s="6" t="s">
        <v>200</v>
      </c>
      <c r="B44" t="s">
        <v>201</v>
      </c>
      <c r="C44" s="47">
        <v>29.213950228322268</v>
      </c>
      <c r="D44" s="47">
        <v>0</v>
      </c>
      <c r="E44" s="47">
        <v>4.7732478240952814</v>
      </c>
      <c r="F44" s="47">
        <v>0</v>
      </c>
      <c r="G44" s="47">
        <v>285.79888873083212</v>
      </c>
      <c r="H44" s="47">
        <v>1.00531239504335</v>
      </c>
      <c r="I44" s="47">
        <v>10.57165679363216</v>
      </c>
      <c r="J44" s="47">
        <v>14.00687737108842</v>
      </c>
      <c r="K44" s="47">
        <v>7.4914814775523197</v>
      </c>
      <c r="L44" s="47">
        <v>0.58971927006890879</v>
      </c>
      <c r="M44" s="47">
        <v>9.3160048176541146</v>
      </c>
      <c r="N44" s="47">
        <v>1.2193535246369871</v>
      </c>
      <c r="O44" s="47">
        <v>31.367526747530501</v>
      </c>
      <c r="P44" s="47">
        <v>104.05571346286131</v>
      </c>
      <c r="Q44" s="47">
        <v>0.52426479116527247</v>
      </c>
      <c r="R44" s="47">
        <v>2.6007731024549532</v>
      </c>
      <c r="S44" s="47">
        <v>85.245812673704322</v>
      </c>
      <c r="T44" s="47">
        <v>8.6848121116129899</v>
      </c>
      <c r="U44" s="47">
        <v>1.3039298509256181</v>
      </c>
      <c r="V44" s="47">
        <v>4.6503511904481396</v>
      </c>
      <c r="W44" s="47">
        <v>68.125979633421608</v>
      </c>
      <c r="X44" s="47">
        <v>102.25883617439951</v>
      </c>
      <c r="Y44" s="47">
        <v>186.65493075863441</v>
      </c>
      <c r="Z44" s="47">
        <v>5.7342004095857421E-2</v>
      </c>
      <c r="AA44" s="47">
        <v>6.8220241113786448</v>
      </c>
      <c r="AB44" s="47">
        <v>105.90087074038409</v>
      </c>
      <c r="AC44" s="47">
        <v>46.440454443227168</v>
      </c>
      <c r="AD44" s="47">
        <v>1.2168525811138671</v>
      </c>
      <c r="AE44" s="47">
        <v>4.6022394766969059</v>
      </c>
      <c r="AF44" s="47">
        <v>1.1392978926907389</v>
      </c>
      <c r="AG44" s="47">
        <v>210.87351021192069</v>
      </c>
      <c r="AH44" s="47">
        <v>23.320929534433429</v>
      </c>
      <c r="AI44" s="47">
        <v>18.715423085029599</v>
      </c>
      <c r="AJ44" s="47">
        <v>114.2023463682952</v>
      </c>
      <c r="AK44" s="47">
        <v>387.42224821526571</v>
      </c>
      <c r="AL44" s="47">
        <v>24.30440303852512</v>
      </c>
      <c r="AM44" s="47">
        <v>253.40794975767469</v>
      </c>
      <c r="AN44" s="47">
        <v>1226.138628698304</v>
      </c>
      <c r="AO44" s="47">
        <v>427.85563055956482</v>
      </c>
      <c r="AP44" s="47">
        <v>239.74831897060531</v>
      </c>
      <c r="AQ44" s="47">
        <v>1591.579514568291</v>
      </c>
      <c r="AR44" s="47">
        <v>1556.4629960871321</v>
      </c>
      <c r="AS44" s="47">
        <v>13.211931815402441</v>
      </c>
      <c r="AT44" s="47">
        <v>1016.31242992131</v>
      </c>
      <c r="AU44" s="47">
        <v>4.7247733168213601</v>
      </c>
      <c r="AV44" s="47">
        <v>95.328801582319713</v>
      </c>
      <c r="AW44" s="47">
        <v>181.4926721241786</v>
      </c>
      <c r="AX44" s="47">
        <v>2.7896589839438222</v>
      </c>
      <c r="AY44" s="47">
        <v>0.82697803442258921</v>
      </c>
      <c r="AZ44" s="47">
        <v>645.13393895559432</v>
      </c>
      <c r="BA44" s="47">
        <v>228.39529895037879</v>
      </c>
      <c r="BB44" s="47">
        <v>40.658951908088717</v>
      </c>
      <c r="BC44" s="47">
        <v>1.8195803026502799</v>
      </c>
      <c r="BD44" s="47">
        <v>0</v>
      </c>
      <c r="BE44" s="47">
        <v>599.30744477038036</v>
      </c>
      <c r="BF44" s="47">
        <v>0</v>
      </c>
      <c r="BG44" s="47">
        <v>5847.0296146285109</v>
      </c>
      <c r="BH44" s="47">
        <v>72.383193696027391</v>
      </c>
      <c r="BI44" s="47">
        <v>181.5137410374312</v>
      </c>
      <c r="BJ44" s="47">
        <v>73.690041010224022</v>
      </c>
      <c r="BK44" s="47">
        <v>0</v>
      </c>
      <c r="BL44" s="47">
        <v>49.204006475093863</v>
      </c>
      <c r="BM44" s="47">
        <v>3.2065964269354097E-2</v>
      </c>
      <c r="BN44" s="47">
        <v>0</v>
      </c>
      <c r="BO44" s="47">
        <v>0.84648540476053036</v>
      </c>
      <c r="BP44" s="47">
        <v>0.11914365645229159</v>
      </c>
      <c r="BQ44" s="47">
        <v>7.7276279049943666</v>
      </c>
      <c r="BR44" s="47">
        <v>175.2218694092933</v>
      </c>
      <c r="BS44" s="47">
        <v>2.2138194104359501</v>
      </c>
      <c r="BT44" s="47">
        <v>1.228884076119322E-4</v>
      </c>
      <c r="BU44" s="47">
        <v>0.66085145890617991</v>
      </c>
      <c r="BV44" s="47">
        <v>63.713619441191952</v>
      </c>
      <c r="BW44" s="47">
        <v>1.7422189724878361</v>
      </c>
      <c r="BX44" s="47">
        <v>1.30440699078166</v>
      </c>
      <c r="BY44" s="47">
        <v>6.9116792824788176</v>
      </c>
      <c r="BZ44" s="47">
        <v>36.854907907017022</v>
      </c>
      <c r="CA44" s="47">
        <v>0</v>
      </c>
      <c r="CB44" s="47">
        <v>147</v>
      </c>
      <c r="CC44" s="47">
        <v>112.3213601497304</v>
      </c>
      <c r="CD44" s="47">
        <v>6.8112556733510576</v>
      </c>
      <c r="CE44" s="47">
        <v>5.6683889986043381</v>
      </c>
      <c r="CF44" s="47">
        <v>1.2871755641523639</v>
      </c>
      <c r="CG44" s="47">
        <v>71.75886745878816</v>
      </c>
      <c r="CH44" s="47">
        <v>302.36340663496361</v>
      </c>
      <c r="CI44" s="47">
        <v>7.2904597496279768</v>
      </c>
      <c r="CJ44" s="47">
        <v>30.42846132095891</v>
      </c>
      <c r="CK44" s="47">
        <v>0</v>
      </c>
      <c r="CL44" s="47">
        <v>11.266481047611061</v>
      </c>
      <c r="CM44" s="47">
        <v>0.74799681714918731</v>
      </c>
      <c r="CN44" s="47">
        <v>0</v>
      </c>
      <c r="CO44" s="47">
        <v>0.98885160907424352</v>
      </c>
      <c r="CP44" s="47">
        <v>69.01871248604462</v>
      </c>
      <c r="CQ44" s="47">
        <v>374.16280144301493</v>
      </c>
      <c r="CR44" s="47">
        <v>23.562199741989719</v>
      </c>
      <c r="CS44" s="47">
        <v>44.383067212708852</v>
      </c>
      <c r="CT44" s="47">
        <v>71.960192076553241</v>
      </c>
      <c r="CU44" s="47">
        <v>9.725321394300888</v>
      </c>
      <c r="CV44" s="47">
        <v>0</v>
      </c>
      <c r="CW44" s="47">
        <v>0.41491018778356059</v>
      </c>
      <c r="CX44" s="47">
        <v>0.13861245379584869</v>
      </c>
      <c r="CY44" s="47">
        <v>0.1062454973453256</v>
      </c>
      <c r="CZ44" s="47">
        <v>0</v>
      </c>
      <c r="DA44" s="47">
        <v>1.7327058823529411</v>
      </c>
      <c r="DB44" s="47">
        <v>2.024712113005641E-2</v>
      </c>
      <c r="DC44" s="47">
        <v>0</v>
      </c>
      <c r="DD44" s="48">
        <v>17844</v>
      </c>
      <c r="DE44" s="47">
        <v>2675</v>
      </c>
      <c r="DF44" s="47">
        <v>0</v>
      </c>
      <c r="DG44" s="47">
        <v>2675</v>
      </c>
      <c r="DH44" s="47">
        <v>0</v>
      </c>
      <c r="DI44" s="47">
        <v>4175</v>
      </c>
      <c r="DJ44" s="47">
        <v>734</v>
      </c>
      <c r="DK44" s="47">
        <v>0</v>
      </c>
      <c r="DL44" s="47">
        <v>2952</v>
      </c>
      <c r="DM44" s="47">
        <v>2460</v>
      </c>
      <c r="DN44" s="47">
        <v>129</v>
      </c>
      <c r="DO44" s="48">
        <v>30969</v>
      </c>
      <c r="DP44" s="47"/>
      <c r="DQ44" s="47"/>
      <c r="DR44" s="47"/>
      <c r="DS44" s="47"/>
    </row>
    <row r="45" spans="1:123" x14ac:dyDescent="0.45">
      <c r="A45" s="6" t="s">
        <v>202</v>
      </c>
      <c r="B45" t="s">
        <v>203</v>
      </c>
      <c r="C45" s="47">
        <v>3.766741828586746</v>
      </c>
      <c r="D45" s="47">
        <v>0.7734864300626304</v>
      </c>
      <c r="E45" s="47">
        <v>0</v>
      </c>
      <c r="F45" s="47">
        <v>0</v>
      </c>
      <c r="G45" s="47">
        <v>12.20972731506108</v>
      </c>
      <c r="H45" s="47">
        <v>0.71743025412579753</v>
      </c>
      <c r="I45" s="47">
        <v>9.5871817062658966</v>
      </c>
      <c r="J45" s="47">
        <v>4.0080801262246171</v>
      </c>
      <c r="K45" s="47">
        <v>5.6939143894154212</v>
      </c>
      <c r="L45" s="47">
        <v>0.39590028244930331</v>
      </c>
      <c r="M45" s="47">
        <v>2.9484966129863408</v>
      </c>
      <c r="N45" s="47">
        <v>1.7666183074377531</v>
      </c>
      <c r="O45" s="47">
        <v>3.2253339499892703E-2</v>
      </c>
      <c r="P45" s="47">
        <v>1.220501030157199</v>
      </c>
      <c r="Q45" s="47">
        <v>6.2649366827825421</v>
      </c>
      <c r="R45" s="47">
        <v>0.87031598923421793</v>
      </c>
      <c r="S45" s="47">
        <v>9.0280592285916991E-3</v>
      </c>
      <c r="T45" s="47">
        <v>4.2233421340680044</v>
      </c>
      <c r="U45" s="47">
        <v>4.0559305601850024</v>
      </c>
      <c r="V45" s="47">
        <v>4.5617214049584494</v>
      </c>
      <c r="W45" s="47">
        <v>3.3984427070470069</v>
      </c>
      <c r="X45" s="47">
        <v>20.268866223166221</v>
      </c>
      <c r="Y45" s="47">
        <v>42.403663204902593</v>
      </c>
      <c r="Z45" s="47">
        <v>2.01354011350936</v>
      </c>
      <c r="AA45" s="47">
        <v>5.3058708606098186</v>
      </c>
      <c r="AB45" s="47">
        <v>0.98887377848144664</v>
      </c>
      <c r="AC45" s="47">
        <v>19.21479312639984</v>
      </c>
      <c r="AD45" s="47">
        <v>4.588077826763298</v>
      </c>
      <c r="AE45" s="47">
        <v>2.8043111435407271</v>
      </c>
      <c r="AF45" s="47">
        <v>0.51908105119166859</v>
      </c>
      <c r="AG45" s="47">
        <v>58.807620566557489</v>
      </c>
      <c r="AH45" s="47">
        <v>10.77355155824972</v>
      </c>
      <c r="AI45" s="47">
        <v>3.6953155263533062</v>
      </c>
      <c r="AJ45" s="47">
        <v>16.560953516803131</v>
      </c>
      <c r="AK45" s="47">
        <v>0.72396530802267622</v>
      </c>
      <c r="AL45" s="47">
        <v>0.94774680604075778</v>
      </c>
      <c r="AM45" s="47">
        <v>30.594258678946868</v>
      </c>
      <c r="AN45" s="47">
        <v>4.0896153368158066</v>
      </c>
      <c r="AO45" s="47">
        <v>969.27802263739204</v>
      </c>
      <c r="AP45" s="47">
        <v>94.810021605263643</v>
      </c>
      <c r="AQ45" s="47">
        <v>151.6006992987345</v>
      </c>
      <c r="AR45" s="47">
        <v>87.093641887742706</v>
      </c>
      <c r="AS45" s="47">
        <v>7.1396064324999591</v>
      </c>
      <c r="AT45" s="47">
        <v>56.576062428017863</v>
      </c>
      <c r="AU45" s="47">
        <v>2.1137332406542519</v>
      </c>
      <c r="AV45" s="47">
        <v>10.173538086964619</v>
      </c>
      <c r="AW45" s="47">
        <v>85.39015706094068</v>
      </c>
      <c r="AX45" s="47">
        <v>0.1188496577147535</v>
      </c>
      <c r="AY45" s="47">
        <v>0.61730457544557193</v>
      </c>
      <c r="AZ45" s="47">
        <v>248.10884598266529</v>
      </c>
      <c r="BA45" s="47">
        <v>252.1036628108123</v>
      </c>
      <c r="BB45" s="47">
        <v>39.452242708607187</v>
      </c>
      <c r="BC45" s="47">
        <v>3.6391606053005612</v>
      </c>
      <c r="BD45" s="47">
        <v>1.933452879059574</v>
      </c>
      <c r="BE45" s="47">
        <v>8.5990961910910255E-2</v>
      </c>
      <c r="BF45" s="47">
        <v>0</v>
      </c>
      <c r="BG45" s="47">
        <v>225.23574262688169</v>
      </c>
      <c r="BH45" s="47">
        <v>2.4167492491738152</v>
      </c>
      <c r="BI45" s="47">
        <v>654.39873790936429</v>
      </c>
      <c r="BJ45" s="47">
        <v>213.20551813698751</v>
      </c>
      <c r="BK45" s="47">
        <v>16.772487453352209</v>
      </c>
      <c r="BL45" s="47">
        <v>62.619761168368278</v>
      </c>
      <c r="BM45" s="47">
        <v>34.969546464514437</v>
      </c>
      <c r="BN45" s="47">
        <v>0</v>
      </c>
      <c r="BO45" s="47">
        <v>102.4247339760242</v>
      </c>
      <c r="BP45" s="47">
        <v>23.937828537363242</v>
      </c>
      <c r="BQ45" s="47">
        <v>52.64007883608361</v>
      </c>
      <c r="BR45" s="47">
        <v>137.46337342820999</v>
      </c>
      <c r="BS45" s="47">
        <v>60.634088735689573</v>
      </c>
      <c r="BT45" s="47">
        <v>364.40133996679663</v>
      </c>
      <c r="BU45" s="47">
        <v>373.604669247</v>
      </c>
      <c r="BV45" s="47">
        <v>309.41983703415082</v>
      </c>
      <c r="BW45" s="47">
        <v>72.40370532742098</v>
      </c>
      <c r="BX45" s="47">
        <v>58.768005008091713</v>
      </c>
      <c r="BY45" s="47">
        <v>0</v>
      </c>
      <c r="BZ45" s="47">
        <v>39.887606586215597</v>
      </c>
      <c r="CA45" s="47">
        <v>0</v>
      </c>
      <c r="CB45" s="47">
        <v>4</v>
      </c>
      <c r="CC45" s="47">
        <v>110.0088944911995</v>
      </c>
      <c r="CD45" s="47">
        <v>17.014225571463069</v>
      </c>
      <c r="CE45" s="47">
        <v>10.9393488731942</v>
      </c>
      <c r="CF45" s="47">
        <v>32.412404295799597</v>
      </c>
      <c r="CG45" s="47">
        <v>553.65929788228391</v>
      </c>
      <c r="CH45" s="47">
        <v>147.95691358393049</v>
      </c>
      <c r="CI45" s="47">
        <v>138.28691633560831</v>
      </c>
      <c r="CJ45" s="47">
        <v>35.114497870873763</v>
      </c>
      <c r="CK45" s="47">
        <v>4.8500975696292352</v>
      </c>
      <c r="CL45" s="47">
        <v>7.9649495734645166</v>
      </c>
      <c r="CM45" s="47">
        <v>1.805628000555364</v>
      </c>
      <c r="CN45" s="47">
        <v>108.4069646369211</v>
      </c>
      <c r="CO45" s="47">
        <v>2.9793307131186251</v>
      </c>
      <c r="CP45" s="47">
        <v>124.98588320204919</v>
      </c>
      <c r="CQ45" s="47">
        <v>94.475070131964216</v>
      </c>
      <c r="CR45" s="47">
        <v>1936.027412133488</v>
      </c>
      <c r="CS45" s="47">
        <v>398.05092816525149</v>
      </c>
      <c r="CT45" s="47">
        <v>729.54602680158257</v>
      </c>
      <c r="CU45" s="47">
        <v>56.339407375659398</v>
      </c>
      <c r="CV45" s="47">
        <v>148.733732802258</v>
      </c>
      <c r="CW45" s="47">
        <v>28.589942224127899</v>
      </c>
      <c r="CX45" s="47">
        <v>0.75544985829450673</v>
      </c>
      <c r="CY45" s="47">
        <v>18.759229526668499</v>
      </c>
      <c r="CZ45" s="47">
        <v>152.6469941348974</v>
      </c>
      <c r="DA45" s="47">
        <v>8.4499568879750631E-2</v>
      </c>
      <c r="DB45" s="47">
        <v>47.362998339291671</v>
      </c>
      <c r="DC45" s="47">
        <v>0</v>
      </c>
      <c r="DD45" s="48">
        <v>10018</v>
      </c>
      <c r="DE45" s="47">
        <v>1476</v>
      </c>
      <c r="DF45" s="47">
        <v>0</v>
      </c>
      <c r="DG45" s="47">
        <v>1476</v>
      </c>
      <c r="DH45" s="47">
        <v>0</v>
      </c>
      <c r="DI45" s="47">
        <v>4003</v>
      </c>
      <c r="DJ45" s="47">
        <v>548</v>
      </c>
      <c r="DK45" s="47">
        <v>221</v>
      </c>
      <c r="DL45" s="47">
        <v>3824</v>
      </c>
      <c r="DM45" s="47">
        <v>4563</v>
      </c>
      <c r="DN45" s="47">
        <v>55</v>
      </c>
      <c r="DO45" s="48">
        <v>24708</v>
      </c>
      <c r="DP45" s="47"/>
      <c r="DQ45" s="47"/>
      <c r="DR45" s="47"/>
      <c r="DS45" s="47"/>
    </row>
    <row r="46" spans="1:123" x14ac:dyDescent="0.45">
      <c r="A46" s="6" t="s">
        <v>204</v>
      </c>
      <c r="B46" t="s">
        <v>205</v>
      </c>
      <c r="C46" s="47">
        <v>0</v>
      </c>
      <c r="D46" s="47">
        <v>0</v>
      </c>
      <c r="E46" s="47">
        <v>0</v>
      </c>
      <c r="F46" s="47">
        <v>0</v>
      </c>
      <c r="G46" s="47">
        <v>1.9677430689764219E-3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3.7647869556956398E-2</v>
      </c>
      <c r="Q46" s="47">
        <v>0</v>
      </c>
      <c r="R46" s="47">
        <v>0</v>
      </c>
      <c r="S46" s="47">
        <v>0</v>
      </c>
      <c r="T46" s="47">
        <v>1.164581433500651</v>
      </c>
      <c r="U46" s="47">
        <v>0.26479316812853387</v>
      </c>
      <c r="V46" s="47">
        <v>0.17464830666821099</v>
      </c>
      <c r="W46" s="47">
        <v>0.29006740242835483</v>
      </c>
      <c r="X46" s="47">
        <v>0.1527113587744813</v>
      </c>
      <c r="Y46" s="47">
        <v>0.71696916913460673</v>
      </c>
      <c r="Z46" s="47">
        <v>0</v>
      </c>
      <c r="AA46" s="47">
        <v>9.6410150909949685E-2</v>
      </c>
      <c r="AB46" s="47">
        <v>6.9519796593353E-2</v>
      </c>
      <c r="AC46" s="47">
        <v>4.8751164420128053</v>
      </c>
      <c r="AD46" s="47">
        <v>1.027132276774123E-4</v>
      </c>
      <c r="AE46" s="47">
        <v>0.35571690588116261</v>
      </c>
      <c r="AF46" s="47">
        <v>0</v>
      </c>
      <c r="AG46" s="47">
        <v>4.1714364108700543</v>
      </c>
      <c r="AH46" s="47">
        <v>8.655276217248959</v>
      </c>
      <c r="AI46" s="47">
        <v>3.7518807440565141E-2</v>
      </c>
      <c r="AJ46" s="47">
        <v>5.1038895348222431</v>
      </c>
      <c r="AK46" s="47">
        <v>2.2983840868143641</v>
      </c>
      <c r="AL46" s="47">
        <v>7.2326693647727378</v>
      </c>
      <c r="AM46" s="47">
        <v>70.671242835696916</v>
      </c>
      <c r="AN46" s="47">
        <v>10.195888169117451</v>
      </c>
      <c r="AO46" s="47">
        <v>14.282354963367091</v>
      </c>
      <c r="AP46" s="47">
        <v>5.4975016318267</v>
      </c>
      <c r="AQ46" s="47">
        <v>16.312704269431521</v>
      </c>
      <c r="AR46" s="47">
        <v>86.787127279000458</v>
      </c>
      <c r="AS46" s="47">
        <v>0.48595167547829038</v>
      </c>
      <c r="AT46" s="47">
        <v>1132.9562264797589</v>
      </c>
      <c r="AU46" s="47">
        <v>0.67476506348199417</v>
      </c>
      <c r="AV46" s="47">
        <v>1.6394800741891951</v>
      </c>
      <c r="AW46" s="47">
        <v>60.530972360286903</v>
      </c>
      <c r="AX46" s="47">
        <v>5.7417266938093747E-4</v>
      </c>
      <c r="AY46" s="47">
        <v>7.9675325381909967E-2</v>
      </c>
      <c r="AZ46" s="47">
        <v>47.595511749831367</v>
      </c>
      <c r="BA46" s="47">
        <v>214.8464482931727</v>
      </c>
      <c r="BB46" s="47">
        <v>41.487872761558201</v>
      </c>
      <c r="BC46" s="47">
        <v>0</v>
      </c>
      <c r="BD46" s="47">
        <v>0</v>
      </c>
      <c r="BE46" s="47">
        <v>5.4647718517250228</v>
      </c>
      <c r="BF46" s="47">
        <v>0</v>
      </c>
      <c r="BG46" s="47">
        <v>4233.8369562042872</v>
      </c>
      <c r="BH46" s="47">
        <v>2.0156889342115711</v>
      </c>
      <c r="BI46" s="47">
        <v>33.730509774718698</v>
      </c>
      <c r="BJ46" s="47">
        <v>119.6603071056297</v>
      </c>
      <c r="BK46" s="47">
        <v>0</v>
      </c>
      <c r="BL46" s="47">
        <v>23.88113166161666</v>
      </c>
      <c r="BM46" s="47">
        <v>0</v>
      </c>
      <c r="BN46" s="47">
        <v>0</v>
      </c>
      <c r="BO46" s="47">
        <v>0.84648540476053036</v>
      </c>
      <c r="BP46" s="47">
        <v>9.4971248194167579E-2</v>
      </c>
      <c r="BQ46" s="47">
        <v>5.6527625460774553</v>
      </c>
      <c r="BR46" s="47">
        <v>63.876525700419222</v>
      </c>
      <c r="BS46" s="47">
        <v>0.44635482683500399</v>
      </c>
      <c r="BT46" s="47">
        <v>7.1372308207054997</v>
      </c>
      <c r="BU46" s="47">
        <v>6.7019380852356586E-5</v>
      </c>
      <c r="BV46" s="47">
        <v>20.04771656089272</v>
      </c>
      <c r="BW46" s="47">
        <v>0.17540896218956489</v>
      </c>
      <c r="BX46" s="47">
        <v>51.154492271193497</v>
      </c>
      <c r="BY46" s="47">
        <v>6.0477193721689666</v>
      </c>
      <c r="BZ46" s="47">
        <v>24.77578526417253</v>
      </c>
      <c r="CA46" s="47">
        <v>0</v>
      </c>
      <c r="CB46" s="47">
        <v>14</v>
      </c>
      <c r="CC46" s="47">
        <v>56.803105295110598</v>
      </c>
      <c r="CD46" s="47">
        <v>1.775758696410517</v>
      </c>
      <c r="CE46" s="47">
        <v>1.081818877815383</v>
      </c>
      <c r="CF46" s="47">
        <v>0.73204681506374913</v>
      </c>
      <c r="CG46" s="47">
        <v>19.249692432716341</v>
      </c>
      <c r="CH46" s="47">
        <v>103.43643249065219</v>
      </c>
      <c r="CI46" s="47">
        <v>2.9889859925132591</v>
      </c>
      <c r="CJ46" s="47">
        <v>14.52875710275848</v>
      </c>
      <c r="CK46" s="47">
        <v>0</v>
      </c>
      <c r="CL46" s="47">
        <v>111.0147338469441</v>
      </c>
      <c r="CM46" s="47">
        <v>0.110042088420626</v>
      </c>
      <c r="CN46" s="47">
        <v>0</v>
      </c>
      <c r="CO46" s="47">
        <v>27.967962449549869</v>
      </c>
      <c r="CP46" s="47">
        <v>2.3046102777654381E-2</v>
      </c>
      <c r="CQ46" s="47">
        <v>8.9662298020833084</v>
      </c>
      <c r="CR46" s="47">
        <v>416.26552877515161</v>
      </c>
      <c r="CS46" s="47">
        <v>46.784065372933718</v>
      </c>
      <c r="CT46" s="47">
        <v>20.700877172707099</v>
      </c>
      <c r="CU46" s="47">
        <v>41.765396636592563</v>
      </c>
      <c r="CV46" s="47">
        <v>3.5187440790364059E-2</v>
      </c>
      <c r="CW46" s="47">
        <v>7.4392081289198222</v>
      </c>
      <c r="CX46" s="47">
        <v>0.62931408861512761</v>
      </c>
      <c r="CY46" s="47">
        <v>20.91024904834212</v>
      </c>
      <c r="CZ46" s="47">
        <v>0</v>
      </c>
      <c r="DA46" s="47">
        <v>31.188705882352949</v>
      </c>
      <c r="DB46" s="47">
        <v>1.424594549674392E-2</v>
      </c>
      <c r="DC46" s="47">
        <v>0</v>
      </c>
      <c r="DD46" s="48">
        <v>7287</v>
      </c>
      <c r="DE46" s="47">
        <v>1519</v>
      </c>
      <c r="DF46" s="47">
        <v>0</v>
      </c>
      <c r="DG46" s="47">
        <v>1519</v>
      </c>
      <c r="DH46" s="47">
        <v>0</v>
      </c>
      <c r="DI46" s="47">
        <v>685</v>
      </c>
      <c r="DJ46" s="47">
        <v>-55</v>
      </c>
      <c r="DK46" s="47">
        <v>0</v>
      </c>
      <c r="DL46" s="47">
        <v>1725</v>
      </c>
      <c r="DM46" s="47">
        <v>1405</v>
      </c>
      <c r="DN46" s="47">
        <v>67</v>
      </c>
      <c r="DO46" s="48">
        <v>12633</v>
      </c>
      <c r="DP46" s="47"/>
      <c r="DQ46" s="47"/>
      <c r="DR46" s="47"/>
      <c r="DS46" s="47"/>
    </row>
    <row r="47" spans="1:123" x14ac:dyDescent="0.45">
      <c r="A47" s="6" t="s">
        <v>206</v>
      </c>
      <c r="B47" t="s">
        <v>207</v>
      </c>
      <c r="C47" s="47">
        <v>1.660057179747302E-4</v>
      </c>
      <c r="D47" s="47">
        <v>17.7901878914405</v>
      </c>
      <c r="E47" s="47">
        <v>0</v>
      </c>
      <c r="F47" s="47">
        <v>42.295081967213108</v>
      </c>
      <c r="G47" s="47">
        <v>1419.211999313746</v>
      </c>
      <c r="H47" s="47">
        <v>50.184502650238819</v>
      </c>
      <c r="I47" s="47">
        <v>38.76801751885985</v>
      </c>
      <c r="J47" s="47">
        <v>6.1522952560179673</v>
      </c>
      <c r="K47" s="47">
        <v>3.65556595292</v>
      </c>
      <c r="L47" s="47">
        <v>3.936434862379683</v>
      </c>
      <c r="M47" s="47">
        <v>0.1375727008608271</v>
      </c>
      <c r="N47" s="47">
        <v>13.26891161390814</v>
      </c>
      <c r="O47" s="47">
        <v>50.714233769081538</v>
      </c>
      <c r="P47" s="47">
        <v>36.394996378938281</v>
      </c>
      <c r="Q47" s="47">
        <v>0.4482726482339745</v>
      </c>
      <c r="R47" s="47">
        <v>42.395204746257811</v>
      </c>
      <c r="S47" s="47">
        <v>184.61676291652509</v>
      </c>
      <c r="T47" s="47">
        <v>50.132038678538869</v>
      </c>
      <c r="U47" s="47">
        <v>7.3786937415897178</v>
      </c>
      <c r="V47" s="47">
        <v>0.32102097718770167</v>
      </c>
      <c r="W47" s="47">
        <v>46.20246341285263</v>
      </c>
      <c r="X47" s="47">
        <v>57.55863571709672</v>
      </c>
      <c r="Y47" s="47">
        <v>81.817346192193526</v>
      </c>
      <c r="Z47" s="47">
        <v>9.0500822989271565</v>
      </c>
      <c r="AA47" s="47">
        <v>3.140932570454638</v>
      </c>
      <c r="AB47" s="47">
        <v>3.8355479967456452</v>
      </c>
      <c r="AC47" s="47">
        <v>6.2235975381368407</v>
      </c>
      <c r="AD47" s="47">
        <v>13.250817278640779</v>
      </c>
      <c r="AE47" s="47">
        <v>9.4695252220487713</v>
      </c>
      <c r="AF47" s="47">
        <v>14.632025697782449</v>
      </c>
      <c r="AG47" s="47">
        <v>191.45810503771699</v>
      </c>
      <c r="AH47" s="47">
        <v>6.8424524690413451</v>
      </c>
      <c r="AI47" s="47">
        <v>55.743933132482617</v>
      </c>
      <c r="AJ47" s="47">
        <v>47.030437527567763</v>
      </c>
      <c r="AK47" s="47">
        <v>22.338723687370891</v>
      </c>
      <c r="AL47" s="47">
        <v>2.0124750037935439</v>
      </c>
      <c r="AM47" s="47">
        <v>129.92990606844091</v>
      </c>
      <c r="AN47" s="47">
        <v>57.403929924294808</v>
      </c>
      <c r="AO47" s="47">
        <v>27.051092184022831</v>
      </c>
      <c r="AP47" s="47">
        <v>325.10433505991182</v>
      </c>
      <c r="AQ47" s="47">
        <v>651.90784212189226</v>
      </c>
      <c r="AR47" s="47">
        <v>44.382801616034563</v>
      </c>
      <c r="AS47" s="47">
        <v>46.526595578763043</v>
      </c>
      <c r="AT47" s="47">
        <v>0.84321916271477082</v>
      </c>
      <c r="AU47" s="47">
        <v>0.20983563526243759</v>
      </c>
      <c r="AV47" s="47">
        <v>15.17569805922966</v>
      </c>
      <c r="AW47" s="47">
        <v>75.179446491581189</v>
      </c>
      <c r="AX47" s="47">
        <v>0.56629280520637404</v>
      </c>
      <c r="AY47" s="47">
        <v>1.884219146427438</v>
      </c>
      <c r="AZ47" s="47">
        <v>215.75859446303139</v>
      </c>
      <c r="BA47" s="47">
        <v>810.2436645245308</v>
      </c>
      <c r="BB47" s="47">
        <v>309.66945643446002</v>
      </c>
      <c r="BC47" s="47">
        <v>90.979015132514007</v>
      </c>
      <c r="BD47" s="47">
        <v>0</v>
      </c>
      <c r="BE47" s="47">
        <v>217.68020787593849</v>
      </c>
      <c r="BF47" s="47">
        <v>0</v>
      </c>
      <c r="BG47" s="47">
        <v>1432.166701947315</v>
      </c>
      <c r="BH47" s="47">
        <v>1.0758321459744871</v>
      </c>
      <c r="BI47" s="47">
        <v>295.60280388536802</v>
      </c>
      <c r="BJ47" s="47">
        <v>62.145144082923068</v>
      </c>
      <c r="BK47" s="47">
        <v>31.571741088662989</v>
      </c>
      <c r="BL47" s="47">
        <v>35.656879656763728</v>
      </c>
      <c r="BM47" s="47">
        <v>0</v>
      </c>
      <c r="BN47" s="47">
        <v>0</v>
      </c>
      <c r="BO47" s="47">
        <v>0.84648540476053036</v>
      </c>
      <c r="BP47" s="47">
        <v>1.1126188840444191</v>
      </c>
      <c r="BQ47" s="47">
        <v>2.0750384814711058</v>
      </c>
      <c r="BR47" s="47">
        <v>78.387570415210448</v>
      </c>
      <c r="BS47" s="47">
        <v>1.1643856838009301</v>
      </c>
      <c r="BT47" s="47">
        <v>5.4078664175012534</v>
      </c>
      <c r="BU47" s="47">
        <v>11.544666221144229</v>
      </c>
      <c r="BV47" s="47">
        <v>25.692581208261171</v>
      </c>
      <c r="BW47" s="47">
        <v>0.19303193665147661</v>
      </c>
      <c r="BX47" s="47">
        <v>26.5945714752607</v>
      </c>
      <c r="BY47" s="47">
        <v>1.7279198206197051</v>
      </c>
      <c r="BZ47" s="47">
        <v>0.1207150530691901</v>
      </c>
      <c r="CA47" s="47">
        <v>0</v>
      </c>
      <c r="CB47" s="47">
        <v>0</v>
      </c>
      <c r="CC47" s="47">
        <v>86.489127985711377</v>
      </c>
      <c r="CD47" s="47">
        <v>2.259547457546824</v>
      </c>
      <c r="CE47" s="47">
        <v>1.967529333790645</v>
      </c>
      <c r="CF47" s="47">
        <v>3.186141468934673</v>
      </c>
      <c r="CG47" s="47">
        <v>48.377415407705683</v>
      </c>
      <c r="CH47" s="47">
        <v>72.831649199616294</v>
      </c>
      <c r="CI47" s="47">
        <v>14.74559383148326</v>
      </c>
      <c r="CJ47" s="47">
        <v>10.37419507186469</v>
      </c>
      <c r="CK47" s="47">
        <v>0</v>
      </c>
      <c r="CL47" s="47">
        <v>237.55825076586089</v>
      </c>
      <c r="CM47" s="47">
        <v>0.19953054352181859</v>
      </c>
      <c r="CN47" s="47">
        <v>0</v>
      </c>
      <c r="CO47" s="47">
        <v>20.536914245694241</v>
      </c>
      <c r="CP47" s="47">
        <v>382.38397282847791</v>
      </c>
      <c r="CQ47" s="47">
        <v>14.03353283312172</v>
      </c>
      <c r="CR47" s="47">
        <v>165.91715651651089</v>
      </c>
      <c r="CS47" s="47">
        <v>0.182902548340694</v>
      </c>
      <c r="CT47" s="47">
        <v>1.395894800291869E-2</v>
      </c>
      <c r="CU47" s="47">
        <v>1.043313346066312</v>
      </c>
      <c r="CV47" s="47">
        <v>3.9247530112329142E-2</v>
      </c>
      <c r="CW47" s="47">
        <v>0.40221501329456782</v>
      </c>
      <c r="CX47" s="47">
        <v>11.566606822996169</v>
      </c>
      <c r="CY47" s="47">
        <v>25.422022670175469</v>
      </c>
      <c r="CZ47" s="47">
        <v>0</v>
      </c>
      <c r="DA47" s="47">
        <v>3.4654902545610691</v>
      </c>
      <c r="DB47" s="47">
        <v>1.1918911042295199E-2</v>
      </c>
      <c r="DC47" s="47">
        <v>0</v>
      </c>
      <c r="DD47" s="48">
        <v>8675</v>
      </c>
      <c r="DE47" s="47">
        <v>852</v>
      </c>
      <c r="DF47" s="47">
        <v>0</v>
      </c>
      <c r="DG47" s="47">
        <v>852</v>
      </c>
      <c r="DH47" s="47">
        <v>0</v>
      </c>
      <c r="DI47" s="47">
        <v>0</v>
      </c>
      <c r="DJ47" s="47">
        <v>772</v>
      </c>
      <c r="DK47" s="47">
        <v>0</v>
      </c>
      <c r="DL47" s="47">
        <v>8463</v>
      </c>
      <c r="DM47" s="47">
        <v>10518</v>
      </c>
      <c r="DN47" s="47">
        <v>80</v>
      </c>
      <c r="DO47" s="48">
        <v>29360</v>
      </c>
      <c r="DP47" s="47"/>
      <c r="DQ47" s="47"/>
      <c r="DR47" s="47"/>
      <c r="DS47" s="47"/>
    </row>
    <row r="48" spans="1:123" x14ac:dyDescent="0.45">
      <c r="A48" s="6" t="s">
        <v>208</v>
      </c>
      <c r="B48" t="s">
        <v>209</v>
      </c>
      <c r="C48" s="47">
        <v>0</v>
      </c>
      <c r="D48" s="47">
        <v>98.232776617954073</v>
      </c>
      <c r="E48" s="47">
        <v>0</v>
      </c>
      <c r="F48" s="47">
        <v>0</v>
      </c>
      <c r="G48" s="47">
        <v>6.9934249850567842E-2</v>
      </c>
      <c r="H48" s="47">
        <v>5.4015049506705823</v>
      </c>
      <c r="I48" s="47">
        <v>0</v>
      </c>
      <c r="J48" s="47">
        <v>8.4745427201086895E-2</v>
      </c>
      <c r="K48" s="47">
        <v>0.1146939265880617</v>
      </c>
      <c r="L48" s="47">
        <v>6.0900806084710369E-3</v>
      </c>
      <c r="M48" s="47">
        <v>0.97860081047466985</v>
      </c>
      <c r="N48" s="47">
        <v>1.8360681419573071E-2</v>
      </c>
      <c r="O48" s="47">
        <v>2.9858559832018239</v>
      </c>
      <c r="P48" s="47">
        <v>1.8084800817908511</v>
      </c>
      <c r="Q48" s="47">
        <v>0</v>
      </c>
      <c r="R48" s="47">
        <v>0</v>
      </c>
      <c r="S48" s="47">
        <v>4.965957227691181</v>
      </c>
      <c r="T48" s="47">
        <v>0.32465125930502647</v>
      </c>
      <c r="U48" s="47">
        <v>4.1894567123043451E-2</v>
      </c>
      <c r="V48" s="47">
        <v>3.529411764705882E-3</v>
      </c>
      <c r="W48" s="47">
        <v>0.37694882214420222</v>
      </c>
      <c r="X48" s="47">
        <v>3.8565750439645857E-2</v>
      </c>
      <c r="Y48" s="47">
        <v>0.33356512000057759</v>
      </c>
      <c r="Z48" s="47">
        <v>0</v>
      </c>
      <c r="AA48" s="47">
        <v>1.984972180744355</v>
      </c>
      <c r="AB48" s="47">
        <v>0.14949310671596999</v>
      </c>
      <c r="AC48" s="47">
        <v>1.320144569719055</v>
      </c>
      <c r="AD48" s="47">
        <v>13.64520471197757</v>
      </c>
      <c r="AE48" s="47">
        <v>2.909363165898224</v>
      </c>
      <c r="AF48" s="47">
        <v>0.64280668707322808</v>
      </c>
      <c r="AG48" s="47">
        <v>2.0385555475413542E-2</v>
      </c>
      <c r="AH48" s="47">
        <v>0.70181532242049949</v>
      </c>
      <c r="AI48" s="47">
        <v>12.491855343494709</v>
      </c>
      <c r="AJ48" s="47">
        <v>12.02236044020448</v>
      </c>
      <c r="AK48" s="47">
        <v>0.9539106286627328</v>
      </c>
      <c r="AL48" s="47">
        <v>0.26729803279059189</v>
      </c>
      <c r="AM48" s="47">
        <v>8.0465164193101263E-2</v>
      </c>
      <c r="AN48" s="47">
        <v>13.61526235514256</v>
      </c>
      <c r="AO48" s="47">
        <v>7.1920548561794417</v>
      </c>
      <c r="AP48" s="47">
        <v>4.0181789920591262</v>
      </c>
      <c r="AQ48" s="47">
        <v>73.275598811739982</v>
      </c>
      <c r="AR48" s="47">
        <v>1125.6264231616481</v>
      </c>
      <c r="AS48" s="47">
        <v>0.34153217933234492</v>
      </c>
      <c r="AT48" s="47">
        <v>0.7090002049787637</v>
      </c>
      <c r="AU48" s="47">
        <v>3.851524163840037</v>
      </c>
      <c r="AV48" s="47">
        <v>13.36371465026386</v>
      </c>
      <c r="AW48" s="47">
        <v>0.58947284123877708</v>
      </c>
      <c r="AX48" s="47">
        <v>5.799143960747468E-2</v>
      </c>
      <c r="AY48" s="47">
        <v>0.16548757312545309</v>
      </c>
      <c r="AZ48" s="47">
        <v>104.5739404829375</v>
      </c>
      <c r="BA48" s="47">
        <v>7.8900179318589378E-2</v>
      </c>
      <c r="BB48" s="47">
        <v>0</v>
      </c>
      <c r="BC48" s="47">
        <v>0</v>
      </c>
      <c r="BD48" s="47">
        <v>17.401075911536161</v>
      </c>
      <c r="BE48" s="47">
        <v>34.610221727591806</v>
      </c>
      <c r="BF48" s="47">
        <v>0</v>
      </c>
      <c r="BG48" s="47">
        <v>287.41673446279879</v>
      </c>
      <c r="BH48" s="47">
        <v>5437.3094366710266</v>
      </c>
      <c r="BI48" s="47">
        <v>311.32517001512042</v>
      </c>
      <c r="BJ48" s="47">
        <v>91.571675074076367</v>
      </c>
      <c r="BK48" s="47">
        <v>0</v>
      </c>
      <c r="BL48" s="47">
        <v>1182.401979546958</v>
      </c>
      <c r="BM48" s="47">
        <v>0</v>
      </c>
      <c r="BN48" s="47">
        <v>0</v>
      </c>
      <c r="BO48" s="47">
        <v>320.81796840424101</v>
      </c>
      <c r="BP48" s="47">
        <v>133.0867060397056</v>
      </c>
      <c r="BQ48" s="47">
        <v>7.0247145253575924</v>
      </c>
      <c r="BR48" s="47">
        <v>156.36518593738541</v>
      </c>
      <c r="BS48" s="47">
        <v>0.52441038522419814</v>
      </c>
      <c r="BT48" s="47">
        <v>2.2843887480781402</v>
      </c>
      <c r="BU48" s="47">
        <v>27.643996654515909</v>
      </c>
      <c r="BV48" s="47">
        <v>47.941131428701823</v>
      </c>
      <c r="BW48" s="47">
        <v>15.981172691862991</v>
      </c>
      <c r="BX48" s="47">
        <v>60.089806197138707</v>
      </c>
      <c r="BY48" s="47">
        <v>27.64671712991527</v>
      </c>
      <c r="BZ48" s="47">
        <v>73.888075098773115</v>
      </c>
      <c r="CA48" s="47">
        <v>0</v>
      </c>
      <c r="CB48" s="47">
        <v>16</v>
      </c>
      <c r="CC48" s="47">
        <v>97.624151271101937</v>
      </c>
      <c r="CD48" s="47">
        <v>0.79191212745953354</v>
      </c>
      <c r="CE48" s="47">
        <v>8.8740305239527528E-2</v>
      </c>
      <c r="CF48" s="47">
        <v>55.334350792572728</v>
      </c>
      <c r="CG48" s="47">
        <v>3.9833273686323909</v>
      </c>
      <c r="CH48" s="47">
        <v>81.874936395938818</v>
      </c>
      <c r="CI48" s="47">
        <v>3.9845901456291499</v>
      </c>
      <c r="CJ48" s="47">
        <v>7.1846130004351041</v>
      </c>
      <c r="CK48" s="47">
        <v>0</v>
      </c>
      <c r="CL48" s="47">
        <v>711.41053524314566</v>
      </c>
      <c r="CM48" s="47">
        <v>50.527118074584862</v>
      </c>
      <c r="CN48" s="47">
        <v>0</v>
      </c>
      <c r="CO48" s="47">
        <v>17.79351575280231</v>
      </c>
      <c r="CP48" s="47">
        <v>13.825075536830649</v>
      </c>
      <c r="CQ48" s="47">
        <v>31.50306712629413</v>
      </c>
      <c r="CR48" s="47">
        <v>83.449457419546917</v>
      </c>
      <c r="CS48" s="47">
        <v>72.908637214996503</v>
      </c>
      <c r="CT48" s="47">
        <v>99.561361640162716</v>
      </c>
      <c r="CU48" s="47">
        <v>191.74149744228691</v>
      </c>
      <c r="CV48" s="47">
        <v>1.0826904858573551E-2</v>
      </c>
      <c r="CW48" s="47">
        <v>6.2062220425787693</v>
      </c>
      <c r="CX48" s="47">
        <v>0.3049515670837824</v>
      </c>
      <c r="CY48" s="47">
        <v>17.922635728755662</v>
      </c>
      <c r="CZ48" s="47">
        <v>3.840175953079179</v>
      </c>
      <c r="DA48" s="47">
        <v>4.353737036831431</v>
      </c>
      <c r="DB48" s="47">
        <v>8.6854901361933766E-3</v>
      </c>
      <c r="DC48" s="47">
        <v>0</v>
      </c>
      <c r="DD48" s="48">
        <v>11318</v>
      </c>
      <c r="DE48" s="47">
        <v>929</v>
      </c>
      <c r="DF48" s="47">
        <v>0</v>
      </c>
      <c r="DG48" s="47">
        <v>929</v>
      </c>
      <c r="DH48" s="47">
        <v>0</v>
      </c>
      <c r="DI48" s="47">
        <v>3904</v>
      </c>
      <c r="DJ48" s="47">
        <v>1042</v>
      </c>
      <c r="DK48" s="47">
        <v>0</v>
      </c>
      <c r="DL48" s="47">
        <v>18254</v>
      </c>
      <c r="DM48" s="47">
        <v>22955</v>
      </c>
      <c r="DN48" s="47">
        <v>208</v>
      </c>
      <c r="DO48" s="48">
        <v>58610</v>
      </c>
      <c r="DP48" s="47"/>
      <c r="DQ48" s="47"/>
      <c r="DR48" s="47"/>
      <c r="DS48" s="47"/>
    </row>
    <row r="49" spans="1:123" x14ac:dyDescent="0.45">
      <c r="A49" s="6" t="s">
        <v>210</v>
      </c>
      <c r="B49" t="s">
        <v>211</v>
      </c>
      <c r="C49" s="47">
        <v>0</v>
      </c>
      <c r="D49" s="47">
        <v>0</v>
      </c>
      <c r="E49" s="47">
        <v>1.909299129638113</v>
      </c>
      <c r="F49" s="47">
        <v>0</v>
      </c>
      <c r="G49" s="47">
        <v>137.28017371982631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0.1309878524720281</v>
      </c>
      <c r="U49" s="47">
        <v>0.12758114111779759</v>
      </c>
      <c r="V49" s="47">
        <v>0</v>
      </c>
      <c r="W49" s="47">
        <v>1.1323908574454999</v>
      </c>
      <c r="X49" s="47">
        <v>3.6688210158898008E-4</v>
      </c>
      <c r="Y49" s="47">
        <v>9.7922512136468746E-3</v>
      </c>
      <c r="Z49" s="47">
        <v>0</v>
      </c>
      <c r="AA49" s="47">
        <v>5.5470060514660729E-3</v>
      </c>
      <c r="AB49" s="47">
        <v>5.4792875423102722E-5</v>
      </c>
      <c r="AC49" s="47">
        <v>0</v>
      </c>
      <c r="AD49" s="47">
        <v>5.1531467570289066E-6</v>
      </c>
      <c r="AE49" s="47">
        <v>0</v>
      </c>
      <c r="AF49" s="47">
        <v>0</v>
      </c>
      <c r="AG49" s="47">
        <v>0</v>
      </c>
      <c r="AH49" s="47">
        <v>0.50504057761756005</v>
      </c>
      <c r="AI49" s="47">
        <v>3.5795353879502129E-6</v>
      </c>
      <c r="AJ49" s="47">
        <v>8.27415415086409E-4</v>
      </c>
      <c r="AK49" s="47">
        <v>9.1238001397451907E-5</v>
      </c>
      <c r="AL49" s="47">
        <v>2.2095356491908598E-3</v>
      </c>
      <c r="AM49" s="47">
        <v>2.5707819430751261E-2</v>
      </c>
      <c r="AN49" s="47">
        <v>8.6934308157401929</v>
      </c>
      <c r="AO49" s="47">
        <v>1.4743436850856639</v>
      </c>
      <c r="AP49" s="47">
        <v>7.7218818008714968E-2</v>
      </c>
      <c r="AQ49" s="47">
        <v>3.712698876154481</v>
      </c>
      <c r="AR49" s="47">
        <v>22.841593739336989</v>
      </c>
      <c r="AS49" s="47">
        <v>538.62356108226447</v>
      </c>
      <c r="AT49" s="47">
        <v>1.98485519908983E-2</v>
      </c>
      <c r="AU49" s="47">
        <v>0</v>
      </c>
      <c r="AV49" s="47">
        <v>0.18292076934714291</v>
      </c>
      <c r="AW49" s="47">
        <v>0.13332752463733219</v>
      </c>
      <c r="AX49" s="47">
        <v>18.436251920122888</v>
      </c>
      <c r="AY49" s="47">
        <v>9.1812608549170184E-4</v>
      </c>
      <c r="AZ49" s="47">
        <v>0.75214032098006034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2.6312074456979699</v>
      </c>
      <c r="BH49" s="47">
        <v>0</v>
      </c>
      <c r="BI49" s="47">
        <v>3.5589394262514298</v>
      </c>
      <c r="BJ49" s="47">
        <v>0.57295847939689704</v>
      </c>
      <c r="BK49" s="47">
        <v>0</v>
      </c>
      <c r="BL49" s="47">
        <v>2.1819579741292112</v>
      </c>
      <c r="BM49" s="47">
        <v>90.350821419036734</v>
      </c>
      <c r="BN49" s="47">
        <v>0</v>
      </c>
      <c r="BO49" s="47">
        <v>0</v>
      </c>
      <c r="BP49" s="47">
        <v>1.58236424674578E-4</v>
      </c>
      <c r="BQ49" s="47">
        <v>6.5232466914971164E-3</v>
      </c>
      <c r="BR49" s="47">
        <v>5.7387169088993941</v>
      </c>
      <c r="BS49" s="47">
        <v>2.6096329123286E-3</v>
      </c>
      <c r="BT49" s="47">
        <v>0</v>
      </c>
      <c r="BU49" s="47">
        <v>0</v>
      </c>
      <c r="BV49" s="47">
        <v>5.0966389459929804</v>
      </c>
      <c r="BW49" s="47">
        <v>1.241274566866706E-2</v>
      </c>
      <c r="BX49" s="47">
        <v>5.5835772679498309E-3</v>
      </c>
      <c r="BY49" s="47">
        <v>1.7279198206197051</v>
      </c>
      <c r="BZ49" s="47">
        <v>0</v>
      </c>
      <c r="CA49" s="47">
        <v>0</v>
      </c>
      <c r="CB49" s="47">
        <v>0</v>
      </c>
      <c r="CC49" s="47">
        <v>36.918371182433432</v>
      </c>
      <c r="CD49" s="47">
        <v>0.13814717902149251</v>
      </c>
      <c r="CE49" s="47">
        <v>0.26394955085566818</v>
      </c>
      <c r="CF49" s="47">
        <v>1.999067102019058E-4</v>
      </c>
      <c r="CG49" s="47">
        <v>4.6261215209457491</v>
      </c>
      <c r="CH49" s="47">
        <v>11.884116988866991</v>
      </c>
      <c r="CI49" s="47">
        <v>8.6626241087492514E-4</v>
      </c>
      <c r="CJ49" s="47">
        <v>0.85974728401136868</v>
      </c>
      <c r="CK49" s="47">
        <v>0</v>
      </c>
      <c r="CL49" s="47">
        <v>1.6390952297304211</v>
      </c>
      <c r="CM49" s="47">
        <v>1.3327114013460389E-4</v>
      </c>
      <c r="CN49" s="47">
        <v>0</v>
      </c>
      <c r="CO49" s="47">
        <v>0</v>
      </c>
      <c r="CP49" s="47">
        <v>0</v>
      </c>
      <c r="CQ49" s="47">
        <v>0.66251670867271695</v>
      </c>
      <c r="CR49" s="47">
        <v>212.0597976779074</v>
      </c>
      <c r="CS49" s="47">
        <v>0</v>
      </c>
      <c r="CT49" s="47">
        <v>0</v>
      </c>
      <c r="CU49" s="47">
        <v>0</v>
      </c>
      <c r="CV49" s="47">
        <v>0.95322182981275416</v>
      </c>
      <c r="CW49" s="47">
        <v>0</v>
      </c>
      <c r="CX49" s="47">
        <v>0</v>
      </c>
      <c r="CY49" s="47">
        <v>2.8401282638570769E-2</v>
      </c>
      <c r="CZ49" s="47">
        <v>0</v>
      </c>
      <c r="DA49" s="47">
        <v>0</v>
      </c>
      <c r="DB49" s="47">
        <v>5.3308456053841556E-4</v>
      </c>
      <c r="DC49" s="47">
        <v>0</v>
      </c>
      <c r="DD49" s="48">
        <v>1118</v>
      </c>
      <c r="DE49" s="47">
        <v>676</v>
      </c>
      <c r="DF49" s="47">
        <v>0</v>
      </c>
      <c r="DG49" s="47">
        <v>676</v>
      </c>
      <c r="DH49" s="47">
        <v>0</v>
      </c>
      <c r="DI49" s="47">
        <v>688</v>
      </c>
      <c r="DJ49" s="47">
        <v>-103</v>
      </c>
      <c r="DK49" s="47">
        <v>0</v>
      </c>
      <c r="DL49" s="47">
        <v>474</v>
      </c>
      <c r="DM49" s="47">
        <v>1885</v>
      </c>
      <c r="DN49" s="47">
        <v>0</v>
      </c>
      <c r="DO49" s="48">
        <v>4738</v>
      </c>
      <c r="DP49" s="47"/>
      <c r="DQ49" s="47"/>
      <c r="DR49" s="47"/>
      <c r="DS49" s="47"/>
    </row>
    <row r="50" spans="1:123" x14ac:dyDescent="0.45">
      <c r="A50" s="6" t="s">
        <v>212</v>
      </c>
      <c r="B50" t="s">
        <v>213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0.56831577220739071</v>
      </c>
      <c r="U50" s="47">
        <v>1.212972104209296E-3</v>
      </c>
      <c r="V50" s="47">
        <v>0.11836385927109259</v>
      </c>
      <c r="W50" s="47">
        <v>1.991222987787544E-3</v>
      </c>
      <c r="X50" s="47">
        <v>3.1445394058217881E-3</v>
      </c>
      <c r="Y50" s="47">
        <v>0.58581610592121025</v>
      </c>
      <c r="Z50" s="47">
        <v>0</v>
      </c>
      <c r="AA50" s="47">
        <v>1.454354099025732E-3</v>
      </c>
      <c r="AB50" s="47">
        <v>2.8437440884716998E-4</v>
      </c>
      <c r="AC50" s="47">
        <v>2.4960810148644592</v>
      </c>
      <c r="AD50" s="47">
        <v>8.268986762453227E-8</v>
      </c>
      <c r="AE50" s="47">
        <v>0</v>
      </c>
      <c r="AF50" s="47">
        <v>0</v>
      </c>
      <c r="AG50" s="47">
        <v>0</v>
      </c>
      <c r="AH50" s="47">
        <v>9.0038829512656271</v>
      </c>
      <c r="AI50" s="47">
        <v>4.7845053164818061E-4</v>
      </c>
      <c r="AJ50" s="47">
        <v>3.8665417474246611</v>
      </c>
      <c r="AK50" s="47">
        <v>1.73596929426249</v>
      </c>
      <c r="AL50" s="47">
        <v>5.93928447556224</v>
      </c>
      <c r="AM50" s="47">
        <v>4.873768616194778</v>
      </c>
      <c r="AN50" s="47">
        <v>7.9810589838404207</v>
      </c>
      <c r="AO50" s="47">
        <v>3.771124392031417</v>
      </c>
      <c r="AP50" s="47">
        <v>3.8027563353437031</v>
      </c>
      <c r="AQ50" s="47">
        <v>36.922553482961078</v>
      </c>
      <c r="AR50" s="47">
        <v>10.80796970820629</v>
      </c>
      <c r="AS50" s="47">
        <v>0.35856816285291898</v>
      </c>
      <c r="AT50" s="47">
        <v>874.84628466389859</v>
      </c>
      <c r="AU50" s="47">
        <v>0</v>
      </c>
      <c r="AV50" s="47">
        <v>0.91997973494966423</v>
      </c>
      <c r="AW50" s="47">
        <v>0.55362752901535539</v>
      </c>
      <c r="AX50" s="47">
        <v>0</v>
      </c>
      <c r="AY50" s="47">
        <v>1549.7471472626751</v>
      </c>
      <c r="AZ50" s="47">
        <v>1.7511974581258469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0.6318168140492737</v>
      </c>
      <c r="BH50" s="47">
        <v>0</v>
      </c>
      <c r="BI50" s="47">
        <v>35.619132768154067</v>
      </c>
      <c r="BJ50" s="47">
        <v>1.5140854399479651E-3</v>
      </c>
      <c r="BK50" s="47">
        <v>0</v>
      </c>
      <c r="BL50" s="47">
        <v>10.559123967319129</v>
      </c>
      <c r="BM50" s="47">
        <v>0</v>
      </c>
      <c r="BN50" s="47">
        <v>0</v>
      </c>
      <c r="BO50" s="47">
        <v>0</v>
      </c>
      <c r="BP50" s="47">
        <v>1.4427438720329171E-4</v>
      </c>
      <c r="BQ50" s="47">
        <v>1.003432048945635E-4</v>
      </c>
      <c r="BR50" s="47">
        <v>16.8183275641412</v>
      </c>
      <c r="BS50" s="47">
        <v>7.2000059058966682E-3</v>
      </c>
      <c r="BT50" s="47">
        <v>0</v>
      </c>
      <c r="BU50" s="47">
        <v>0</v>
      </c>
      <c r="BV50" s="47">
        <v>50.322130183100199</v>
      </c>
      <c r="BW50" s="47">
        <v>0.21766008706217141</v>
      </c>
      <c r="BX50" s="47">
        <v>0.95023169832919263</v>
      </c>
      <c r="BY50" s="47">
        <v>8.639599103098524</v>
      </c>
      <c r="BZ50" s="47">
        <v>4.4991600784709896E-3</v>
      </c>
      <c r="CA50" s="47">
        <v>0</v>
      </c>
      <c r="CB50" s="47">
        <v>0</v>
      </c>
      <c r="CC50" s="47">
        <v>42.263323977773616</v>
      </c>
      <c r="CD50" s="47">
        <v>2.2616226880584018</v>
      </c>
      <c r="CE50" s="47">
        <v>0.79525097608127893</v>
      </c>
      <c r="CF50" s="47">
        <v>1.1918513428134299E-2</v>
      </c>
      <c r="CG50" s="47">
        <v>26.322894733874929</v>
      </c>
      <c r="CH50" s="47">
        <v>108.30639961209469</v>
      </c>
      <c r="CI50" s="47">
        <v>4.3313120543746267E-3</v>
      </c>
      <c r="CJ50" s="47">
        <v>5.0634440734681947</v>
      </c>
      <c r="CK50" s="47">
        <v>0</v>
      </c>
      <c r="CL50" s="47">
        <v>2.9853923743813349</v>
      </c>
      <c r="CM50" s="47">
        <v>6.6635570067301937E-4</v>
      </c>
      <c r="CN50" s="47">
        <v>0</v>
      </c>
      <c r="CO50" s="47">
        <v>0</v>
      </c>
      <c r="CP50" s="47">
        <v>0</v>
      </c>
      <c r="CQ50" s="47">
        <v>8.2851908162462333</v>
      </c>
      <c r="CR50" s="47">
        <v>2825.5004523936</v>
      </c>
      <c r="CS50" s="47">
        <v>0</v>
      </c>
      <c r="CT50" s="47">
        <v>0</v>
      </c>
      <c r="CU50" s="47">
        <v>0</v>
      </c>
      <c r="CV50" s="47">
        <v>4.7661091490637704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2.6654228026920771E-3</v>
      </c>
      <c r="DC50" s="47">
        <v>0</v>
      </c>
      <c r="DD50" s="48">
        <v>5671</v>
      </c>
      <c r="DE50" s="47">
        <v>145</v>
      </c>
      <c r="DF50" s="47">
        <v>0</v>
      </c>
      <c r="DG50" s="47">
        <v>145</v>
      </c>
      <c r="DH50" s="47">
        <v>0</v>
      </c>
      <c r="DI50" s="47">
        <v>1045</v>
      </c>
      <c r="DJ50" s="47">
        <v>-1378</v>
      </c>
      <c r="DK50" s="47">
        <v>0</v>
      </c>
      <c r="DL50" s="47">
        <v>6748</v>
      </c>
      <c r="DM50" s="47">
        <v>9973</v>
      </c>
      <c r="DN50" s="47">
        <v>623</v>
      </c>
      <c r="DO50" s="48">
        <v>22827</v>
      </c>
      <c r="DP50" s="47"/>
      <c r="DQ50" s="47"/>
      <c r="DR50" s="47"/>
      <c r="DS50" s="47"/>
    </row>
    <row r="51" spans="1:123" x14ac:dyDescent="0.45">
      <c r="A51" s="6" t="s">
        <v>214</v>
      </c>
      <c r="B51" t="s">
        <v>215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1.272692916661089</v>
      </c>
      <c r="U51" s="47">
        <v>0.77850033126191587</v>
      </c>
      <c r="V51" s="47">
        <v>2.2290745625441169E-4</v>
      </c>
      <c r="W51" s="47">
        <v>0.34107667287549298</v>
      </c>
      <c r="X51" s="47">
        <v>0.10609858540681991</v>
      </c>
      <c r="Y51" s="47">
        <v>3.045490269584167</v>
      </c>
      <c r="Z51" s="47">
        <v>0</v>
      </c>
      <c r="AA51" s="47">
        <v>1.7205256415398771</v>
      </c>
      <c r="AB51" s="47">
        <v>1.735623920049217E-2</v>
      </c>
      <c r="AC51" s="47">
        <v>4.681056581342647E-3</v>
      </c>
      <c r="AD51" s="47">
        <v>1.56607751317373E-3</v>
      </c>
      <c r="AE51" s="47">
        <v>0</v>
      </c>
      <c r="AF51" s="47">
        <v>0</v>
      </c>
      <c r="AG51" s="47">
        <v>0</v>
      </c>
      <c r="AH51" s="47">
        <v>0.6491004033625577</v>
      </c>
      <c r="AI51" s="47">
        <v>1.307019064916669E-3</v>
      </c>
      <c r="AJ51" s="47">
        <v>0.31334180624225128</v>
      </c>
      <c r="AK51" s="47">
        <v>3.5772435833397363E-2</v>
      </c>
      <c r="AL51" s="47">
        <v>0.14414686978682231</v>
      </c>
      <c r="AM51" s="47">
        <v>8.6774811964602989</v>
      </c>
      <c r="AN51" s="47">
        <v>1.07432514879927</v>
      </c>
      <c r="AO51" s="47">
        <v>432.62979491035912</v>
      </c>
      <c r="AP51" s="47">
        <v>17.86570715798263</v>
      </c>
      <c r="AQ51" s="47">
        <v>22.114962188471431</v>
      </c>
      <c r="AR51" s="47">
        <v>0.2155832718443457</v>
      </c>
      <c r="AS51" s="47">
        <v>0.6263574986680539</v>
      </c>
      <c r="AT51" s="47">
        <v>2.356093367273397</v>
      </c>
      <c r="AU51" s="47">
        <v>92.146104532553025</v>
      </c>
      <c r="AV51" s="47">
        <v>0.22689295418568739</v>
      </c>
      <c r="AW51" s="47">
        <v>4.2641216656912944</v>
      </c>
      <c r="AX51" s="47">
        <v>0</v>
      </c>
      <c r="AY51" s="47">
        <v>0.55663469082345562</v>
      </c>
      <c r="AZ51" s="47">
        <v>290.90106011572999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3.105789732725766</v>
      </c>
      <c r="BH51" s="47">
        <v>7.1133053281792935E-4</v>
      </c>
      <c r="BI51" s="47">
        <v>34.922047204035287</v>
      </c>
      <c r="BJ51" s="47">
        <v>1.03977572280623E-3</v>
      </c>
      <c r="BK51" s="47">
        <v>82.875820357740338</v>
      </c>
      <c r="BL51" s="47">
        <v>3.3932732879740359</v>
      </c>
      <c r="BM51" s="47">
        <v>0</v>
      </c>
      <c r="BN51" s="47">
        <v>0</v>
      </c>
      <c r="BO51" s="47">
        <v>0</v>
      </c>
      <c r="BP51" s="47">
        <v>9.9204359677150552E-5</v>
      </c>
      <c r="BQ51" s="47">
        <v>6.8996885604454504E-5</v>
      </c>
      <c r="BR51" s="47">
        <v>11.001525672619501</v>
      </c>
      <c r="BS51" s="47">
        <v>7.8857654572729502E-2</v>
      </c>
      <c r="BT51" s="47">
        <v>0</v>
      </c>
      <c r="BU51" s="47">
        <v>0</v>
      </c>
      <c r="BV51" s="47">
        <v>5.0857920161662982</v>
      </c>
      <c r="BW51" s="47">
        <v>2.6524348889615149E-2</v>
      </c>
      <c r="BX51" s="47">
        <v>3.4993448795217759E-3</v>
      </c>
      <c r="BY51" s="47">
        <v>0</v>
      </c>
      <c r="BZ51" s="47">
        <v>3.6656891495601168E-4</v>
      </c>
      <c r="CA51" s="47">
        <v>0</v>
      </c>
      <c r="CB51" s="47">
        <v>0</v>
      </c>
      <c r="CC51" s="47">
        <v>28.015059571428768</v>
      </c>
      <c r="CD51" s="47">
        <v>0.55544781654043218</v>
      </c>
      <c r="CE51" s="47">
        <v>0.54170815030555797</v>
      </c>
      <c r="CF51" s="47">
        <v>0</v>
      </c>
      <c r="CG51" s="47">
        <v>2.5836793251774899</v>
      </c>
      <c r="CH51" s="47">
        <v>32.930040376810759</v>
      </c>
      <c r="CI51" s="47">
        <v>0</v>
      </c>
      <c r="CJ51" s="47">
        <v>1.2529168481480679</v>
      </c>
      <c r="CK51" s="47">
        <v>0</v>
      </c>
      <c r="CL51" s="47">
        <v>1.2341122034746439</v>
      </c>
      <c r="CM51" s="47">
        <v>0</v>
      </c>
      <c r="CN51" s="47">
        <v>0</v>
      </c>
      <c r="CO51" s="47">
        <v>1.4662756598240469E-3</v>
      </c>
      <c r="CP51" s="47">
        <v>2.565982404692082E-3</v>
      </c>
      <c r="CQ51" s="47">
        <v>2.3034794998278958</v>
      </c>
      <c r="CR51" s="47">
        <v>4.9087916129145226</v>
      </c>
      <c r="CS51" s="47">
        <v>0</v>
      </c>
      <c r="CT51" s="47">
        <v>193.20818694526631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2.8801319648093839</v>
      </c>
      <c r="DA51" s="47">
        <v>0</v>
      </c>
      <c r="DB51" s="47">
        <v>0</v>
      </c>
      <c r="DC51" s="47">
        <v>0</v>
      </c>
      <c r="DD51" s="48">
        <v>1293</v>
      </c>
      <c r="DE51" s="47">
        <v>50</v>
      </c>
      <c r="DF51" s="47">
        <v>0</v>
      </c>
      <c r="DG51" s="47">
        <v>50</v>
      </c>
      <c r="DH51" s="47">
        <v>0</v>
      </c>
      <c r="DI51" s="47">
        <v>33</v>
      </c>
      <c r="DJ51" s="47">
        <v>725</v>
      </c>
      <c r="DK51" s="47">
        <v>0</v>
      </c>
      <c r="DL51" s="47">
        <v>333</v>
      </c>
      <c r="DM51" s="47">
        <v>173</v>
      </c>
      <c r="DN51" s="47">
        <v>107</v>
      </c>
      <c r="DO51" s="48">
        <v>2714</v>
      </c>
      <c r="DP51" s="47"/>
      <c r="DQ51" s="47"/>
      <c r="DR51" s="47"/>
      <c r="DS51" s="47"/>
    </row>
    <row r="52" spans="1:123" x14ac:dyDescent="0.45">
      <c r="A52" s="6" t="s">
        <v>216</v>
      </c>
      <c r="B52" t="s">
        <v>217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3.955076610602614E-4</v>
      </c>
      <c r="U52" s="47">
        <v>1.0065231725798009E-2</v>
      </c>
      <c r="V52" s="47">
        <v>1.411764705882353E-3</v>
      </c>
      <c r="W52" s="47">
        <v>3.0766906626611039</v>
      </c>
      <c r="X52" s="47">
        <v>4.79149992368356E-2</v>
      </c>
      <c r="Y52" s="47">
        <v>0.60109495047425265</v>
      </c>
      <c r="Z52" s="47">
        <v>0</v>
      </c>
      <c r="AA52" s="47">
        <v>1.0931121246244579E-3</v>
      </c>
      <c r="AB52" s="47">
        <v>1.6581902528111079E-3</v>
      </c>
      <c r="AC52" s="47">
        <v>0</v>
      </c>
      <c r="AD52" s="47">
        <v>1.789141584228272E-3</v>
      </c>
      <c r="AE52" s="47">
        <v>2.8246434068612141E-2</v>
      </c>
      <c r="AF52" s="47">
        <v>0</v>
      </c>
      <c r="AG52" s="47">
        <v>0</v>
      </c>
      <c r="AH52" s="47">
        <v>0.89282928971506892</v>
      </c>
      <c r="AI52" s="47">
        <v>3.4256768653040488E-7</v>
      </c>
      <c r="AJ52" s="47">
        <v>4.0411187313006892E-2</v>
      </c>
      <c r="AK52" s="47">
        <v>0.15167801105427001</v>
      </c>
      <c r="AL52" s="47">
        <v>4.0875014629872593E-2</v>
      </c>
      <c r="AM52" s="47">
        <v>4.706026158171373E-3</v>
      </c>
      <c r="AN52" s="47">
        <v>6.5812446720691096</v>
      </c>
      <c r="AO52" s="47">
        <v>5.5669803404486077E-3</v>
      </c>
      <c r="AP52" s="47">
        <v>0.1155751820107852</v>
      </c>
      <c r="AQ52" s="47">
        <v>0.50517350987188814</v>
      </c>
      <c r="AR52" s="47">
        <v>1.0481684312315971</v>
      </c>
      <c r="AS52" s="47">
        <v>17.019979117362471</v>
      </c>
      <c r="AT52" s="47">
        <v>1.082095690007186E-2</v>
      </c>
      <c r="AU52" s="47">
        <v>8.7825776508389866E-2</v>
      </c>
      <c r="AV52" s="47">
        <v>36.304918138429542</v>
      </c>
      <c r="AW52" s="47">
        <v>4.5597114053245263E-2</v>
      </c>
      <c r="AX52" s="47">
        <v>6.8556839182978471E-3</v>
      </c>
      <c r="AY52" s="47">
        <v>3.550867505051159E-3</v>
      </c>
      <c r="AZ52" s="47">
        <v>0.35252507793721238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386.82862070179527</v>
      </c>
      <c r="BH52" s="47">
        <v>9.4153083060190658E-4</v>
      </c>
      <c r="BI52" s="47">
        <v>1.9599588662359759</v>
      </c>
      <c r="BJ52" s="47">
        <v>0.87819302690479795</v>
      </c>
      <c r="BK52" s="47">
        <v>0</v>
      </c>
      <c r="BL52" s="47">
        <v>0.12940506848019401</v>
      </c>
      <c r="BM52" s="47">
        <v>0</v>
      </c>
      <c r="BN52" s="47">
        <v>0</v>
      </c>
      <c r="BO52" s="47">
        <v>0</v>
      </c>
      <c r="BP52" s="47">
        <v>3.818849489746116E-4</v>
      </c>
      <c r="BQ52" s="47">
        <v>4.6078349739288482</v>
      </c>
      <c r="BR52" s="47">
        <v>6.7299164273529621</v>
      </c>
      <c r="BS52" s="47">
        <v>1.2421948784376399E-2</v>
      </c>
      <c r="BT52" s="47">
        <v>9.5998788309416924E-2</v>
      </c>
      <c r="BU52" s="47">
        <v>9.3966296098326208E-7</v>
      </c>
      <c r="BV52" s="47">
        <v>6.8795232613652741</v>
      </c>
      <c r="BW52" s="47">
        <v>1.343834983522983E-2</v>
      </c>
      <c r="BX52" s="47">
        <v>12.30031135427987</v>
      </c>
      <c r="BY52" s="47">
        <v>1.7279198206197051</v>
      </c>
      <c r="BZ52" s="47">
        <v>3.8348516170082441</v>
      </c>
      <c r="CA52" s="47">
        <v>0</v>
      </c>
      <c r="CB52" s="47">
        <v>2</v>
      </c>
      <c r="CC52" s="47">
        <v>23.49697445994639</v>
      </c>
      <c r="CD52" s="47">
        <v>2.0303404676900231E-2</v>
      </c>
      <c r="CE52" s="47">
        <v>3.7467698178981858E-2</v>
      </c>
      <c r="CF52" s="47">
        <v>0.15994646773000051</v>
      </c>
      <c r="CG52" s="47">
        <v>7.9222329992035614E-2</v>
      </c>
      <c r="CH52" s="47">
        <v>14.907589680964721</v>
      </c>
      <c r="CI52" s="47">
        <v>1.4369711363817581</v>
      </c>
      <c r="CJ52" s="47">
        <v>0.89604640702680827</v>
      </c>
      <c r="CK52" s="47">
        <v>0</v>
      </c>
      <c r="CL52" s="47">
        <v>0.79268274225973467</v>
      </c>
      <c r="CM52" s="47">
        <v>7.714169711733658E-2</v>
      </c>
      <c r="CN52" s="47">
        <v>0</v>
      </c>
      <c r="CO52" s="47">
        <v>1.321811093529297E-2</v>
      </c>
      <c r="CP52" s="47">
        <v>2.1417434200821889E-2</v>
      </c>
      <c r="CQ52" s="47">
        <v>0.43214726174330748</v>
      </c>
      <c r="CR52" s="47">
        <v>388.77629574283031</v>
      </c>
      <c r="CS52" s="47">
        <v>129.75957816255971</v>
      </c>
      <c r="CT52" s="47">
        <v>101.5328737518491</v>
      </c>
      <c r="CU52" s="47">
        <v>56.334721044706242</v>
      </c>
      <c r="CV52" s="47">
        <v>2.5713899039112191E-2</v>
      </c>
      <c r="CW52" s="47">
        <v>0</v>
      </c>
      <c r="CX52" s="47">
        <v>0.28970992917399729</v>
      </c>
      <c r="CY52" s="47">
        <v>15.411196824107909</v>
      </c>
      <c r="CZ52" s="47">
        <v>5.7602639296187688</v>
      </c>
      <c r="DA52" s="47">
        <v>1.7327058823529411</v>
      </c>
      <c r="DB52" s="47">
        <v>1.743206819365007E-2</v>
      </c>
      <c r="DC52" s="47">
        <v>0</v>
      </c>
      <c r="DD52" s="48">
        <v>1237</v>
      </c>
      <c r="DE52" s="47">
        <v>2982</v>
      </c>
      <c r="DF52" s="47">
        <v>0</v>
      </c>
      <c r="DG52" s="47">
        <v>2982</v>
      </c>
      <c r="DH52" s="47">
        <v>0</v>
      </c>
      <c r="DI52" s="47">
        <v>3079</v>
      </c>
      <c r="DJ52" s="47">
        <v>-247</v>
      </c>
      <c r="DK52" s="47">
        <v>0</v>
      </c>
      <c r="DL52" s="47">
        <v>648</v>
      </c>
      <c r="DM52" s="47">
        <v>369</v>
      </c>
      <c r="DN52" s="47">
        <v>83</v>
      </c>
      <c r="DO52" s="48">
        <v>8151</v>
      </c>
      <c r="DP52" s="47"/>
      <c r="DQ52" s="47"/>
      <c r="DR52" s="47"/>
      <c r="DS52" s="47"/>
    </row>
    <row r="53" spans="1:123" x14ac:dyDescent="0.45">
      <c r="A53" s="6" t="s">
        <v>218</v>
      </c>
      <c r="B53" t="s">
        <v>219</v>
      </c>
      <c r="C53" s="47">
        <v>30.070677617464451</v>
      </c>
      <c r="D53" s="47">
        <v>2.3204592901878911</v>
      </c>
      <c r="E53" s="47">
        <v>2.8639486944571688</v>
      </c>
      <c r="F53" s="47">
        <v>0</v>
      </c>
      <c r="G53" s="47">
        <v>10.347084925006129</v>
      </c>
      <c r="H53" s="47">
        <v>2.664230670495253</v>
      </c>
      <c r="I53" s="47">
        <v>4.8525248311929046</v>
      </c>
      <c r="J53" s="47">
        <v>5.8813591081596818E-3</v>
      </c>
      <c r="K53" s="47">
        <v>1.5022711271003211E-3</v>
      </c>
      <c r="L53" s="47">
        <v>0.13698150935364939</v>
      </c>
      <c r="M53" s="47">
        <v>5.8821169313213618E-3</v>
      </c>
      <c r="N53" s="47">
        <v>0.85342733199096965</v>
      </c>
      <c r="O53" s="47">
        <v>1.1227916855133021E-3</v>
      </c>
      <c r="P53" s="47">
        <v>0.2216324049139704</v>
      </c>
      <c r="Q53" s="47">
        <v>0.96403933013450582</v>
      </c>
      <c r="R53" s="47">
        <v>0</v>
      </c>
      <c r="S53" s="47">
        <v>0</v>
      </c>
      <c r="T53" s="47">
        <v>0.32690973839756199</v>
      </c>
      <c r="U53" s="47">
        <v>0.17797253795283599</v>
      </c>
      <c r="V53" s="47">
        <v>1.263150993577206E-3</v>
      </c>
      <c r="W53" s="47">
        <v>4.7458783568691754</v>
      </c>
      <c r="X53" s="47">
        <v>9.1766776452520876E-2</v>
      </c>
      <c r="Y53" s="47">
        <v>0.18998499726994761</v>
      </c>
      <c r="Z53" s="47">
        <v>1.1317500808392909E-2</v>
      </c>
      <c r="AA53" s="47">
        <v>3.107454270494998E-2</v>
      </c>
      <c r="AB53" s="47">
        <v>0.4544987165595798</v>
      </c>
      <c r="AC53" s="47">
        <v>1.215481219874788</v>
      </c>
      <c r="AD53" s="47">
        <v>9.5339081243888665E-2</v>
      </c>
      <c r="AE53" s="47">
        <v>0.28285193561448158</v>
      </c>
      <c r="AF53" s="47">
        <v>1.226146384148415</v>
      </c>
      <c r="AG53" s="47">
        <v>41.836997342418719</v>
      </c>
      <c r="AH53" s="47">
        <v>0.7824060110725044</v>
      </c>
      <c r="AI53" s="47">
        <v>0.72332159551640407</v>
      </c>
      <c r="AJ53" s="47">
        <v>2.0961512931169382</v>
      </c>
      <c r="AK53" s="47">
        <v>0.44185995031565478</v>
      </c>
      <c r="AL53" s="47">
        <v>5.9990175993251217E-2</v>
      </c>
      <c r="AM53" s="47">
        <v>3.2980003279488419E-2</v>
      </c>
      <c r="AN53" s="47">
        <v>0.69657587061762161</v>
      </c>
      <c r="AO53" s="47">
        <v>2.8294603089385828</v>
      </c>
      <c r="AP53" s="47">
        <v>0.1775870812567456</v>
      </c>
      <c r="AQ53" s="47">
        <v>2.702047509468076</v>
      </c>
      <c r="AR53" s="47">
        <v>0.98760791890054311</v>
      </c>
      <c r="AS53" s="47">
        <v>11.968104337355239</v>
      </c>
      <c r="AT53" s="47">
        <v>4.2328168793239396</v>
      </c>
      <c r="AU53" s="47">
        <v>0.35268296042353942</v>
      </c>
      <c r="AV53" s="47">
        <v>0.57301602984875766</v>
      </c>
      <c r="AW53" s="47">
        <v>35.106082869245661</v>
      </c>
      <c r="AX53" s="47">
        <v>5.9646697388632894</v>
      </c>
      <c r="AY53" s="47">
        <v>2.6240339568277971E-2</v>
      </c>
      <c r="AZ53" s="47">
        <v>8.0277491187271135</v>
      </c>
      <c r="BA53" s="47">
        <v>12.731364647511681</v>
      </c>
      <c r="BB53" s="47">
        <v>6.9062831017497386</v>
      </c>
      <c r="BC53" s="47">
        <v>3.6391606053005612</v>
      </c>
      <c r="BD53" s="47">
        <v>2.9001793185893598</v>
      </c>
      <c r="BE53" s="47">
        <v>20.948679444954529</v>
      </c>
      <c r="BF53" s="47">
        <v>2.9268292682926829</v>
      </c>
      <c r="BG53" s="47">
        <v>290.77489374784528</v>
      </c>
      <c r="BH53" s="47">
        <v>0.10526198770677241</v>
      </c>
      <c r="BI53" s="47">
        <v>12.229948004897549</v>
      </c>
      <c r="BJ53" s="47">
        <v>5.2583477649585904</v>
      </c>
      <c r="BK53" s="47">
        <v>3.9464676360828732</v>
      </c>
      <c r="BL53" s="47">
        <v>47.034781016479407</v>
      </c>
      <c r="BM53" s="47">
        <v>76.757966542357224</v>
      </c>
      <c r="BN53" s="47">
        <v>3.916747772703451</v>
      </c>
      <c r="BO53" s="47">
        <v>35.552386999942271</v>
      </c>
      <c r="BP53" s="47">
        <v>23.267011929225578</v>
      </c>
      <c r="BQ53" s="47">
        <v>24.855600960334161</v>
      </c>
      <c r="BR53" s="47">
        <v>26.26274971826636</v>
      </c>
      <c r="BS53" s="47">
        <v>3.6624034356718962</v>
      </c>
      <c r="BT53" s="47">
        <v>159.67587924937271</v>
      </c>
      <c r="BU53" s="47">
        <v>2.112644854426339E-2</v>
      </c>
      <c r="BV53" s="47">
        <v>43.547519898338081</v>
      </c>
      <c r="BW53" s="47">
        <v>1.194657326172645</v>
      </c>
      <c r="BX53" s="47">
        <v>85.557351270433415</v>
      </c>
      <c r="BY53" s="47">
        <v>19.007118026816752</v>
      </c>
      <c r="BZ53" s="47">
        <v>110.8714842565695</v>
      </c>
      <c r="CA53" s="47">
        <v>4.1649780479567724</v>
      </c>
      <c r="CB53" s="47">
        <v>3</v>
      </c>
      <c r="CC53" s="47">
        <v>32.585881109978843</v>
      </c>
      <c r="CD53" s="47">
        <v>13.028826366485029</v>
      </c>
      <c r="CE53" s="47">
        <v>0.41534799318219828</v>
      </c>
      <c r="CF53" s="47">
        <v>2.8646747411200231</v>
      </c>
      <c r="CG53" s="47">
        <v>3.556596938023993</v>
      </c>
      <c r="CH53" s="47">
        <v>24.419561161127369</v>
      </c>
      <c r="CI53" s="47">
        <v>32.24331532325899</v>
      </c>
      <c r="CJ53" s="47">
        <v>6.7609730967327337</v>
      </c>
      <c r="CK53" s="47">
        <v>3.8800780557033878</v>
      </c>
      <c r="CL53" s="47">
        <v>5.6475533492651406</v>
      </c>
      <c r="CM53" s="47">
        <v>9.2769536352208917</v>
      </c>
      <c r="CN53" s="47">
        <v>1.9187073387065681</v>
      </c>
      <c r="CO53" s="47">
        <v>0.65490120886909509</v>
      </c>
      <c r="CP53" s="47">
        <v>48.29747896431433</v>
      </c>
      <c r="CQ53" s="47">
        <v>13.02256013451405</v>
      </c>
      <c r="CR53" s="47">
        <v>30.43450800007005</v>
      </c>
      <c r="CS53" s="47">
        <v>106.87727583034651</v>
      </c>
      <c r="CT53" s="47">
        <v>291.78379252958581</v>
      </c>
      <c r="CU53" s="47">
        <v>50.52921301078046</v>
      </c>
      <c r="CV53" s="47">
        <v>41.023726122738793</v>
      </c>
      <c r="CW53" s="47">
        <v>6.7455893045537314</v>
      </c>
      <c r="CX53" s="47">
        <v>17.325122600581391</v>
      </c>
      <c r="CY53" s="47">
        <v>21.462073721368391</v>
      </c>
      <c r="CZ53" s="47">
        <v>10.612851224041551</v>
      </c>
      <c r="DA53" s="47">
        <v>0.86732075279505005</v>
      </c>
      <c r="DB53" s="47">
        <v>13.269711642372361</v>
      </c>
      <c r="DC53" s="47">
        <v>0</v>
      </c>
      <c r="DD53" s="48">
        <v>2004</v>
      </c>
      <c r="DE53" s="47">
        <v>1268</v>
      </c>
      <c r="DF53" s="47">
        <v>0</v>
      </c>
      <c r="DG53" s="47">
        <v>1268</v>
      </c>
      <c r="DH53" s="47">
        <v>0</v>
      </c>
      <c r="DI53" s="47">
        <v>271</v>
      </c>
      <c r="DJ53" s="47">
        <v>-123</v>
      </c>
      <c r="DK53" s="47">
        <v>694</v>
      </c>
      <c r="DL53" s="47">
        <v>2524</v>
      </c>
      <c r="DM53" s="47">
        <v>2666</v>
      </c>
      <c r="DN53" s="47">
        <v>438</v>
      </c>
      <c r="DO53" s="48">
        <v>9742</v>
      </c>
      <c r="DP53" s="47"/>
      <c r="DQ53" s="47"/>
      <c r="DR53" s="47"/>
      <c r="DS53" s="47"/>
    </row>
    <row r="54" spans="1:123" x14ac:dyDescent="0.45">
      <c r="A54" s="6" t="s">
        <v>220</v>
      </c>
      <c r="B54" t="s">
        <v>221</v>
      </c>
      <c r="C54" s="47">
        <v>0</v>
      </c>
      <c r="D54" s="47">
        <v>0</v>
      </c>
      <c r="E54" s="47">
        <v>31.503435639028861</v>
      </c>
      <c r="F54" s="47">
        <v>0</v>
      </c>
      <c r="G54" s="47">
        <v>169.03205063461601</v>
      </c>
      <c r="H54" s="47">
        <v>0</v>
      </c>
      <c r="I54" s="47">
        <v>25.843832516031689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7.829627309740058E-5</v>
      </c>
      <c r="Q54" s="47">
        <v>0</v>
      </c>
      <c r="R54" s="47">
        <v>0</v>
      </c>
      <c r="S54" s="47">
        <v>0</v>
      </c>
      <c r="T54" s="47">
        <v>4.0539725823564446E-3</v>
      </c>
      <c r="U54" s="47">
        <v>8.9622328704712058E-4</v>
      </c>
      <c r="V54" s="47">
        <v>0</v>
      </c>
      <c r="W54" s="47">
        <v>2.7428799590177241E-2</v>
      </c>
      <c r="X54" s="47">
        <v>1.3679042293434959E-4</v>
      </c>
      <c r="Y54" s="47">
        <v>1.1752861434539299E-3</v>
      </c>
      <c r="Z54" s="47">
        <v>0</v>
      </c>
      <c r="AA54" s="47">
        <v>1.8741153135690321E-3</v>
      </c>
      <c r="AB54" s="47">
        <v>9.7676267665125932E-6</v>
      </c>
      <c r="AC54" s="47">
        <v>0</v>
      </c>
      <c r="AD54" s="47">
        <v>1.8816973238869538E-9</v>
      </c>
      <c r="AE54" s="47">
        <v>2.8708633469046879E-4</v>
      </c>
      <c r="AF54" s="47">
        <v>0</v>
      </c>
      <c r="AG54" s="47">
        <v>0</v>
      </c>
      <c r="AH54" s="47">
        <v>1.199214340189916E-2</v>
      </c>
      <c r="AI54" s="47">
        <v>4.1664161085592968E-4</v>
      </c>
      <c r="AJ54" s="47">
        <v>3.6211505562939441E-3</v>
      </c>
      <c r="AK54" s="47">
        <v>2.922403026148527E-3</v>
      </c>
      <c r="AL54" s="47">
        <v>9.0508778899346613E-3</v>
      </c>
      <c r="AM54" s="47">
        <v>5.0113938497590368E-2</v>
      </c>
      <c r="AN54" s="47">
        <v>1.519723974775943</v>
      </c>
      <c r="AO54" s="47">
        <v>0.11968811973457839</v>
      </c>
      <c r="AP54" s="47">
        <v>0.13881852573909781</v>
      </c>
      <c r="AQ54" s="47">
        <v>4.1971641213622677</v>
      </c>
      <c r="AR54" s="47">
        <v>1.030855436687649E-2</v>
      </c>
      <c r="AS54" s="47">
        <v>11.105412840796079</v>
      </c>
      <c r="AT54" s="47">
        <v>4.3675581968675948E-3</v>
      </c>
      <c r="AU54" s="47">
        <v>0.62821929451763714</v>
      </c>
      <c r="AV54" s="47">
        <v>0.1245659376985073</v>
      </c>
      <c r="AW54" s="47">
        <v>9.2945559060181315E-2</v>
      </c>
      <c r="AX54" s="47">
        <v>12.472156353928989</v>
      </c>
      <c r="AY54" s="47">
        <v>2.6287506237738512E-2</v>
      </c>
      <c r="AZ54" s="47">
        <v>14.51565577365016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1.4531368802121609</v>
      </c>
      <c r="BH54" s="47">
        <v>2.8026400692585221E-6</v>
      </c>
      <c r="BI54" s="47">
        <v>3.7034511295728851</v>
      </c>
      <c r="BJ54" s="47">
        <v>0.54686814522774674</v>
      </c>
      <c r="BK54" s="47">
        <v>0</v>
      </c>
      <c r="BL54" s="47">
        <v>4.545808891269413</v>
      </c>
      <c r="BM54" s="47">
        <v>86.664125234782901</v>
      </c>
      <c r="BN54" s="47">
        <v>0</v>
      </c>
      <c r="BO54" s="47">
        <v>2.5394562142815911</v>
      </c>
      <c r="BP54" s="47">
        <v>0.27531209282223768</v>
      </c>
      <c r="BQ54" s="47">
        <v>0.1058269800296314</v>
      </c>
      <c r="BR54" s="47">
        <v>2.56108285946098</v>
      </c>
      <c r="BS54" s="47">
        <v>1.157891057840472E-4</v>
      </c>
      <c r="BT54" s="47">
        <v>1.1015094742165271E-6</v>
      </c>
      <c r="BU54" s="47">
        <v>4.4633990646704947E-6</v>
      </c>
      <c r="BV54" s="47">
        <v>1.0505674860380569</v>
      </c>
      <c r="BW54" s="47">
        <v>2.3647493402033929E-2</v>
      </c>
      <c r="BX54" s="47">
        <v>5.0639240898401813E-4</v>
      </c>
      <c r="BY54" s="47">
        <v>0</v>
      </c>
      <c r="BZ54" s="47">
        <v>17.934239641251491</v>
      </c>
      <c r="CA54" s="47">
        <v>0</v>
      </c>
      <c r="CB54" s="47">
        <v>0</v>
      </c>
      <c r="CC54" s="47">
        <v>1.0268947862330859</v>
      </c>
      <c r="CD54" s="47">
        <v>0.10767104271094349</v>
      </c>
      <c r="CE54" s="47">
        <v>0.1076709309796592</v>
      </c>
      <c r="CF54" s="47">
        <v>1.1545344339894939E-3</v>
      </c>
      <c r="CG54" s="47">
        <v>6.1309297532366784</v>
      </c>
      <c r="CH54" s="47">
        <v>1.442128911072353</v>
      </c>
      <c r="CI54" s="47">
        <v>1.2563098172939169E-6</v>
      </c>
      <c r="CJ54" s="47">
        <v>0.50940915279117405</v>
      </c>
      <c r="CK54" s="47">
        <v>0</v>
      </c>
      <c r="CL54" s="47">
        <v>0.61814755993179638</v>
      </c>
      <c r="CM54" s="47">
        <v>0</v>
      </c>
      <c r="CN54" s="47">
        <v>0</v>
      </c>
      <c r="CO54" s="47">
        <v>0</v>
      </c>
      <c r="CP54" s="47">
        <v>0</v>
      </c>
      <c r="CQ54" s="47">
        <v>0.73452690716957991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0.46862116353641781</v>
      </c>
      <c r="CZ54" s="47">
        <v>0</v>
      </c>
      <c r="DA54" s="47">
        <v>0</v>
      </c>
      <c r="DB54" s="47">
        <v>0</v>
      </c>
      <c r="DC54" s="47">
        <v>0</v>
      </c>
      <c r="DD54" s="48">
        <v>404</v>
      </c>
      <c r="DE54" s="47">
        <v>204</v>
      </c>
      <c r="DF54" s="47">
        <v>0</v>
      </c>
      <c r="DG54" s="47">
        <v>204</v>
      </c>
      <c r="DH54" s="47">
        <v>0</v>
      </c>
      <c r="DI54" s="47">
        <v>0</v>
      </c>
      <c r="DJ54" s="47">
        <v>0</v>
      </c>
      <c r="DK54" s="47">
        <v>0</v>
      </c>
      <c r="DL54" s="47">
        <v>0</v>
      </c>
      <c r="DM54" s="47">
        <v>0</v>
      </c>
      <c r="DN54" s="47">
        <v>184</v>
      </c>
      <c r="DO54" s="48">
        <v>792</v>
      </c>
      <c r="DP54" s="47"/>
      <c r="DQ54" s="47"/>
      <c r="DR54" s="47"/>
      <c r="DS54" s="47"/>
    </row>
    <row r="55" spans="1:123" x14ac:dyDescent="0.45">
      <c r="A55" s="6" t="s">
        <v>222</v>
      </c>
      <c r="B55" t="s">
        <v>223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0.18651427201913881</v>
      </c>
      <c r="U55" s="47">
        <v>3.7182581525600729E-4</v>
      </c>
      <c r="V55" s="47">
        <v>4.0792064494557349E-2</v>
      </c>
      <c r="W55" s="47">
        <v>1.2895899434989279E-3</v>
      </c>
      <c r="X55" s="47">
        <v>1.4467244526145671E-3</v>
      </c>
      <c r="Y55" s="47">
        <v>0.1438273008049776</v>
      </c>
      <c r="Z55" s="47">
        <v>0</v>
      </c>
      <c r="AA55" s="47">
        <v>2.8025428587901969E-4</v>
      </c>
      <c r="AB55" s="47">
        <v>1.31626763528564E-4</v>
      </c>
      <c r="AC55" s="47">
        <v>0.85663335438570432</v>
      </c>
      <c r="AD55" s="47">
        <v>3.7778233819384701E-8</v>
      </c>
      <c r="AE55" s="47">
        <v>0</v>
      </c>
      <c r="AF55" s="47">
        <v>0</v>
      </c>
      <c r="AG55" s="47">
        <v>0</v>
      </c>
      <c r="AH55" s="47">
        <v>2.587987396679456</v>
      </c>
      <c r="AI55" s="47">
        <v>9.212805215550841E-5</v>
      </c>
      <c r="AJ55" s="47">
        <v>1.332705748840211</v>
      </c>
      <c r="AK55" s="47">
        <v>0.5982685853178844</v>
      </c>
      <c r="AL55" s="47">
        <v>2.013984623511289</v>
      </c>
      <c r="AM55" s="47">
        <v>0.99857530560184882</v>
      </c>
      <c r="AN55" s="47">
        <v>2.5002875714530539</v>
      </c>
      <c r="AO55" s="47">
        <v>0.83136137689583134</v>
      </c>
      <c r="AP55" s="47">
        <v>1.0693566523870841</v>
      </c>
      <c r="AQ55" s="47">
        <v>8.294569039989053</v>
      </c>
      <c r="AR55" s="47">
        <v>0.22618839140101321</v>
      </c>
      <c r="AS55" s="47">
        <v>0.1226179238729377</v>
      </c>
      <c r="AT55" s="47">
        <v>305.47464367660228</v>
      </c>
      <c r="AU55" s="47">
        <v>3.3064173395665107E-2</v>
      </c>
      <c r="AV55" s="47">
        <v>0.29766252202247862</v>
      </c>
      <c r="AW55" s="47">
        <v>0.1953559216901587</v>
      </c>
      <c r="AX55" s="47">
        <v>0</v>
      </c>
      <c r="AY55" s="47">
        <v>273.59527870774662</v>
      </c>
      <c r="AZ55" s="47">
        <v>1.178513102881011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0.15947754705432371</v>
      </c>
      <c r="BH55" s="47">
        <v>0</v>
      </c>
      <c r="BI55" s="47">
        <v>6.7888652448999034</v>
      </c>
      <c r="BJ55" s="47">
        <v>4.0004866362207077</v>
      </c>
      <c r="BK55" s="47">
        <v>0</v>
      </c>
      <c r="BL55" s="47">
        <v>3.23209538710671</v>
      </c>
      <c r="BM55" s="47">
        <v>0</v>
      </c>
      <c r="BN55" s="47">
        <v>2135.6067230665572</v>
      </c>
      <c r="BO55" s="47">
        <v>0</v>
      </c>
      <c r="BP55" s="47">
        <v>0</v>
      </c>
      <c r="BQ55" s="47">
        <v>0</v>
      </c>
      <c r="BR55" s="47">
        <v>15.435692609942301</v>
      </c>
      <c r="BS55" s="47">
        <v>0</v>
      </c>
      <c r="BT55" s="47">
        <v>0</v>
      </c>
      <c r="BU55" s="47">
        <v>0</v>
      </c>
      <c r="BV55" s="47">
        <v>15.900402783713689</v>
      </c>
      <c r="BW55" s="47">
        <v>5.4389419326076459E-2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19.509789848405461</v>
      </c>
      <c r="CD55" s="47">
        <v>0.60446459803545072</v>
      </c>
      <c r="CE55" s="47">
        <v>0.27211709238048848</v>
      </c>
      <c r="CF55" s="47">
        <v>0</v>
      </c>
      <c r="CG55" s="47">
        <v>7.1488977900290962</v>
      </c>
      <c r="CH55" s="47">
        <v>24.58810096354555</v>
      </c>
      <c r="CI55" s="47">
        <v>0</v>
      </c>
      <c r="CJ55" s="47">
        <v>1.5431920686605889</v>
      </c>
      <c r="CK55" s="47">
        <v>0</v>
      </c>
      <c r="CL55" s="47">
        <v>3.2564991349165169</v>
      </c>
      <c r="CM55" s="47">
        <v>0</v>
      </c>
      <c r="CN55" s="47">
        <v>0</v>
      </c>
      <c r="CO55" s="47">
        <v>0</v>
      </c>
      <c r="CP55" s="47">
        <v>0</v>
      </c>
      <c r="CQ55" s="47">
        <v>2.3170059101228779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8">
        <v>2843</v>
      </c>
      <c r="DE55" s="47">
        <v>125</v>
      </c>
      <c r="DF55" s="47">
        <v>0</v>
      </c>
      <c r="DG55" s="47">
        <v>125</v>
      </c>
      <c r="DH55" s="47">
        <v>0</v>
      </c>
      <c r="DI55" s="47">
        <v>0</v>
      </c>
      <c r="DJ55" s="47">
        <v>0</v>
      </c>
      <c r="DK55" s="47">
        <v>0</v>
      </c>
      <c r="DL55" s="47">
        <v>0</v>
      </c>
      <c r="DM55" s="47">
        <v>0</v>
      </c>
      <c r="DN55" s="47">
        <v>1611</v>
      </c>
      <c r="DO55" s="48">
        <v>4579</v>
      </c>
      <c r="DP55" s="47"/>
      <c r="DQ55" s="47"/>
      <c r="DR55" s="47"/>
      <c r="DS55" s="47"/>
    </row>
    <row r="56" spans="1:123" x14ac:dyDescent="0.45">
      <c r="A56" s="6" t="s">
        <v>224</v>
      </c>
      <c r="B56" t="s">
        <v>225</v>
      </c>
      <c r="C56" s="47">
        <v>47.435682558528228</v>
      </c>
      <c r="D56" s="47">
        <v>1.546972860125261</v>
      </c>
      <c r="E56" s="47">
        <v>17.183692166743011</v>
      </c>
      <c r="F56" s="47">
        <v>35.409836065573771</v>
      </c>
      <c r="G56" s="47">
        <v>589.01040922709876</v>
      </c>
      <c r="H56" s="47">
        <v>143.64004979020149</v>
      </c>
      <c r="I56" s="47">
        <v>124.4596562862707</v>
      </c>
      <c r="J56" s="47">
        <v>217.1990652168935</v>
      </c>
      <c r="K56" s="47">
        <v>109.92096783924799</v>
      </c>
      <c r="L56" s="47">
        <v>12.428570426752071</v>
      </c>
      <c r="M56" s="47">
        <v>109.5578464488547</v>
      </c>
      <c r="N56" s="47">
        <v>50.841537696967677</v>
      </c>
      <c r="O56" s="47">
        <v>128.40647213692651</v>
      </c>
      <c r="P56" s="47">
        <v>108.821765403078</v>
      </c>
      <c r="Q56" s="47">
        <v>74.106965816463656</v>
      </c>
      <c r="R56" s="47">
        <v>167.26923033941119</v>
      </c>
      <c r="S56" s="47">
        <v>119.84947666425001</v>
      </c>
      <c r="T56" s="47">
        <v>72.381126394245911</v>
      </c>
      <c r="U56" s="47">
        <v>33.664310754845161</v>
      </c>
      <c r="V56" s="47">
        <v>0.82332316844646458</v>
      </c>
      <c r="W56" s="47">
        <v>77.886250499807105</v>
      </c>
      <c r="X56" s="47">
        <v>75.97005530933734</v>
      </c>
      <c r="Y56" s="47">
        <v>91.853600473674092</v>
      </c>
      <c r="Z56" s="47">
        <v>197.85699535001061</v>
      </c>
      <c r="AA56" s="47">
        <v>48.527427025227219</v>
      </c>
      <c r="AB56" s="47">
        <v>51.213455506608717</v>
      </c>
      <c r="AC56" s="47">
        <v>56.312419687047893</v>
      </c>
      <c r="AD56" s="47">
        <v>30.614538245543489</v>
      </c>
      <c r="AE56" s="47">
        <v>96.555855773752285</v>
      </c>
      <c r="AF56" s="47">
        <v>54.810919564540448</v>
      </c>
      <c r="AG56" s="47">
        <v>108.9812519027704</v>
      </c>
      <c r="AH56" s="47">
        <v>288.03834252713722</v>
      </c>
      <c r="AI56" s="47">
        <v>228.94796898053289</v>
      </c>
      <c r="AJ56" s="47">
        <v>176.05128739625951</v>
      </c>
      <c r="AK56" s="47">
        <v>219.8836502511416</v>
      </c>
      <c r="AL56" s="47">
        <v>51.059913663374573</v>
      </c>
      <c r="AM56" s="47">
        <v>134.37338395809849</v>
      </c>
      <c r="AN56" s="47">
        <v>368.11784294197679</v>
      </c>
      <c r="AO56" s="47">
        <v>115.1106125334436</v>
      </c>
      <c r="AP56" s="47">
        <v>97.36351036134279</v>
      </c>
      <c r="AQ56" s="47">
        <v>237.45277980128631</v>
      </c>
      <c r="AR56" s="47">
        <v>1119.0794789864269</v>
      </c>
      <c r="AS56" s="47">
        <v>3.0716214555859871</v>
      </c>
      <c r="AT56" s="47">
        <v>307.61211929572619</v>
      </c>
      <c r="AU56" s="47">
        <v>54.721245625111408</v>
      </c>
      <c r="AV56" s="47">
        <v>78.19037539887205</v>
      </c>
      <c r="AW56" s="47">
        <v>93.022231946326585</v>
      </c>
      <c r="AX56" s="47">
        <v>2.5792518371776731</v>
      </c>
      <c r="AY56" s="47">
        <v>1.4954667259605969</v>
      </c>
      <c r="AZ56" s="47">
        <v>685.27871288193955</v>
      </c>
      <c r="BA56" s="47">
        <v>1260.2399061943661</v>
      </c>
      <c r="BB56" s="47">
        <v>1059.4210576194091</v>
      </c>
      <c r="BC56" s="47">
        <v>79.151743165287201</v>
      </c>
      <c r="BD56" s="47">
        <v>11.600717274357439</v>
      </c>
      <c r="BE56" s="47">
        <v>114.7651152774456</v>
      </c>
      <c r="BF56" s="47">
        <v>0</v>
      </c>
      <c r="BG56" s="47">
        <v>191.0022804645325</v>
      </c>
      <c r="BH56" s="47">
        <v>321.4841502357541</v>
      </c>
      <c r="BI56" s="47">
        <v>877.78281563051746</v>
      </c>
      <c r="BJ56" s="47">
        <v>1158.7700652907661</v>
      </c>
      <c r="BK56" s="47">
        <v>1489.7915326212849</v>
      </c>
      <c r="BL56" s="47">
        <v>204.27266792808919</v>
      </c>
      <c r="BM56" s="47">
        <v>49.655628296098477</v>
      </c>
      <c r="BN56" s="47">
        <v>10.77105637493449</v>
      </c>
      <c r="BO56" s="47">
        <v>574.76358983240004</v>
      </c>
      <c r="BP56" s="47">
        <v>103.8538891765192</v>
      </c>
      <c r="BQ56" s="47">
        <v>64.033988097345926</v>
      </c>
      <c r="BR56" s="47">
        <v>790.26279158663453</v>
      </c>
      <c r="BS56" s="47">
        <v>79.355458344514986</v>
      </c>
      <c r="BT56" s="47">
        <v>108.58257989306659</v>
      </c>
      <c r="BU56" s="47">
        <v>478.94920681722488</v>
      </c>
      <c r="BV56" s="47">
        <v>237.18011576738621</v>
      </c>
      <c r="BW56" s="47">
        <v>84.852519556981207</v>
      </c>
      <c r="BX56" s="47">
        <v>9.7980232709691535</v>
      </c>
      <c r="BY56" s="47">
        <v>1.7279198206197051</v>
      </c>
      <c r="BZ56" s="47">
        <v>17.958316392841009</v>
      </c>
      <c r="CA56" s="47">
        <v>0.83299560959135432</v>
      </c>
      <c r="CB56" s="47">
        <v>0</v>
      </c>
      <c r="CC56" s="47">
        <v>135.21712125626399</v>
      </c>
      <c r="CD56" s="47">
        <v>67.660460711897755</v>
      </c>
      <c r="CE56" s="47">
        <v>52.689623192798393</v>
      </c>
      <c r="CF56" s="47">
        <v>168.9209161416513</v>
      </c>
      <c r="CG56" s="47">
        <v>73.592715350425678</v>
      </c>
      <c r="CH56" s="47">
        <v>225.76137963213569</v>
      </c>
      <c r="CI56" s="47">
        <v>86.513496251421273</v>
      </c>
      <c r="CJ56" s="47">
        <v>125.53081929314379</v>
      </c>
      <c r="CK56" s="47">
        <v>20.370409792442789</v>
      </c>
      <c r="CL56" s="47">
        <v>479.3150586879143</v>
      </c>
      <c r="CM56" s="47">
        <v>13.62065996318861</v>
      </c>
      <c r="CN56" s="47">
        <v>28.78061008059851</v>
      </c>
      <c r="CO56" s="47">
        <v>32.979061154673637</v>
      </c>
      <c r="CP56" s="47">
        <v>60.008772267913358</v>
      </c>
      <c r="CQ56" s="47">
        <v>359.3828362909527</v>
      </c>
      <c r="CR56" s="47">
        <v>0</v>
      </c>
      <c r="CS56" s="47">
        <v>41.843809353275013</v>
      </c>
      <c r="CT56" s="47">
        <v>455.45140337996281</v>
      </c>
      <c r="CU56" s="47">
        <v>409.91013555323082</v>
      </c>
      <c r="CV56" s="47">
        <v>44.205492031719608</v>
      </c>
      <c r="CW56" s="47">
        <v>47.23783396560404</v>
      </c>
      <c r="CX56" s="47">
        <v>160.36610079904401</v>
      </c>
      <c r="CY56" s="47">
        <v>213.89529173608409</v>
      </c>
      <c r="CZ56" s="47">
        <v>32.907360624470783</v>
      </c>
      <c r="DA56" s="47">
        <v>0.1033603083361799</v>
      </c>
      <c r="DB56" s="47">
        <v>89.885618474949126</v>
      </c>
      <c r="DC56" s="47">
        <v>0</v>
      </c>
      <c r="DD56" s="48">
        <v>20123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47">
        <v>0</v>
      </c>
      <c r="DK56" s="47">
        <v>0</v>
      </c>
      <c r="DL56" s="47">
        <v>0</v>
      </c>
      <c r="DM56" s="47">
        <v>0</v>
      </c>
      <c r="DN56" s="47">
        <v>840</v>
      </c>
      <c r="DO56" s="48">
        <v>20963</v>
      </c>
      <c r="DP56" s="47"/>
      <c r="DQ56" s="47"/>
      <c r="DR56" s="47"/>
      <c r="DS56" s="47"/>
    </row>
    <row r="57" spans="1:123" x14ac:dyDescent="0.45">
      <c r="A57" s="6" t="s">
        <v>226</v>
      </c>
      <c r="B57" t="s">
        <v>227</v>
      </c>
      <c r="C57" s="47">
        <v>196.8511933680588</v>
      </c>
      <c r="D57" s="47">
        <v>6.9613778705636742</v>
      </c>
      <c r="E57" s="47">
        <v>39.140632157581308</v>
      </c>
      <c r="F57" s="47">
        <v>2.9508196721311482</v>
      </c>
      <c r="G57" s="47">
        <v>134.66462224242639</v>
      </c>
      <c r="H57" s="47">
        <v>102.7605811488453</v>
      </c>
      <c r="I57" s="47">
        <v>19.609748868255899</v>
      </c>
      <c r="J57" s="47">
        <v>250.1836292982824</v>
      </c>
      <c r="K57" s="47">
        <v>109.7808702074655</v>
      </c>
      <c r="L57" s="47">
        <v>25.703803955777911</v>
      </c>
      <c r="M57" s="47">
        <v>113.12018014156369</v>
      </c>
      <c r="N57" s="47">
        <v>73.998457582779849</v>
      </c>
      <c r="O57" s="47">
        <v>169.5057546401539</v>
      </c>
      <c r="P57" s="47">
        <v>148.73267770199729</v>
      </c>
      <c r="Q57" s="47">
        <v>60.501927140203293</v>
      </c>
      <c r="R57" s="47">
        <v>105.1168176979329</v>
      </c>
      <c r="S57" s="47">
        <v>28.709552381227169</v>
      </c>
      <c r="T57" s="47">
        <v>73.059781411932633</v>
      </c>
      <c r="U57" s="47">
        <v>15.919627649330859</v>
      </c>
      <c r="V57" s="47">
        <v>7.773407711371882</v>
      </c>
      <c r="W57" s="47">
        <v>100.89451240432081</v>
      </c>
      <c r="X57" s="47">
        <v>249.27087361404509</v>
      </c>
      <c r="Y57" s="47">
        <v>149.21616636951279</v>
      </c>
      <c r="Z57" s="47">
        <v>271.08903467569968</v>
      </c>
      <c r="AA57" s="47">
        <v>26.213867718820062</v>
      </c>
      <c r="AB57" s="47">
        <v>47.064932615502407</v>
      </c>
      <c r="AC57" s="47">
        <v>55.265825394933827</v>
      </c>
      <c r="AD57" s="47">
        <v>149.32125516989191</v>
      </c>
      <c r="AE57" s="47">
        <v>232.94935167950419</v>
      </c>
      <c r="AF57" s="47">
        <v>43.617422791877438</v>
      </c>
      <c r="AG57" s="47">
        <v>134.07777757487671</v>
      </c>
      <c r="AH57" s="47">
        <v>436.3636568898732</v>
      </c>
      <c r="AI57" s="47">
        <v>174.45473851405251</v>
      </c>
      <c r="AJ57" s="47">
        <v>131.56562791702891</v>
      </c>
      <c r="AK57" s="47">
        <v>111.3401164893245</v>
      </c>
      <c r="AL57" s="47">
        <v>96.470720906519134</v>
      </c>
      <c r="AM57" s="47">
        <v>21.528055609436841</v>
      </c>
      <c r="AN57" s="47">
        <v>382.98889633779942</v>
      </c>
      <c r="AO57" s="47">
        <v>145.30611020681309</v>
      </c>
      <c r="AP57" s="47">
        <v>69.653090728395327</v>
      </c>
      <c r="AQ57" s="47">
        <v>204.44416367348629</v>
      </c>
      <c r="AR57" s="47">
        <v>313.72451709691751</v>
      </c>
      <c r="AS57" s="47">
        <v>38.579797357070653</v>
      </c>
      <c r="AT57" s="47">
        <v>138.84593223579671</v>
      </c>
      <c r="AU57" s="47">
        <v>14.667189476638169</v>
      </c>
      <c r="AV57" s="47">
        <v>73.483598921567861</v>
      </c>
      <c r="AW57" s="47">
        <v>85.287200202586632</v>
      </c>
      <c r="AX57" s="47">
        <v>2.9085419947278481</v>
      </c>
      <c r="AY57" s="47">
        <v>13.00708228008946</v>
      </c>
      <c r="AZ57" s="47">
        <v>128.76525187897761</v>
      </c>
      <c r="BA57" s="47">
        <v>32509.456932401521</v>
      </c>
      <c r="BB57" s="47">
        <v>8066.4732282649702</v>
      </c>
      <c r="BC57" s="47">
        <v>440.33843324136791</v>
      </c>
      <c r="BD57" s="47">
        <v>99.572823271568041</v>
      </c>
      <c r="BE57" s="47">
        <v>86.538465874822023</v>
      </c>
      <c r="BF57" s="47">
        <v>6.8292682926829258</v>
      </c>
      <c r="BG57" s="47">
        <v>1246.7412039402459</v>
      </c>
      <c r="BH57" s="47">
        <v>314.5280547633846</v>
      </c>
      <c r="BI57" s="47">
        <v>1282.0373099247611</v>
      </c>
      <c r="BJ57" s="47">
        <v>2888.1376140543698</v>
      </c>
      <c r="BK57" s="47">
        <v>304.86462488740199</v>
      </c>
      <c r="BL57" s="47">
        <v>257.14796131392541</v>
      </c>
      <c r="BM57" s="47">
        <v>20.6618430113088</v>
      </c>
      <c r="BN57" s="47">
        <v>22.521299693044849</v>
      </c>
      <c r="BO57" s="47">
        <v>410.54542130885721</v>
      </c>
      <c r="BP57" s="47">
        <v>96.557940191856886</v>
      </c>
      <c r="BQ57" s="47">
        <v>688.17785613449632</v>
      </c>
      <c r="BR57" s="47">
        <v>1508.4371747656901</v>
      </c>
      <c r="BS57" s="47">
        <v>62.431905734715087</v>
      </c>
      <c r="BT57" s="47">
        <v>222.90850964849281</v>
      </c>
      <c r="BU57" s="47">
        <v>464.00917172304298</v>
      </c>
      <c r="BV57" s="47">
        <v>429.96348214915889</v>
      </c>
      <c r="BW57" s="47">
        <v>166.30043447743989</v>
      </c>
      <c r="BX57" s="47">
        <v>375.95475896580501</v>
      </c>
      <c r="BY57" s="47">
        <v>23.326917578366011</v>
      </c>
      <c r="BZ57" s="47">
        <v>426.72289636229328</v>
      </c>
      <c r="CA57" s="47">
        <v>49.979736575481247</v>
      </c>
      <c r="CB57" s="47">
        <v>1179</v>
      </c>
      <c r="CC57" s="47">
        <v>384.2145504283281</v>
      </c>
      <c r="CD57" s="47">
        <v>154.44288564145941</v>
      </c>
      <c r="CE57" s="47">
        <v>81.943594028312347</v>
      </c>
      <c r="CF57" s="47">
        <v>163.87135447852839</v>
      </c>
      <c r="CG57" s="47">
        <v>154.48070162876451</v>
      </c>
      <c r="CH57" s="47">
        <v>238.02140712349001</v>
      </c>
      <c r="CI57" s="47">
        <v>163.91388175164781</v>
      </c>
      <c r="CJ57" s="47">
        <v>299.10807016567702</v>
      </c>
      <c r="CK57" s="47">
        <v>23.28046833422033</v>
      </c>
      <c r="CL57" s="47">
        <v>92.468879761473119</v>
      </c>
      <c r="CM57" s="47">
        <v>128.52331580146699</v>
      </c>
      <c r="CN57" s="47">
        <v>165.9681847981181</v>
      </c>
      <c r="CO57" s="47">
        <v>24.182259308057191</v>
      </c>
      <c r="CP57" s="47">
        <v>125.8024154665674</v>
      </c>
      <c r="CQ57" s="47">
        <v>233.3325199542374</v>
      </c>
      <c r="CR57" s="47">
        <v>649.92400954988295</v>
      </c>
      <c r="CS57" s="47">
        <v>635.75523456745225</v>
      </c>
      <c r="CT57" s="47">
        <v>932.63690041168604</v>
      </c>
      <c r="CU57" s="47">
        <v>364.3452534939367</v>
      </c>
      <c r="CV57" s="47">
        <v>50.971426894814087</v>
      </c>
      <c r="CW57" s="47">
        <v>82.025297350925769</v>
      </c>
      <c r="CX57" s="47">
        <v>54.888697036479442</v>
      </c>
      <c r="CY57" s="47">
        <v>271.73652448233202</v>
      </c>
      <c r="CZ57" s="47">
        <v>91.659372031579707</v>
      </c>
      <c r="DA57" s="47">
        <v>0.19333947593541359</v>
      </c>
      <c r="DB57" s="47">
        <v>93.733415909581495</v>
      </c>
      <c r="DC57" s="47">
        <v>0</v>
      </c>
      <c r="DD57" s="48">
        <v>65039</v>
      </c>
      <c r="DE57" s="47">
        <v>15842</v>
      </c>
      <c r="DF57" s="47">
        <v>0</v>
      </c>
      <c r="DG57" s="47">
        <v>15842</v>
      </c>
      <c r="DH57" s="47">
        <v>0</v>
      </c>
      <c r="DI57" s="47">
        <v>0</v>
      </c>
      <c r="DJ57" s="47">
        <v>-87</v>
      </c>
      <c r="DK57" s="47">
        <v>0</v>
      </c>
      <c r="DL57" s="47">
        <v>137</v>
      </c>
      <c r="DM57" s="47">
        <v>0</v>
      </c>
      <c r="DN57" s="47">
        <v>89</v>
      </c>
      <c r="DO57" s="48">
        <v>81020</v>
      </c>
      <c r="DP57" s="47"/>
      <c r="DQ57" s="47"/>
      <c r="DR57" s="47"/>
      <c r="DS57" s="47"/>
    </row>
    <row r="58" spans="1:123" x14ac:dyDescent="0.45">
      <c r="A58" s="6" t="s">
        <v>228</v>
      </c>
      <c r="B58" t="s">
        <v>229</v>
      </c>
      <c r="C58" s="47">
        <v>0.91931627104651792</v>
      </c>
      <c r="D58" s="47">
        <v>0</v>
      </c>
      <c r="E58" s="47">
        <v>0</v>
      </c>
      <c r="F58" s="47">
        <v>0</v>
      </c>
      <c r="G58" s="47">
        <v>26.091519310860019</v>
      </c>
      <c r="H58" s="47">
        <v>16.324978112942588</v>
      </c>
      <c r="I58" s="47">
        <v>0.86660713124634425</v>
      </c>
      <c r="J58" s="47">
        <v>67.113578626620935</v>
      </c>
      <c r="K58" s="47">
        <v>43.464184643378573</v>
      </c>
      <c r="L58" s="47">
        <v>20.38552177627367</v>
      </c>
      <c r="M58" s="47">
        <v>30.105930451100541</v>
      </c>
      <c r="N58" s="47">
        <v>33.493920615729948</v>
      </c>
      <c r="O58" s="47">
        <v>69.443598436206642</v>
      </c>
      <c r="P58" s="47">
        <v>133.63350357199039</v>
      </c>
      <c r="Q58" s="47">
        <v>12.693365900237319</v>
      </c>
      <c r="R58" s="47">
        <v>91.895246049893629</v>
      </c>
      <c r="S58" s="47">
        <v>18.505339447848481</v>
      </c>
      <c r="T58" s="47">
        <v>22.558406110679059</v>
      </c>
      <c r="U58" s="47">
        <v>7.6834929640943441</v>
      </c>
      <c r="V58" s="47">
        <v>3.8176038117990299</v>
      </c>
      <c r="W58" s="47">
        <v>28.621341278843619</v>
      </c>
      <c r="X58" s="47">
        <v>131.68164803395601</v>
      </c>
      <c r="Y58" s="47">
        <v>12.577331470327371</v>
      </c>
      <c r="Z58" s="47">
        <v>18.578490238302329</v>
      </c>
      <c r="AA58" s="47">
        <v>8.4718668598616986</v>
      </c>
      <c r="AB58" s="47">
        <v>23.76006932377987</v>
      </c>
      <c r="AC58" s="47">
        <v>36.976184129675097</v>
      </c>
      <c r="AD58" s="47">
        <v>154.95674263119659</v>
      </c>
      <c r="AE58" s="47">
        <v>200.9893464012905</v>
      </c>
      <c r="AF58" s="47">
        <v>49.68326988920029</v>
      </c>
      <c r="AG58" s="47">
        <v>70.401864116895752</v>
      </c>
      <c r="AH58" s="47">
        <v>120.11216781807261</v>
      </c>
      <c r="AI58" s="47">
        <v>47.162383804130052</v>
      </c>
      <c r="AJ58" s="47">
        <v>67.951593092557374</v>
      </c>
      <c r="AK58" s="47">
        <v>96.496437917987066</v>
      </c>
      <c r="AL58" s="47">
        <v>44.436994096463494</v>
      </c>
      <c r="AM58" s="47">
        <v>6.2579374167759658</v>
      </c>
      <c r="AN58" s="47">
        <v>152.376892036539</v>
      </c>
      <c r="AO58" s="47">
        <v>22.967061722132769</v>
      </c>
      <c r="AP58" s="47">
        <v>19.58219393175423</v>
      </c>
      <c r="AQ58" s="47">
        <v>89.957838409189065</v>
      </c>
      <c r="AR58" s="47">
        <v>83.565483146226455</v>
      </c>
      <c r="AS58" s="47">
        <v>4.7357809471049048</v>
      </c>
      <c r="AT58" s="47">
        <v>46.016395881113631</v>
      </c>
      <c r="AU58" s="47">
        <v>2.4019797988314231</v>
      </c>
      <c r="AV58" s="47">
        <v>9.1771017823333398</v>
      </c>
      <c r="AW58" s="47">
        <v>16.43193240212177</v>
      </c>
      <c r="AX58" s="47">
        <v>1.4818066929659091</v>
      </c>
      <c r="AY58" s="47">
        <v>3.206692077268106</v>
      </c>
      <c r="AZ58" s="47">
        <v>56.046546036232087</v>
      </c>
      <c r="BA58" s="47">
        <v>9551.3976930565077</v>
      </c>
      <c r="BB58" s="47">
        <v>12218.7853211153</v>
      </c>
      <c r="BC58" s="47">
        <v>3.6391606053005612</v>
      </c>
      <c r="BD58" s="47">
        <v>0</v>
      </c>
      <c r="BE58" s="47">
        <v>14.57608194245244</v>
      </c>
      <c r="BF58" s="47">
        <v>0</v>
      </c>
      <c r="BG58" s="47">
        <v>553.48170173372057</v>
      </c>
      <c r="BH58" s="47">
        <v>94.755893511435474</v>
      </c>
      <c r="BI58" s="47">
        <v>179.13384940372219</v>
      </c>
      <c r="BJ58" s="47">
        <v>288.17777736634008</v>
      </c>
      <c r="BK58" s="47">
        <v>2.9598507270621548</v>
      </c>
      <c r="BL58" s="47">
        <v>63.737742336719968</v>
      </c>
      <c r="BM58" s="47">
        <v>0</v>
      </c>
      <c r="BN58" s="47">
        <v>16.646178033989671</v>
      </c>
      <c r="BO58" s="47">
        <v>51.63560969039235</v>
      </c>
      <c r="BP58" s="47">
        <v>28.979460280622291</v>
      </c>
      <c r="BQ58" s="47">
        <v>145.5636054711282</v>
      </c>
      <c r="BR58" s="47">
        <v>540.85994432127768</v>
      </c>
      <c r="BS58" s="47">
        <v>7.2408737115572972</v>
      </c>
      <c r="BT58" s="47">
        <v>43.489729163668301</v>
      </c>
      <c r="BU58" s="47">
        <v>15.19737889147131</v>
      </c>
      <c r="BV58" s="47">
        <v>83.786505369841464</v>
      </c>
      <c r="BW58" s="47">
        <v>9.3682856812201258</v>
      </c>
      <c r="BX58" s="47">
        <v>78.055329134678487</v>
      </c>
      <c r="BY58" s="47">
        <v>5.1837594618591138</v>
      </c>
      <c r="BZ58" s="47">
        <v>40.997670807291229</v>
      </c>
      <c r="CA58" s="47">
        <v>9.9959473150962523</v>
      </c>
      <c r="CB58" s="47">
        <v>0</v>
      </c>
      <c r="CC58" s="47">
        <v>232.6926753582984</v>
      </c>
      <c r="CD58" s="47">
        <v>65.996714926659124</v>
      </c>
      <c r="CE58" s="47">
        <v>24.138852522022258</v>
      </c>
      <c r="CF58" s="47">
        <v>41.707571625995953</v>
      </c>
      <c r="CG58" s="47">
        <v>43.343259721703411</v>
      </c>
      <c r="CH58" s="47">
        <v>90.303723838963606</v>
      </c>
      <c r="CI58" s="47">
        <v>37.408689629954729</v>
      </c>
      <c r="CJ58" s="47">
        <v>34.893682457337043</v>
      </c>
      <c r="CK58" s="47">
        <v>5.8201170835550817</v>
      </c>
      <c r="CL58" s="47">
        <v>39.606677723495643</v>
      </c>
      <c r="CM58" s="47">
        <v>19.190749195181649</v>
      </c>
      <c r="CN58" s="47">
        <v>21.105780725772242</v>
      </c>
      <c r="CO58" s="47">
        <v>2.5026050516132341</v>
      </c>
      <c r="CP58" s="47">
        <v>16.464321881268731</v>
      </c>
      <c r="CQ58" s="47">
        <v>55.904897943099989</v>
      </c>
      <c r="CR58" s="47">
        <v>347.54244619434832</v>
      </c>
      <c r="CS58" s="47">
        <v>397.59443353372041</v>
      </c>
      <c r="CT58" s="47">
        <v>607.24806471621298</v>
      </c>
      <c r="CU58" s="47">
        <v>262.2482280477825</v>
      </c>
      <c r="CV58" s="47">
        <v>8.7603471246958957</v>
      </c>
      <c r="CW58" s="47">
        <v>27.953153968744608</v>
      </c>
      <c r="CX58" s="47">
        <v>61.010013514425182</v>
      </c>
      <c r="CY58" s="47">
        <v>108.6501213997534</v>
      </c>
      <c r="CZ58" s="47">
        <v>53.879282823042367</v>
      </c>
      <c r="DA58" s="47">
        <v>9.9661422501938889E-3</v>
      </c>
      <c r="DB58" s="47">
        <v>47.318787102372987</v>
      </c>
      <c r="DC58" s="47">
        <v>0</v>
      </c>
      <c r="DD58" s="48">
        <v>28927</v>
      </c>
      <c r="DE58" s="47">
        <v>11577</v>
      </c>
      <c r="DF58" s="47">
        <v>0</v>
      </c>
      <c r="DG58" s="47">
        <v>11577</v>
      </c>
      <c r="DH58" s="47">
        <v>0</v>
      </c>
      <c r="DI58" s="47">
        <v>0</v>
      </c>
      <c r="DJ58" s="47">
        <v>87</v>
      </c>
      <c r="DK58" s="47">
        <v>0</v>
      </c>
      <c r="DL58" s="47">
        <v>0</v>
      </c>
      <c r="DM58" s="47">
        <v>0</v>
      </c>
      <c r="DN58" s="47">
        <v>60</v>
      </c>
      <c r="DO58" s="48">
        <v>40651</v>
      </c>
      <c r="DP58" s="47"/>
      <c r="DQ58" s="47"/>
      <c r="DR58" s="47"/>
      <c r="DS58" s="47"/>
    </row>
    <row r="59" spans="1:123" x14ac:dyDescent="0.45">
      <c r="A59" s="6" t="s">
        <v>230</v>
      </c>
      <c r="B59" t="s">
        <v>231</v>
      </c>
      <c r="C59" s="47">
        <v>16.413766529658751</v>
      </c>
      <c r="D59" s="47">
        <v>0.7734864300626304</v>
      </c>
      <c r="E59" s="47">
        <v>2.8639486944571688</v>
      </c>
      <c r="F59" s="47">
        <v>0.98360655737704916</v>
      </c>
      <c r="G59" s="47">
        <v>23.6280730536729</v>
      </c>
      <c r="H59" s="47">
        <v>7.4207689364764988</v>
      </c>
      <c r="I59" s="47">
        <v>4.9319308996241524</v>
      </c>
      <c r="J59" s="47">
        <v>45.92418979970244</v>
      </c>
      <c r="K59" s="47">
        <v>31.818018196233488</v>
      </c>
      <c r="L59" s="47">
        <v>7.3829723817280266</v>
      </c>
      <c r="M59" s="47">
        <v>24.307882677131101</v>
      </c>
      <c r="N59" s="47">
        <v>29.616209757613049</v>
      </c>
      <c r="O59" s="47">
        <v>20.409719764175271</v>
      </c>
      <c r="P59" s="47">
        <v>33.929478044078436</v>
      </c>
      <c r="Q59" s="47">
        <v>7.3214140943709296</v>
      </c>
      <c r="R59" s="47">
        <v>51.106810881781414</v>
      </c>
      <c r="S59" s="47">
        <v>20.872857821857139</v>
      </c>
      <c r="T59" s="47">
        <v>10.311031754667439</v>
      </c>
      <c r="U59" s="47">
        <v>4.2880302025351771</v>
      </c>
      <c r="V59" s="47">
        <v>1.9195282810369461</v>
      </c>
      <c r="W59" s="47">
        <v>8.365741022034582</v>
      </c>
      <c r="X59" s="47">
        <v>33.308221474778627</v>
      </c>
      <c r="Y59" s="47">
        <v>12.92396285115522</v>
      </c>
      <c r="Z59" s="47">
        <v>31.01509748639852</v>
      </c>
      <c r="AA59" s="47">
        <v>4.9699854955346137</v>
      </c>
      <c r="AB59" s="47">
        <v>12.813282111667389</v>
      </c>
      <c r="AC59" s="47">
        <v>27.34863898330757</v>
      </c>
      <c r="AD59" s="47">
        <v>21.358385360445439</v>
      </c>
      <c r="AE59" s="47">
        <v>29.237914386880622</v>
      </c>
      <c r="AF59" s="47">
        <v>14.086163975679099</v>
      </c>
      <c r="AG59" s="47">
        <v>17.269273716011821</v>
      </c>
      <c r="AH59" s="47">
        <v>21.623499737473331</v>
      </c>
      <c r="AI59" s="47">
        <v>16.658994629823379</v>
      </c>
      <c r="AJ59" s="47">
        <v>15.037798864705129</v>
      </c>
      <c r="AK59" s="47">
        <v>18.731230062219591</v>
      </c>
      <c r="AL59" s="47">
        <v>3.419242615708403</v>
      </c>
      <c r="AM59" s="47">
        <v>1.4925056767082181</v>
      </c>
      <c r="AN59" s="47">
        <v>43.791225582778473</v>
      </c>
      <c r="AO59" s="47">
        <v>12.18434131934443</v>
      </c>
      <c r="AP59" s="47">
        <v>7.062632835503825</v>
      </c>
      <c r="AQ59" s="47">
        <v>18.092919462377459</v>
      </c>
      <c r="AR59" s="47">
        <v>19.912425714230508</v>
      </c>
      <c r="AS59" s="47">
        <v>5.1091514761136576</v>
      </c>
      <c r="AT59" s="47">
        <v>13.60413454291688</v>
      </c>
      <c r="AU59" s="47">
        <v>1.976449897845225</v>
      </c>
      <c r="AV59" s="47">
        <v>6.1132766452011982</v>
      </c>
      <c r="AW59" s="47">
        <v>14.59798513063391</v>
      </c>
      <c r="AX59" s="47">
        <v>0.62534260152326837</v>
      </c>
      <c r="AY59" s="47">
        <v>1.912403873831525</v>
      </c>
      <c r="AZ59" s="47">
        <v>11.24191660821897</v>
      </c>
      <c r="BA59" s="47">
        <v>74.056902987182369</v>
      </c>
      <c r="BB59" s="47">
        <v>16.306050200619261</v>
      </c>
      <c r="BC59" s="47">
        <v>868.8495945155089</v>
      </c>
      <c r="BD59" s="47">
        <v>364.45586770272962</v>
      </c>
      <c r="BE59" s="47">
        <v>161.21567601710831</v>
      </c>
      <c r="BF59" s="47">
        <v>0.97560975609756095</v>
      </c>
      <c r="BG59" s="47">
        <v>222.51407732687289</v>
      </c>
      <c r="BH59" s="47">
        <v>73.367232289676707</v>
      </c>
      <c r="BI59" s="47">
        <v>189.64814298800471</v>
      </c>
      <c r="BJ59" s="47">
        <v>290.2569563362627</v>
      </c>
      <c r="BK59" s="47">
        <v>11.839402908248619</v>
      </c>
      <c r="BL59" s="47">
        <v>31.731346842494691</v>
      </c>
      <c r="BM59" s="47">
        <v>10.70437877605214</v>
      </c>
      <c r="BN59" s="47">
        <v>3.916747772703451</v>
      </c>
      <c r="BO59" s="47">
        <v>52.482095095152879</v>
      </c>
      <c r="BP59" s="47">
        <v>31.976972340664091</v>
      </c>
      <c r="BQ59" s="47">
        <v>234.1327351539592</v>
      </c>
      <c r="BR59" s="47">
        <v>367.53486978485449</v>
      </c>
      <c r="BS59" s="47">
        <v>4.7523789823290397</v>
      </c>
      <c r="BT59" s="47">
        <v>10.209408306787831</v>
      </c>
      <c r="BU59" s="47">
        <v>13.442054814495799</v>
      </c>
      <c r="BV59" s="47">
        <v>52.742881113797083</v>
      </c>
      <c r="BW59" s="47">
        <v>6.6755990600522823</v>
      </c>
      <c r="BX59" s="47">
        <v>2.585032900751338</v>
      </c>
      <c r="BY59" s="47">
        <v>103.67518923718229</v>
      </c>
      <c r="BZ59" s="47">
        <v>9.0532052815869915E-2</v>
      </c>
      <c r="CA59" s="47">
        <v>19.158899020601151</v>
      </c>
      <c r="CB59" s="47">
        <v>0</v>
      </c>
      <c r="CC59" s="47">
        <v>168.23121080722819</v>
      </c>
      <c r="CD59" s="47">
        <v>35.62195103986484</v>
      </c>
      <c r="CE59" s="47">
        <v>19.436438562963222</v>
      </c>
      <c r="CF59" s="47">
        <v>38.797147083835512</v>
      </c>
      <c r="CG59" s="47">
        <v>36.018572380213442</v>
      </c>
      <c r="CH59" s="47">
        <v>41.674204192907673</v>
      </c>
      <c r="CI59" s="47">
        <v>46.891162749842088</v>
      </c>
      <c r="CJ59" s="47">
        <v>28.023017904899909</v>
      </c>
      <c r="CK59" s="47">
        <v>5.8201170835550817</v>
      </c>
      <c r="CL59" s="47">
        <v>35.805638022113193</v>
      </c>
      <c r="CM59" s="47">
        <v>5.9475919852962669</v>
      </c>
      <c r="CN59" s="47">
        <v>8.6341830241795545</v>
      </c>
      <c r="CO59" s="47">
        <v>8.5528770663829849</v>
      </c>
      <c r="CP59" s="47">
        <v>37.072922870757147</v>
      </c>
      <c r="CQ59" s="47">
        <v>54.790589219049558</v>
      </c>
      <c r="CR59" s="47">
        <v>329.87079638785599</v>
      </c>
      <c r="CS59" s="47">
        <v>220.18219727960749</v>
      </c>
      <c r="CT59" s="47">
        <v>179.4522707970709</v>
      </c>
      <c r="CU59" s="47">
        <v>232.14803039120471</v>
      </c>
      <c r="CV59" s="47">
        <v>19.262027609924051</v>
      </c>
      <c r="CW59" s="47">
        <v>22.792827530465338</v>
      </c>
      <c r="CX59" s="47">
        <v>19.72780099736983</v>
      </c>
      <c r="CY59" s="47">
        <v>118.5372526333088</v>
      </c>
      <c r="CZ59" s="47">
        <v>25.001426274302201</v>
      </c>
      <c r="DA59" s="47">
        <v>9.5378343820990263</v>
      </c>
      <c r="DB59" s="47">
        <v>90.765408541406686</v>
      </c>
      <c r="DC59" s="47">
        <v>0</v>
      </c>
      <c r="DD59" s="48">
        <v>5850</v>
      </c>
      <c r="DE59" s="47">
        <v>5032</v>
      </c>
      <c r="DF59" s="47">
        <v>0</v>
      </c>
      <c r="DG59" s="47">
        <v>5032</v>
      </c>
      <c r="DH59" s="47">
        <v>0</v>
      </c>
      <c r="DI59" s="47">
        <v>0</v>
      </c>
      <c r="DJ59" s="47">
        <v>-9</v>
      </c>
      <c r="DK59" s="47">
        <v>0</v>
      </c>
      <c r="DL59" s="47">
        <v>0</v>
      </c>
      <c r="DM59" s="47">
        <v>0</v>
      </c>
      <c r="DN59" s="47">
        <v>9</v>
      </c>
      <c r="DO59" s="48">
        <v>10882</v>
      </c>
      <c r="DP59" s="47"/>
      <c r="DQ59" s="47"/>
      <c r="DR59" s="47"/>
      <c r="DS59" s="47"/>
    </row>
    <row r="60" spans="1:123" x14ac:dyDescent="0.45">
      <c r="A60" s="6" t="s">
        <v>232</v>
      </c>
      <c r="B60" t="s">
        <v>233</v>
      </c>
      <c r="C60" s="47">
        <v>11.85507616656291</v>
      </c>
      <c r="D60" s="47">
        <v>0</v>
      </c>
      <c r="E60" s="47">
        <v>1.909299129638113</v>
      </c>
      <c r="F60" s="47">
        <v>0</v>
      </c>
      <c r="G60" s="47">
        <v>4.2232035599832098</v>
      </c>
      <c r="H60" s="47">
        <v>0.66943056263141809</v>
      </c>
      <c r="I60" s="47">
        <v>1.6742268973723351</v>
      </c>
      <c r="J60" s="47">
        <v>39.762066631398852</v>
      </c>
      <c r="K60" s="47">
        <v>18.29598652765532</v>
      </c>
      <c r="L60" s="47">
        <v>4.1609857703352553</v>
      </c>
      <c r="M60" s="47">
        <v>7.7961198070513813</v>
      </c>
      <c r="N60" s="47">
        <v>7.2260523317549357</v>
      </c>
      <c r="O60" s="47">
        <v>6.4098224842125404</v>
      </c>
      <c r="P60" s="47">
        <v>25.94154520830876</v>
      </c>
      <c r="Q60" s="47">
        <v>2.0277709199137468</v>
      </c>
      <c r="R60" s="47">
        <v>17.35557259061407</v>
      </c>
      <c r="S60" s="47">
        <v>0.9045795606406174</v>
      </c>
      <c r="T60" s="47">
        <v>5.600674218904885</v>
      </c>
      <c r="U60" s="47">
        <v>0.36420842236392931</v>
      </c>
      <c r="V60" s="47">
        <v>3.6431280061600062</v>
      </c>
      <c r="W60" s="47">
        <v>9.4773775115825701E-2</v>
      </c>
      <c r="X60" s="47">
        <v>16.443831996148209</v>
      </c>
      <c r="Y60" s="47">
        <v>2.6843183469726219</v>
      </c>
      <c r="Z60" s="47">
        <v>9.0355445313481848</v>
      </c>
      <c r="AA60" s="47">
        <v>4.3709773056061536</v>
      </c>
      <c r="AB60" s="47">
        <v>1.711617409326146</v>
      </c>
      <c r="AC60" s="47">
        <v>10.852108838395941</v>
      </c>
      <c r="AD60" s="47">
        <v>1.530739039313683</v>
      </c>
      <c r="AE60" s="47">
        <v>13.19398896643272</v>
      </c>
      <c r="AF60" s="47">
        <v>35.300444797011387</v>
      </c>
      <c r="AG60" s="47">
        <v>40.035944599085731</v>
      </c>
      <c r="AH60" s="47">
        <v>17.900661462831579</v>
      </c>
      <c r="AI60" s="47">
        <v>1.0696849440732361</v>
      </c>
      <c r="AJ60" s="47">
        <v>0.12899447650211021</v>
      </c>
      <c r="AK60" s="47">
        <v>33.793081351278637</v>
      </c>
      <c r="AL60" s="47">
        <v>3.914410525216915</v>
      </c>
      <c r="AM60" s="47">
        <v>9.9616647833310132E-2</v>
      </c>
      <c r="AN60" s="47">
        <v>56.61151713406764</v>
      </c>
      <c r="AO60" s="47">
        <v>3.1578099989802908</v>
      </c>
      <c r="AP60" s="47">
        <v>1.766686623637838</v>
      </c>
      <c r="AQ60" s="47">
        <v>6.6912935832192293</v>
      </c>
      <c r="AR60" s="47">
        <v>21.61742697153176</v>
      </c>
      <c r="AS60" s="47">
        <v>6.9671970764087083</v>
      </c>
      <c r="AT60" s="47">
        <v>8.5736100641625992</v>
      </c>
      <c r="AU60" s="47">
        <v>8.1958184696148476E-2</v>
      </c>
      <c r="AV60" s="47">
        <v>4.9037208538373562</v>
      </c>
      <c r="AW60" s="47">
        <v>5.1478175077696724</v>
      </c>
      <c r="AX60" s="47">
        <v>0.62559569734321163</v>
      </c>
      <c r="AY60" s="47">
        <v>5.2236345436068463E-2</v>
      </c>
      <c r="AZ60" s="47">
        <v>5.2516904752816567</v>
      </c>
      <c r="BA60" s="47">
        <v>3.932331312347582</v>
      </c>
      <c r="BB60" s="47">
        <v>0.31867174302930312</v>
      </c>
      <c r="BC60" s="47">
        <v>39.12097650698103</v>
      </c>
      <c r="BD60" s="47">
        <v>421.49272763498698</v>
      </c>
      <c r="BE60" s="47">
        <v>1662.2047952375469</v>
      </c>
      <c r="BF60" s="47">
        <v>0</v>
      </c>
      <c r="BG60" s="47">
        <v>265.29595468246038</v>
      </c>
      <c r="BH60" s="47">
        <v>38.123965035333867</v>
      </c>
      <c r="BI60" s="47">
        <v>141.25438606233661</v>
      </c>
      <c r="BJ60" s="47">
        <v>111.83388328862689</v>
      </c>
      <c r="BK60" s="47">
        <v>0.9866169090207183</v>
      </c>
      <c r="BL60" s="47">
        <v>58.173050353618507</v>
      </c>
      <c r="BM60" s="47">
        <v>1.2826385707741641E-2</v>
      </c>
      <c r="BN60" s="47">
        <v>2.9375608295275879</v>
      </c>
      <c r="BO60" s="47">
        <v>26.241047547576439</v>
      </c>
      <c r="BP60" s="47">
        <v>19.374695861417159</v>
      </c>
      <c r="BQ60" s="47">
        <v>65.508971444010669</v>
      </c>
      <c r="BR60" s="47">
        <v>109.9274203685853</v>
      </c>
      <c r="BS60" s="47">
        <v>1.3004023876544339</v>
      </c>
      <c r="BT60" s="47">
        <v>2.523263693519656</v>
      </c>
      <c r="BU60" s="47">
        <v>0.97185325569156222</v>
      </c>
      <c r="BV60" s="47">
        <v>29.482827145687789</v>
      </c>
      <c r="BW60" s="47">
        <v>2.4785817578271732</v>
      </c>
      <c r="BX60" s="47">
        <v>8.2229993929464484</v>
      </c>
      <c r="BY60" s="47">
        <v>6.0477193721689666</v>
      </c>
      <c r="BZ60" s="47">
        <v>15.16539330250688</v>
      </c>
      <c r="CA60" s="47">
        <v>7.4969604863221893</v>
      </c>
      <c r="CB60" s="47">
        <v>3</v>
      </c>
      <c r="CC60" s="47">
        <v>56.616191351576681</v>
      </c>
      <c r="CD60" s="47">
        <v>8.0007935995480377</v>
      </c>
      <c r="CE60" s="47">
        <v>4.1693892831402861</v>
      </c>
      <c r="CF60" s="47">
        <v>14.1656403605524</v>
      </c>
      <c r="CG60" s="47">
        <v>28.118994182793699</v>
      </c>
      <c r="CH60" s="47">
        <v>21.935458034473299</v>
      </c>
      <c r="CI60" s="47">
        <v>5.3577725066158361</v>
      </c>
      <c r="CJ60" s="47">
        <v>34.157928226682529</v>
      </c>
      <c r="CK60" s="47">
        <v>0.97001951392584707</v>
      </c>
      <c r="CL60" s="47">
        <v>23.372068655726331</v>
      </c>
      <c r="CM60" s="47">
        <v>0.31430066406817919</v>
      </c>
      <c r="CN60" s="47">
        <v>1.9187073387065681</v>
      </c>
      <c r="CO60" s="47">
        <v>2.1070099125578672</v>
      </c>
      <c r="CP60" s="47">
        <v>75.240566296283461</v>
      </c>
      <c r="CQ60" s="47">
        <v>48.400597422720949</v>
      </c>
      <c r="CR60" s="47">
        <v>715.70181716293757</v>
      </c>
      <c r="CS60" s="47">
        <v>54.002226418374441</v>
      </c>
      <c r="CT60" s="47">
        <v>393.31806217623517</v>
      </c>
      <c r="CU60" s="47">
        <v>66.052657106019296</v>
      </c>
      <c r="CV60" s="47">
        <v>0.99923617546169163</v>
      </c>
      <c r="CW60" s="47">
        <v>3.554308611923549</v>
      </c>
      <c r="CX60" s="47">
        <v>15.129861264484109</v>
      </c>
      <c r="CY60" s="47">
        <v>27.59029463750328</v>
      </c>
      <c r="CZ60" s="47">
        <v>0.96810050412730264</v>
      </c>
      <c r="DA60" s="47">
        <v>1.7351516896488099</v>
      </c>
      <c r="DB60" s="47">
        <v>13.24391658210703</v>
      </c>
      <c r="DC60" s="47">
        <v>0</v>
      </c>
      <c r="DD60" s="48">
        <v>5133.9999999999991</v>
      </c>
      <c r="DE60" s="47">
        <v>4583</v>
      </c>
      <c r="DF60" s="47">
        <v>0</v>
      </c>
      <c r="DG60" s="47">
        <v>4583</v>
      </c>
      <c r="DH60" s="47">
        <v>0</v>
      </c>
      <c r="DI60" s="47">
        <v>0</v>
      </c>
      <c r="DJ60" s="47">
        <v>-13</v>
      </c>
      <c r="DK60" s="47">
        <v>0</v>
      </c>
      <c r="DL60" s="47">
        <v>0</v>
      </c>
      <c r="DM60" s="47">
        <v>0</v>
      </c>
      <c r="DN60" s="47">
        <v>0</v>
      </c>
      <c r="DO60" s="48">
        <v>9704</v>
      </c>
      <c r="DP60" s="47"/>
      <c r="DQ60" s="47"/>
      <c r="DR60" s="47"/>
      <c r="DS60" s="47"/>
    </row>
    <row r="61" spans="1:123" x14ac:dyDescent="0.45">
      <c r="A61" s="6" t="s">
        <v>234</v>
      </c>
      <c r="B61" t="s">
        <v>235</v>
      </c>
      <c r="C61" s="47">
        <v>181.3307761983524</v>
      </c>
      <c r="D61" s="47">
        <v>2.3204592901878911</v>
      </c>
      <c r="E61" s="47">
        <v>10.50114521300962</v>
      </c>
      <c r="F61" s="47">
        <v>0</v>
      </c>
      <c r="G61" s="47">
        <v>13.50374908438506</v>
      </c>
      <c r="H61" s="47">
        <v>8.053172105525201</v>
      </c>
      <c r="I61" s="47">
        <v>12.97182864388691</v>
      </c>
      <c r="J61" s="47">
        <v>73.749473518511437</v>
      </c>
      <c r="K61" s="47">
        <v>29.502064831049559</v>
      </c>
      <c r="L61" s="47">
        <v>8.2529566621853956</v>
      </c>
      <c r="M61" s="47">
        <v>30.017438876587011</v>
      </c>
      <c r="N61" s="47">
        <v>6.9729282167627256</v>
      </c>
      <c r="O61" s="47">
        <v>27.543248500127309</v>
      </c>
      <c r="P61" s="47">
        <v>45.532382869466183</v>
      </c>
      <c r="Q61" s="47">
        <v>10.131665436946429</v>
      </c>
      <c r="R61" s="47">
        <v>99.587060342301598</v>
      </c>
      <c r="S61" s="47">
        <v>23.49752555738166</v>
      </c>
      <c r="T61" s="47">
        <v>5.8771811764973263</v>
      </c>
      <c r="U61" s="47">
        <v>3.1099373621288788</v>
      </c>
      <c r="V61" s="47">
        <v>6.3946179563536134</v>
      </c>
      <c r="W61" s="47">
        <v>24.02340383452551</v>
      </c>
      <c r="X61" s="47">
        <v>68.469080720320676</v>
      </c>
      <c r="Y61" s="47">
        <v>11.27773510470646</v>
      </c>
      <c r="Z61" s="47">
        <v>92.893140281030369</v>
      </c>
      <c r="AA61" s="47">
        <v>9.4640316671630291</v>
      </c>
      <c r="AB61" s="47">
        <v>13.842334171842371</v>
      </c>
      <c r="AC61" s="47">
        <v>0.68801216939227328</v>
      </c>
      <c r="AD61" s="47">
        <v>1.220877070839725</v>
      </c>
      <c r="AE61" s="47">
        <v>34.262553578597888</v>
      </c>
      <c r="AF61" s="47">
        <v>3.034464716119941</v>
      </c>
      <c r="AG61" s="47">
        <v>0.84761655156722304</v>
      </c>
      <c r="AH61" s="47">
        <v>17.518148631748439</v>
      </c>
      <c r="AI61" s="47">
        <v>16.11994171394036</v>
      </c>
      <c r="AJ61" s="47">
        <v>2.3918575334643459</v>
      </c>
      <c r="AK61" s="47">
        <v>260.25821889789859</v>
      </c>
      <c r="AL61" s="47">
        <v>5.2622959405632086</v>
      </c>
      <c r="AM61" s="47">
        <v>4.543977133564967</v>
      </c>
      <c r="AN61" s="47">
        <v>31.438284337741809</v>
      </c>
      <c r="AO61" s="47">
        <v>6.6150331297897562</v>
      </c>
      <c r="AP61" s="47">
        <v>5.7616044087249403</v>
      </c>
      <c r="AQ61" s="47">
        <v>36.632601262643107</v>
      </c>
      <c r="AR61" s="47">
        <v>35.016053188623239</v>
      </c>
      <c r="AS61" s="47">
        <v>20.829227150478509</v>
      </c>
      <c r="AT61" s="47">
        <v>9.298779735780931</v>
      </c>
      <c r="AU61" s="47">
        <v>4.866766519062903</v>
      </c>
      <c r="AV61" s="47">
        <v>9.7220914432868888</v>
      </c>
      <c r="AW61" s="47">
        <v>1.766262514023998</v>
      </c>
      <c r="AX61" s="47">
        <v>1.6851122509946661</v>
      </c>
      <c r="AY61" s="47">
        <v>2.814801387726606</v>
      </c>
      <c r="AZ61" s="47">
        <v>14.38716592668521</v>
      </c>
      <c r="BA61" s="47">
        <v>1.6475897256498671</v>
      </c>
      <c r="BB61" s="47">
        <v>1.2133247820108879</v>
      </c>
      <c r="BC61" s="47">
        <v>70.96363180336094</v>
      </c>
      <c r="BD61" s="47">
        <v>40.60251046025104</v>
      </c>
      <c r="BE61" s="47">
        <v>2154.033745430565</v>
      </c>
      <c r="BF61" s="47">
        <v>9.7560975609756095</v>
      </c>
      <c r="BG61" s="47">
        <v>501.19652885290498</v>
      </c>
      <c r="BH61" s="47">
        <v>97.276681571655743</v>
      </c>
      <c r="BI61" s="47">
        <v>410.18079737042518</v>
      </c>
      <c r="BJ61" s="47">
        <v>442.39046076579388</v>
      </c>
      <c r="BK61" s="47">
        <v>7.8929352721657464</v>
      </c>
      <c r="BL61" s="47">
        <v>204.60974437568751</v>
      </c>
      <c r="BM61" s="47">
        <v>12.698436900245021</v>
      </c>
      <c r="BN61" s="47">
        <v>0.97918694317586275</v>
      </c>
      <c r="BO61" s="47">
        <v>104.1177047855452</v>
      </c>
      <c r="BP61" s="47">
        <v>61.881969758652687</v>
      </c>
      <c r="BQ61" s="47">
        <v>101.7614858761853</v>
      </c>
      <c r="BR61" s="47">
        <v>395.72876304320022</v>
      </c>
      <c r="BS61" s="47">
        <v>10.29390820527817</v>
      </c>
      <c r="BT61" s="47">
        <v>6.0241226566141322</v>
      </c>
      <c r="BU61" s="47">
        <v>8.0565400473735949</v>
      </c>
      <c r="BV61" s="47">
        <v>41.034310501019178</v>
      </c>
      <c r="BW61" s="47">
        <v>6.9576680886501281</v>
      </c>
      <c r="BX61" s="47">
        <v>23.279238904708219</v>
      </c>
      <c r="BY61" s="47">
        <v>6.9116792824788176</v>
      </c>
      <c r="BZ61" s="47">
        <v>80.459475960600997</v>
      </c>
      <c r="CA61" s="47">
        <v>19.158899020601151</v>
      </c>
      <c r="CB61" s="47">
        <v>50</v>
      </c>
      <c r="CC61" s="47">
        <v>138.00227711617109</v>
      </c>
      <c r="CD61" s="47">
        <v>27.93400967325443</v>
      </c>
      <c r="CE61" s="47">
        <v>16.646760236964969</v>
      </c>
      <c r="CF61" s="47">
        <v>5.8153896590125456</v>
      </c>
      <c r="CG61" s="47">
        <v>29.19049560323932</v>
      </c>
      <c r="CH61" s="47">
        <v>35.994598149341513</v>
      </c>
      <c r="CI61" s="47">
        <v>20.925864480268601</v>
      </c>
      <c r="CJ61" s="47">
        <v>28.038585324540229</v>
      </c>
      <c r="CK61" s="47">
        <v>10.67021465318432</v>
      </c>
      <c r="CL61" s="47">
        <v>19.253128386556909</v>
      </c>
      <c r="CM61" s="47">
        <v>5.8747560346173966</v>
      </c>
      <c r="CN61" s="47">
        <v>8.6341830241795545</v>
      </c>
      <c r="CO61" s="47">
        <v>6.9097819411206816</v>
      </c>
      <c r="CP61" s="47">
        <v>122.64304539296209</v>
      </c>
      <c r="CQ61" s="47">
        <v>30.469637088679331</v>
      </c>
      <c r="CR61" s="47">
        <v>1010.229313937809</v>
      </c>
      <c r="CS61" s="47">
        <v>115.8878134999113</v>
      </c>
      <c r="CT61" s="47">
        <v>762.00478600959309</v>
      </c>
      <c r="CU61" s="47">
        <v>115.6700531885643</v>
      </c>
      <c r="CV61" s="47">
        <v>5.8492538371794076</v>
      </c>
      <c r="CW61" s="47">
        <v>26.53904713400755</v>
      </c>
      <c r="CX61" s="47">
        <v>55.670429436294533</v>
      </c>
      <c r="CY61" s="47">
        <v>78.523100693382318</v>
      </c>
      <c r="CZ61" s="47">
        <v>17.284820046785061</v>
      </c>
      <c r="DA61" s="47">
        <v>5.2046176138957279</v>
      </c>
      <c r="DB61" s="47">
        <v>65.225515078214698</v>
      </c>
      <c r="DC61" s="47">
        <v>0</v>
      </c>
      <c r="DD61" s="48">
        <v>8982</v>
      </c>
      <c r="DE61" s="47">
        <v>6936</v>
      </c>
      <c r="DF61" s="47">
        <v>6781</v>
      </c>
      <c r="DG61" s="47">
        <v>155</v>
      </c>
      <c r="DH61" s="47">
        <v>0</v>
      </c>
      <c r="DI61" s="47">
        <v>0</v>
      </c>
      <c r="DJ61" s="47">
        <v>292</v>
      </c>
      <c r="DK61" s="47">
        <v>0</v>
      </c>
      <c r="DL61" s="47">
        <v>1472</v>
      </c>
      <c r="DM61" s="47">
        <v>3488</v>
      </c>
      <c r="DN61" s="47">
        <v>115</v>
      </c>
      <c r="DO61" s="48">
        <v>21285</v>
      </c>
      <c r="DP61" s="47"/>
      <c r="DQ61" s="47"/>
      <c r="DR61" s="47"/>
      <c r="DS61" s="47"/>
    </row>
    <row r="62" spans="1:123" x14ac:dyDescent="0.45">
      <c r="A62" s="6" t="s">
        <v>236</v>
      </c>
      <c r="B62" t="s">
        <v>237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0</v>
      </c>
      <c r="AE62" s="47">
        <v>0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5.9219504282598434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47">
        <v>0</v>
      </c>
      <c r="BD62" s="47">
        <v>0</v>
      </c>
      <c r="BE62" s="47">
        <v>263.21984419142188</v>
      </c>
      <c r="BF62" s="47">
        <v>78.048780487804876</v>
      </c>
      <c r="BG62" s="47">
        <v>1.868659642418915</v>
      </c>
      <c r="BH62" s="47">
        <v>1.1010743608117971E-4</v>
      </c>
      <c r="BI62" s="47">
        <v>3.803151845293157</v>
      </c>
      <c r="BJ62" s="47">
        <v>0.13946688214348271</v>
      </c>
      <c r="BK62" s="47">
        <v>0</v>
      </c>
      <c r="BL62" s="47">
        <v>4.2061792117858907</v>
      </c>
      <c r="BM62" s="47">
        <v>0</v>
      </c>
      <c r="BN62" s="47">
        <v>0</v>
      </c>
      <c r="BO62" s="47">
        <v>0</v>
      </c>
      <c r="BP62" s="47">
        <v>1.3336182299410291E-4</v>
      </c>
      <c r="BQ62" s="47">
        <v>0.91781815224096608</v>
      </c>
      <c r="BR62" s="47">
        <v>1.949294472482797</v>
      </c>
      <c r="BS62" s="47">
        <v>2.083703653551159E-2</v>
      </c>
      <c r="BT62" s="47">
        <v>1.6077531084054311</v>
      </c>
      <c r="BU62" s="47">
        <v>0</v>
      </c>
      <c r="BV62" s="47">
        <v>4.2231973496372008</v>
      </c>
      <c r="BW62" s="47">
        <v>8.6593613560482841E-2</v>
      </c>
      <c r="BX62" s="47">
        <v>4.7056575004870531E-3</v>
      </c>
      <c r="BY62" s="47">
        <v>0</v>
      </c>
      <c r="BZ62" s="47">
        <v>0</v>
      </c>
      <c r="CA62" s="47">
        <v>0</v>
      </c>
      <c r="CB62" s="47">
        <v>0</v>
      </c>
      <c r="CC62" s="47">
        <v>23.97630748125362</v>
      </c>
      <c r="CD62" s="47">
        <v>0.44559855860476189</v>
      </c>
      <c r="CE62" s="47">
        <v>0.47007961647119262</v>
      </c>
      <c r="CF62" s="47">
        <v>3.7894167005007441E-3</v>
      </c>
      <c r="CG62" s="47">
        <v>0.90358902951653541</v>
      </c>
      <c r="CH62" s="47">
        <v>5.7500487613007314</v>
      </c>
      <c r="CI62" s="47">
        <v>0.60200973043090122</v>
      </c>
      <c r="CJ62" s="47">
        <v>0.6423415149127113</v>
      </c>
      <c r="CK62" s="47">
        <v>0</v>
      </c>
      <c r="CL62" s="47">
        <v>0.42605508982012269</v>
      </c>
      <c r="CM62" s="47">
        <v>1.624035728786033E-2</v>
      </c>
      <c r="CN62" s="47">
        <v>0</v>
      </c>
      <c r="CO62" s="47">
        <v>2.165380971714711E-3</v>
      </c>
      <c r="CP62" s="47">
        <v>3.428519871881626E-3</v>
      </c>
      <c r="CQ62" s="47">
        <v>1.2512872453546131</v>
      </c>
      <c r="CR62" s="47">
        <v>327.90727974269021</v>
      </c>
      <c r="CS62" s="47">
        <v>28.24698300137354</v>
      </c>
      <c r="CT62" s="47">
        <v>0</v>
      </c>
      <c r="CU62" s="47">
        <v>0</v>
      </c>
      <c r="CV62" s="47">
        <v>5.4134524292867772E-3</v>
      </c>
      <c r="CW62" s="47">
        <v>1.9672673169118859E-2</v>
      </c>
      <c r="CX62" s="47">
        <v>6.0991564036631023E-2</v>
      </c>
      <c r="CY62" s="47">
        <v>3.2444624892858749</v>
      </c>
      <c r="CZ62" s="47">
        <v>0</v>
      </c>
      <c r="DA62" s="47">
        <v>0</v>
      </c>
      <c r="DB62" s="47">
        <v>3.7808257681219292E-3</v>
      </c>
      <c r="DC62" s="47">
        <v>0</v>
      </c>
      <c r="DD62" s="48">
        <v>760</v>
      </c>
      <c r="DE62" s="47">
        <v>0</v>
      </c>
      <c r="DF62" s="47">
        <v>0</v>
      </c>
      <c r="DG62" s="47">
        <v>0</v>
      </c>
      <c r="DH62" s="47">
        <v>0</v>
      </c>
      <c r="DI62" s="47">
        <v>0</v>
      </c>
      <c r="DJ62" s="47">
        <v>0</v>
      </c>
      <c r="DK62" s="47">
        <v>0</v>
      </c>
      <c r="DL62" s="47">
        <v>0</v>
      </c>
      <c r="DM62" s="47">
        <v>0</v>
      </c>
      <c r="DN62" s="47">
        <v>0</v>
      </c>
      <c r="DO62" s="48">
        <v>760</v>
      </c>
      <c r="DP62" s="47"/>
      <c r="DQ62" s="47"/>
      <c r="DR62" s="47"/>
      <c r="DS62" s="47"/>
    </row>
    <row r="63" spans="1:123" x14ac:dyDescent="0.45">
      <c r="A63" s="6" t="s">
        <v>238</v>
      </c>
      <c r="B63" t="s">
        <v>239</v>
      </c>
      <c r="C63" s="47">
        <v>276.24350398421228</v>
      </c>
      <c r="D63" s="47">
        <v>40.221294363256781</v>
      </c>
      <c r="E63" s="47">
        <v>0</v>
      </c>
      <c r="F63" s="47">
        <v>2.9508196721311482</v>
      </c>
      <c r="G63" s="47">
        <v>225.94413219942891</v>
      </c>
      <c r="H63" s="47">
        <v>0.53948140326176219</v>
      </c>
      <c r="I63" s="47">
        <v>236.9026788817022</v>
      </c>
      <c r="J63" s="47">
        <v>72.688831653801856</v>
      </c>
      <c r="K63" s="47">
        <v>4.1365774855458186</v>
      </c>
      <c r="L63" s="47">
        <v>3.7719690988077977E-5</v>
      </c>
      <c r="M63" s="47">
        <v>0.16369411552980109</v>
      </c>
      <c r="N63" s="47">
        <v>5.7331278363787409E-2</v>
      </c>
      <c r="O63" s="47">
        <v>0</v>
      </c>
      <c r="P63" s="47">
        <v>7.0147349108270876E-2</v>
      </c>
      <c r="Q63" s="47">
        <v>0.54522813744902876</v>
      </c>
      <c r="R63" s="47">
        <v>0.1234409818607882</v>
      </c>
      <c r="S63" s="47">
        <v>4.5675364351179443E-2</v>
      </c>
      <c r="T63" s="47">
        <v>1.378362596521804</v>
      </c>
      <c r="U63" s="47">
        <v>1.020653275104203</v>
      </c>
      <c r="V63" s="47">
        <v>3.625569449159177</v>
      </c>
      <c r="W63" s="47">
        <v>8.3616227662005471</v>
      </c>
      <c r="X63" s="47">
        <v>2.2093799820996778</v>
      </c>
      <c r="Y63" s="47">
        <v>3.3114011940469692</v>
      </c>
      <c r="Z63" s="47">
        <v>259.52255021379528</v>
      </c>
      <c r="AA63" s="47">
        <v>6.1884125075266372</v>
      </c>
      <c r="AB63" s="47">
        <v>0.47578167100565549</v>
      </c>
      <c r="AC63" s="47">
        <v>2.0038943535483891</v>
      </c>
      <c r="AD63" s="47">
        <v>19.097354687768458</v>
      </c>
      <c r="AE63" s="47">
        <v>48.125373388271953</v>
      </c>
      <c r="AF63" s="47">
        <v>5.8941102148031499</v>
      </c>
      <c r="AG63" s="47">
        <v>1.4138444696094961</v>
      </c>
      <c r="AH63" s="47">
        <v>227.01458208946991</v>
      </c>
      <c r="AI63" s="47">
        <v>107.5716022509901</v>
      </c>
      <c r="AJ63" s="47">
        <v>4.6866977709336171</v>
      </c>
      <c r="AK63" s="47">
        <v>10.20609617155781</v>
      </c>
      <c r="AL63" s="47">
        <v>2.4298884968415342</v>
      </c>
      <c r="AM63" s="47">
        <v>1.4076236195163829</v>
      </c>
      <c r="AN63" s="47">
        <v>272.73977569427859</v>
      </c>
      <c r="AO63" s="47">
        <v>5.7821073568593464</v>
      </c>
      <c r="AP63" s="47">
        <v>8.494815050962174</v>
      </c>
      <c r="AQ63" s="47">
        <v>80.851529589496252</v>
      </c>
      <c r="AR63" s="47">
        <v>159.66556433021529</v>
      </c>
      <c r="AS63" s="47">
        <v>229.4185116335496</v>
      </c>
      <c r="AT63" s="47">
        <v>0.52085279292418751</v>
      </c>
      <c r="AU63" s="47">
        <v>23.178850071805488</v>
      </c>
      <c r="AV63" s="47">
        <v>4.5454017033289089</v>
      </c>
      <c r="AW63" s="47">
        <v>12.268253500455661</v>
      </c>
      <c r="AX63" s="47">
        <v>0.70272556872426273</v>
      </c>
      <c r="AY63" s="47">
        <v>0.72644271764620971</v>
      </c>
      <c r="AZ63" s="47">
        <v>372.020722735302</v>
      </c>
      <c r="BA63" s="47">
        <v>2583.4562366804398</v>
      </c>
      <c r="BB63" s="47">
        <v>960.52184803943828</v>
      </c>
      <c r="BC63" s="47">
        <v>239.27480979851191</v>
      </c>
      <c r="BD63" s="47">
        <v>339.32098027495522</v>
      </c>
      <c r="BE63" s="47">
        <v>190.46351453080601</v>
      </c>
      <c r="BF63" s="47">
        <v>0</v>
      </c>
      <c r="BG63" s="47">
        <v>109577.4034264926</v>
      </c>
      <c r="BH63" s="47">
        <v>247.62528233204509</v>
      </c>
      <c r="BI63" s="47">
        <v>2677.9045370344488</v>
      </c>
      <c r="BJ63" s="47">
        <v>1426.6349727233619</v>
      </c>
      <c r="BK63" s="47">
        <v>0</v>
      </c>
      <c r="BL63" s="47">
        <v>65.758514811665279</v>
      </c>
      <c r="BM63" s="47">
        <v>3.885505162723828</v>
      </c>
      <c r="BN63" s="47">
        <v>0</v>
      </c>
      <c r="BO63" s="47">
        <v>352.98441378514121</v>
      </c>
      <c r="BP63" s="47">
        <v>59.99090538813477</v>
      </c>
      <c r="BQ63" s="47">
        <v>182.37424300301311</v>
      </c>
      <c r="BR63" s="47">
        <v>1524.942650991961</v>
      </c>
      <c r="BS63" s="47">
        <v>1.9716987907524131</v>
      </c>
      <c r="BT63" s="47">
        <v>7.1115131422206002</v>
      </c>
      <c r="BU63" s="47">
        <v>63.534902713801102</v>
      </c>
      <c r="BV63" s="47">
        <v>143.61490291880691</v>
      </c>
      <c r="BW63" s="47">
        <v>29.674700178952151</v>
      </c>
      <c r="BX63" s="47">
        <v>1184.0177133896179</v>
      </c>
      <c r="BY63" s="47">
        <v>628.0988547952627</v>
      </c>
      <c r="BZ63" s="47">
        <v>139.2494294281322</v>
      </c>
      <c r="CA63" s="47">
        <v>298.21242823370483</v>
      </c>
      <c r="CB63" s="47">
        <v>7384.0000000000009</v>
      </c>
      <c r="CC63" s="47">
        <v>12594.00205818953</v>
      </c>
      <c r="CD63" s="47">
        <v>7.6247809937937721</v>
      </c>
      <c r="CE63" s="47">
        <v>21.656015118955612</v>
      </c>
      <c r="CF63" s="47">
        <v>1190.5705537646379</v>
      </c>
      <c r="CG63" s="47">
        <v>710.20412154740575</v>
      </c>
      <c r="CH63" s="47">
        <v>185.57696563422391</v>
      </c>
      <c r="CI63" s="47">
        <v>94.123827750148493</v>
      </c>
      <c r="CJ63" s="47">
        <v>537.05908910024027</v>
      </c>
      <c r="CK63" s="47">
        <v>5.8201170835550817</v>
      </c>
      <c r="CL63" s="47">
        <v>128.67188363233561</v>
      </c>
      <c r="CM63" s="47">
        <v>31.053258871296119</v>
      </c>
      <c r="CN63" s="47">
        <v>18.22771971771239</v>
      </c>
      <c r="CO63" s="47">
        <v>9.0437882572305117</v>
      </c>
      <c r="CP63" s="47">
        <v>468.08733195575297</v>
      </c>
      <c r="CQ63" s="47">
        <v>178.61440399109691</v>
      </c>
      <c r="CR63" s="47">
        <v>4978.4964538179102</v>
      </c>
      <c r="CS63" s="47">
        <v>617.89287806802554</v>
      </c>
      <c r="CT63" s="47">
        <v>1060.6735160872779</v>
      </c>
      <c r="CU63" s="47">
        <v>299.4374103877708</v>
      </c>
      <c r="CV63" s="47">
        <v>53.519818869568361</v>
      </c>
      <c r="CW63" s="47">
        <v>63.357461697031511</v>
      </c>
      <c r="CX63" s="47">
        <v>4.2503735473296578</v>
      </c>
      <c r="CY63" s="47">
        <v>88.960984666390402</v>
      </c>
      <c r="CZ63" s="47">
        <v>7.6803519061583581</v>
      </c>
      <c r="DA63" s="47">
        <v>8.1204168899871032E-2</v>
      </c>
      <c r="DB63" s="47">
        <v>22.792418031214542</v>
      </c>
      <c r="DC63" s="47">
        <v>0</v>
      </c>
      <c r="DD63" s="48">
        <v>156437</v>
      </c>
      <c r="DE63" s="47">
        <v>1500</v>
      </c>
      <c r="DF63" s="47">
        <v>0</v>
      </c>
      <c r="DG63" s="47">
        <v>1500</v>
      </c>
      <c r="DH63" s="47">
        <v>0</v>
      </c>
      <c r="DI63" s="47">
        <v>179945</v>
      </c>
      <c r="DJ63" s="47">
        <v>-4117</v>
      </c>
      <c r="DK63" s="47">
        <v>0</v>
      </c>
      <c r="DL63" s="47">
        <v>0</v>
      </c>
      <c r="DM63" s="47">
        <v>0</v>
      </c>
      <c r="DN63" s="47">
        <v>2990</v>
      </c>
      <c r="DO63" s="48">
        <v>336755</v>
      </c>
      <c r="DP63" s="47"/>
      <c r="DQ63" s="47"/>
      <c r="DR63" s="47"/>
      <c r="DS63" s="47"/>
    </row>
    <row r="64" spans="1:123" x14ac:dyDescent="0.45">
      <c r="A64" s="6" t="s">
        <v>240</v>
      </c>
      <c r="B64" t="s">
        <v>241</v>
      </c>
      <c r="C64" s="47">
        <v>710.72437431660705</v>
      </c>
      <c r="D64" s="47">
        <v>39.447807933194163</v>
      </c>
      <c r="E64" s="47">
        <v>0</v>
      </c>
      <c r="F64" s="47">
        <v>2.9508196721311482</v>
      </c>
      <c r="G64" s="47">
        <v>101.8976147044921</v>
      </c>
      <c r="H64" s="47">
        <v>6.7399020437385264</v>
      </c>
      <c r="I64" s="47">
        <v>21.027607601835921</v>
      </c>
      <c r="J64" s="47">
        <v>11.221847735407129</v>
      </c>
      <c r="K64" s="47">
        <v>4.2879418677503027</v>
      </c>
      <c r="L64" s="47">
        <v>0.1694497876549631</v>
      </c>
      <c r="M64" s="47">
        <v>5.8826122407854511</v>
      </c>
      <c r="N64" s="47">
        <v>0.99128865064930505</v>
      </c>
      <c r="O64" s="47">
        <v>10.0445858137728</v>
      </c>
      <c r="P64" s="47">
        <v>10.452466531388669</v>
      </c>
      <c r="Q64" s="47">
        <v>0.13265959365331709</v>
      </c>
      <c r="R64" s="47">
        <v>4.3391012796512891</v>
      </c>
      <c r="S64" s="47">
        <v>19.883873255427719</v>
      </c>
      <c r="T64" s="47">
        <v>8.2854677237187477</v>
      </c>
      <c r="U64" s="47">
        <v>1.15015782388129</v>
      </c>
      <c r="V64" s="47">
        <v>3.9569335624255027E-2</v>
      </c>
      <c r="W64" s="47">
        <v>6.3871009421700613</v>
      </c>
      <c r="X64" s="47">
        <v>20.627540714440581</v>
      </c>
      <c r="Y64" s="47">
        <v>16.10870323271055</v>
      </c>
      <c r="Z64" s="47">
        <v>2.0075654723558718</v>
      </c>
      <c r="AA64" s="47">
        <v>2.4828262386171689</v>
      </c>
      <c r="AB64" s="47">
        <v>6.4826480814751921</v>
      </c>
      <c r="AC64" s="47">
        <v>3.837090596187875</v>
      </c>
      <c r="AD64" s="47">
        <v>6.708977657621837</v>
      </c>
      <c r="AE64" s="47">
        <v>3.6454228786053822</v>
      </c>
      <c r="AF64" s="47">
        <v>1.432306394924699</v>
      </c>
      <c r="AG64" s="47">
        <v>22.91930352188642</v>
      </c>
      <c r="AH64" s="47">
        <v>57.1348057769167</v>
      </c>
      <c r="AI64" s="47">
        <v>11.5341457073693</v>
      </c>
      <c r="AJ64" s="47">
        <v>19.205902440452359</v>
      </c>
      <c r="AK64" s="47">
        <v>10.77731639661058</v>
      </c>
      <c r="AL64" s="47">
        <v>4.2977676117422652</v>
      </c>
      <c r="AM64" s="47">
        <v>10.17039921752073</v>
      </c>
      <c r="AN64" s="47">
        <v>93.688232088175894</v>
      </c>
      <c r="AO64" s="47">
        <v>124.8805718011824</v>
      </c>
      <c r="AP64" s="47">
        <v>69.37655617364922</v>
      </c>
      <c r="AQ64" s="47">
        <v>386.94053598680682</v>
      </c>
      <c r="AR64" s="47">
        <v>3827.899983771164</v>
      </c>
      <c r="AS64" s="47">
        <v>11.0473794865012</v>
      </c>
      <c r="AT64" s="47">
        <v>20.372589117100311</v>
      </c>
      <c r="AU64" s="47">
        <v>131.53451638913421</v>
      </c>
      <c r="AV64" s="47">
        <v>9.6853372705751255</v>
      </c>
      <c r="AW64" s="47">
        <v>18.171922811306221</v>
      </c>
      <c r="AX64" s="47">
        <v>1.012723367844627</v>
      </c>
      <c r="AY64" s="47">
        <v>0.25485624571066501</v>
      </c>
      <c r="AZ64" s="47">
        <v>256.48820038621608</v>
      </c>
      <c r="BA64" s="47">
        <v>56.400438296422791</v>
      </c>
      <c r="BB64" s="47">
        <v>21.593869857546739</v>
      </c>
      <c r="BC64" s="47">
        <v>55.497199230833552</v>
      </c>
      <c r="BD64" s="47">
        <v>24.168160988244669</v>
      </c>
      <c r="BE64" s="47">
        <v>169.40960590573519</v>
      </c>
      <c r="BF64" s="47">
        <v>0</v>
      </c>
      <c r="BG64" s="47">
        <v>519.396779291906</v>
      </c>
      <c r="BH64" s="47">
        <v>4648.8154176190856</v>
      </c>
      <c r="BI64" s="47">
        <v>2091.6212915766851</v>
      </c>
      <c r="BJ64" s="47">
        <v>1415.8181026284669</v>
      </c>
      <c r="BK64" s="47">
        <v>51.304079269077363</v>
      </c>
      <c r="BL64" s="47">
        <v>1879.0489394768331</v>
      </c>
      <c r="BM64" s="47">
        <v>16.513396941576271</v>
      </c>
      <c r="BN64" s="47">
        <v>2.9375608295275879</v>
      </c>
      <c r="BO64" s="47">
        <v>137.97712097596639</v>
      </c>
      <c r="BP64" s="47">
        <v>434.95593616174489</v>
      </c>
      <c r="BQ64" s="47">
        <v>57.374858207596951</v>
      </c>
      <c r="BR64" s="47">
        <v>381.78789544704222</v>
      </c>
      <c r="BS64" s="47">
        <v>13.868623026531139</v>
      </c>
      <c r="BT64" s="47">
        <v>4.7318891175282216</v>
      </c>
      <c r="BU64" s="47">
        <v>9.931891704162755</v>
      </c>
      <c r="BV64" s="47">
        <v>155.63427502258409</v>
      </c>
      <c r="BW64" s="47">
        <v>21.442178259218139</v>
      </c>
      <c r="BX64" s="47">
        <v>384.65938345028678</v>
      </c>
      <c r="BY64" s="47">
        <v>200.43869919188569</v>
      </c>
      <c r="BZ64" s="47">
        <v>87.274240534435194</v>
      </c>
      <c r="CA64" s="47">
        <v>0</v>
      </c>
      <c r="CB64" s="47">
        <v>5</v>
      </c>
      <c r="CC64" s="47">
        <v>176.05342943732899</v>
      </c>
      <c r="CD64" s="47">
        <v>34.459873528819557</v>
      </c>
      <c r="CE64" s="47">
        <v>39.326044223949047</v>
      </c>
      <c r="CF64" s="47">
        <v>47.129626803827293</v>
      </c>
      <c r="CG64" s="47">
        <v>29.966196576931551</v>
      </c>
      <c r="CH64" s="47">
        <v>301.05073469296769</v>
      </c>
      <c r="CI64" s="47">
        <v>4.6383152899668412</v>
      </c>
      <c r="CJ64" s="47">
        <v>29.15444397875947</v>
      </c>
      <c r="CK64" s="47">
        <v>0</v>
      </c>
      <c r="CL64" s="47">
        <v>2602.820408790134</v>
      </c>
      <c r="CM64" s="47">
        <v>55.784645716741913</v>
      </c>
      <c r="CN64" s="47">
        <v>0</v>
      </c>
      <c r="CO64" s="47">
        <v>10.327849752309319</v>
      </c>
      <c r="CP64" s="47">
        <v>35.602177651746132</v>
      </c>
      <c r="CQ64" s="47">
        <v>43.597734535420777</v>
      </c>
      <c r="CR64" s="47">
        <v>344.59717122659958</v>
      </c>
      <c r="CS64" s="47">
        <v>232.6011171664787</v>
      </c>
      <c r="CT64" s="47">
        <v>231.6540690179512</v>
      </c>
      <c r="CU64" s="47">
        <v>212.20374314324829</v>
      </c>
      <c r="CV64" s="47">
        <v>1.9402777373085509</v>
      </c>
      <c r="CW64" s="47">
        <v>10.233142011663769</v>
      </c>
      <c r="CX64" s="47">
        <v>4.0958924491923412</v>
      </c>
      <c r="CY64" s="47">
        <v>21.917652604444811</v>
      </c>
      <c r="CZ64" s="47">
        <v>3.2226063430031572E-2</v>
      </c>
      <c r="DA64" s="47">
        <v>5.226223428925219</v>
      </c>
      <c r="DB64" s="47">
        <v>65.202795472595653</v>
      </c>
      <c r="DC64" s="47">
        <v>0</v>
      </c>
      <c r="DD64" s="48">
        <v>23504</v>
      </c>
      <c r="DE64" s="47">
        <v>26449</v>
      </c>
      <c r="DF64" s="47">
        <v>0</v>
      </c>
      <c r="DG64" s="47">
        <v>26449</v>
      </c>
      <c r="DH64" s="47">
        <v>0</v>
      </c>
      <c r="DI64" s="47">
        <v>4879</v>
      </c>
      <c r="DJ64" s="47">
        <v>0</v>
      </c>
      <c r="DK64" s="47">
        <v>0</v>
      </c>
      <c r="DL64" s="47">
        <v>64</v>
      </c>
      <c r="DM64" s="47">
        <v>35</v>
      </c>
      <c r="DN64" s="47">
        <v>429</v>
      </c>
      <c r="DO64" s="48">
        <v>55360</v>
      </c>
      <c r="DP64" s="47"/>
      <c r="DQ64" s="47"/>
      <c r="DR64" s="47"/>
      <c r="DS64" s="47"/>
    </row>
    <row r="65" spans="1:123" x14ac:dyDescent="0.45">
      <c r="A65" s="6" t="s">
        <v>242</v>
      </c>
      <c r="B65" t="s">
        <v>243</v>
      </c>
      <c r="C65" s="47">
        <v>1947.366921691091</v>
      </c>
      <c r="D65" s="47">
        <v>158.5647181628392</v>
      </c>
      <c r="E65" s="47">
        <v>217.66010077874481</v>
      </c>
      <c r="F65" s="47">
        <v>16.721311475409841</v>
      </c>
      <c r="G65" s="47">
        <v>633.77733043490014</v>
      </c>
      <c r="H65" s="47">
        <v>214.95942901211041</v>
      </c>
      <c r="I65" s="47">
        <v>120.40124552645069</v>
      </c>
      <c r="J65" s="47">
        <v>1770.7093867680101</v>
      </c>
      <c r="K65" s="47">
        <v>1072.8023328883401</v>
      </c>
      <c r="L65" s="47">
        <v>183.27946866282181</v>
      </c>
      <c r="M65" s="47">
        <v>849.02728964532707</v>
      </c>
      <c r="N65" s="47">
        <v>546.17112201089481</v>
      </c>
      <c r="O65" s="47">
        <v>660.65422343845603</v>
      </c>
      <c r="P65" s="47">
        <v>1155.6626558624159</v>
      </c>
      <c r="Q65" s="47">
        <v>614.53875207935198</v>
      </c>
      <c r="R65" s="47">
        <v>715.4194914336997</v>
      </c>
      <c r="S65" s="47">
        <v>399.58094733527861</v>
      </c>
      <c r="T65" s="47">
        <v>501.09409689756171</v>
      </c>
      <c r="U65" s="47">
        <v>286.78255554639082</v>
      </c>
      <c r="V65" s="47">
        <v>64.242318070641588</v>
      </c>
      <c r="W65" s="47">
        <v>722.79450377194712</v>
      </c>
      <c r="X65" s="47">
        <v>1160.624613464684</v>
      </c>
      <c r="Y65" s="47">
        <v>681.00008964313486</v>
      </c>
      <c r="Z65" s="47">
        <v>341.42591927450121</v>
      </c>
      <c r="AA65" s="47">
        <v>211.04696563065141</v>
      </c>
      <c r="AB65" s="47">
        <v>572.68555417540017</v>
      </c>
      <c r="AC65" s="47">
        <v>452.99867875882251</v>
      </c>
      <c r="AD65" s="47">
        <v>274.68441112658041</v>
      </c>
      <c r="AE65" s="47">
        <v>876.47465761546209</v>
      </c>
      <c r="AF65" s="47">
        <v>169.75338344533381</v>
      </c>
      <c r="AG65" s="47">
        <v>1526.838183667646</v>
      </c>
      <c r="AH65" s="47">
        <v>1306.590241126338</v>
      </c>
      <c r="AI65" s="47">
        <v>526.81108016895621</v>
      </c>
      <c r="AJ65" s="47">
        <v>531.73071819759582</v>
      </c>
      <c r="AK65" s="47">
        <v>918.96397702106606</v>
      </c>
      <c r="AL65" s="47">
        <v>426.83187763021959</v>
      </c>
      <c r="AM65" s="47">
        <v>225.16015586487151</v>
      </c>
      <c r="AN65" s="47">
        <v>2138.4763540786239</v>
      </c>
      <c r="AO65" s="47">
        <v>1041.3543131485001</v>
      </c>
      <c r="AP65" s="47">
        <v>1107.283209155546</v>
      </c>
      <c r="AQ65" s="47">
        <v>2469.6691306902658</v>
      </c>
      <c r="AR65" s="47">
        <v>3815.9773382895</v>
      </c>
      <c r="AS65" s="47">
        <v>302.51458182358988</v>
      </c>
      <c r="AT65" s="47">
        <v>1739.842458149388</v>
      </c>
      <c r="AU65" s="47">
        <v>155.64680094218031</v>
      </c>
      <c r="AV65" s="47">
        <v>507.73760447479839</v>
      </c>
      <c r="AW65" s="47">
        <v>597.53013857540145</v>
      </c>
      <c r="AX65" s="47">
        <v>40.666332688138247</v>
      </c>
      <c r="AY65" s="47">
        <v>84.568115120823776</v>
      </c>
      <c r="AZ65" s="47">
        <v>1282.6688108155299</v>
      </c>
      <c r="BA65" s="47">
        <v>765.51718580364582</v>
      </c>
      <c r="BB65" s="47">
        <v>207.28469606274291</v>
      </c>
      <c r="BC65" s="47">
        <v>87.339854527213447</v>
      </c>
      <c r="BD65" s="47">
        <v>10.63399083482765</v>
      </c>
      <c r="BE65" s="47">
        <v>513.78422869094504</v>
      </c>
      <c r="BF65" s="47">
        <v>2.9268292682926829</v>
      </c>
      <c r="BG65" s="47">
        <v>11977.68863562753</v>
      </c>
      <c r="BH65" s="47">
        <v>433.73358108473582</v>
      </c>
      <c r="BI65" s="47">
        <v>3257.850769551676</v>
      </c>
      <c r="BJ65" s="47">
        <v>969.71671995305542</v>
      </c>
      <c r="BK65" s="47">
        <v>78.929352721657466</v>
      </c>
      <c r="BL65" s="47">
        <v>780.36950506475523</v>
      </c>
      <c r="BM65" s="47">
        <v>154.93966189827381</v>
      </c>
      <c r="BN65" s="47">
        <v>339.77786928202443</v>
      </c>
      <c r="BO65" s="47">
        <v>433.40052723739149</v>
      </c>
      <c r="BP65" s="47">
        <v>137.1537069418689</v>
      </c>
      <c r="BQ65" s="47">
        <v>1050.5401700820539</v>
      </c>
      <c r="BR65" s="47">
        <v>6267.0908024240989</v>
      </c>
      <c r="BS65" s="47">
        <v>1068.013992752363</v>
      </c>
      <c r="BT65" s="47">
        <v>690.2984303163804</v>
      </c>
      <c r="BU65" s="47">
        <v>271.76731928710649</v>
      </c>
      <c r="BV65" s="47">
        <v>674.24073628604401</v>
      </c>
      <c r="BW65" s="47">
        <v>176.0789243026621</v>
      </c>
      <c r="BX65" s="47">
        <v>309.09515276046022</v>
      </c>
      <c r="BY65" s="47">
        <v>60.477193721689673</v>
      </c>
      <c r="BZ65" s="47">
        <v>248.80727738861739</v>
      </c>
      <c r="CA65" s="47">
        <v>23.32387706855792</v>
      </c>
      <c r="CB65" s="47">
        <v>197</v>
      </c>
      <c r="CC65" s="47">
        <v>840.51326364731119</v>
      </c>
      <c r="CD65" s="47">
        <v>82.126297552288548</v>
      </c>
      <c r="CE65" s="47">
        <v>43.854813527434622</v>
      </c>
      <c r="CF65" s="47">
        <v>150.78578512792359</v>
      </c>
      <c r="CG65" s="47">
        <v>733.51237185794378</v>
      </c>
      <c r="CH65" s="47">
        <v>1201.2878732489201</v>
      </c>
      <c r="CI65" s="47">
        <v>466.14196682163958</v>
      </c>
      <c r="CJ65" s="47">
        <v>387.42641556162909</v>
      </c>
      <c r="CK65" s="47">
        <v>142.5928685470995</v>
      </c>
      <c r="CL65" s="47">
        <v>337.37994757595823</v>
      </c>
      <c r="CM65" s="47">
        <v>53.798214365355321</v>
      </c>
      <c r="CN65" s="47">
        <v>91.138598588561962</v>
      </c>
      <c r="CO65" s="47">
        <v>45.530185765075942</v>
      </c>
      <c r="CP65" s="47">
        <v>445.49889931894251</v>
      </c>
      <c r="CQ65" s="47">
        <v>441.00971443071018</v>
      </c>
      <c r="CR65" s="47">
        <v>3345.83236336254</v>
      </c>
      <c r="CS65" s="47">
        <v>1428.604997749939</v>
      </c>
      <c r="CT65" s="47">
        <v>5606.1859271678914</v>
      </c>
      <c r="CU65" s="47">
        <v>660.97736957258633</v>
      </c>
      <c r="CV65" s="47">
        <v>121.5369095631043</v>
      </c>
      <c r="CW65" s="47">
        <v>73.067404739742869</v>
      </c>
      <c r="CX65" s="47">
        <v>74.926899653711075</v>
      </c>
      <c r="CY65" s="47">
        <v>311.84084840917222</v>
      </c>
      <c r="CZ65" s="47">
        <v>270.39542208154279</v>
      </c>
      <c r="DA65" s="47">
        <v>64.314534055215972</v>
      </c>
      <c r="DB65" s="47">
        <v>395.17322051085222</v>
      </c>
      <c r="DC65" s="47">
        <v>0</v>
      </c>
      <c r="DD65" s="48">
        <v>87343</v>
      </c>
      <c r="DE65" s="47">
        <v>23027</v>
      </c>
      <c r="DF65" s="47">
        <v>0</v>
      </c>
      <c r="DG65" s="47">
        <v>23027</v>
      </c>
      <c r="DH65" s="47">
        <v>0</v>
      </c>
      <c r="DI65" s="47">
        <v>8839</v>
      </c>
      <c r="DJ65" s="47">
        <v>0</v>
      </c>
      <c r="DK65" s="47">
        <v>0</v>
      </c>
      <c r="DL65" s="47">
        <v>27124</v>
      </c>
      <c r="DM65" s="47">
        <v>27421</v>
      </c>
      <c r="DN65" s="47">
        <v>5330</v>
      </c>
      <c r="DO65" s="48">
        <v>179084</v>
      </c>
      <c r="DP65" s="47"/>
      <c r="DQ65" s="47"/>
      <c r="DR65" s="47"/>
      <c r="DS65" s="47"/>
    </row>
    <row r="66" spans="1:123" x14ac:dyDescent="0.45">
      <c r="A66" s="6" t="s">
        <v>244</v>
      </c>
      <c r="B66" t="s">
        <v>245</v>
      </c>
      <c r="C66" s="47">
        <v>422.831947975194</v>
      </c>
      <c r="D66" s="47">
        <v>25.525052192066799</v>
      </c>
      <c r="E66" s="47">
        <v>47.732478240952823</v>
      </c>
      <c r="F66" s="47">
        <v>2.9508196721311482</v>
      </c>
      <c r="G66" s="47">
        <v>150.80881682967919</v>
      </c>
      <c r="H66" s="47">
        <v>49.929533021084971</v>
      </c>
      <c r="I66" s="47">
        <v>28.654647177316601</v>
      </c>
      <c r="J66" s="47">
        <v>486.5477023133177</v>
      </c>
      <c r="K66" s="47">
        <v>183.50712210257549</v>
      </c>
      <c r="L66" s="47">
        <v>61.517358692169637</v>
      </c>
      <c r="M66" s="47">
        <v>153.26550188194761</v>
      </c>
      <c r="N66" s="47">
        <v>205.60102353342461</v>
      </c>
      <c r="O66" s="47">
        <v>269.87140341868002</v>
      </c>
      <c r="P66" s="47">
        <v>416.05012455956211</v>
      </c>
      <c r="Q66" s="47">
        <v>244.8297258846215</v>
      </c>
      <c r="R66" s="47">
        <v>165.0327694994707</v>
      </c>
      <c r="S66" s="47">
        <v>109.3035095633324</v>
      </c>
      <c r="T66" s="47">
        <v>292.22694507768449</v>
      </c>
      <c r="U66" s="47">
        <v>190.65290393747671</v>
      </c>
      <c r="V66" s="47">
        <v>16.726614482403019</v>
      </c>
      <c r="W66" s="47">
        <v>110.6233154231854</v>
      </c>
      <c r="X66" s="47">
        <v>186.55589474319859</v>
      </c>
      <c r="Y66" s="47">
        <v>115.57780887011511</v>
      </c>
      <c r="Z66" s="47">
        <v>38.607518991611727</v>
      </c>
      <c r="AA66" s="47">
        <v>48.745736135638289</v>
      </c>
      <c r="AB66" s="47">
        <v>210.89069571080401</v>
      </c>
      <c r="AC66" s="47">
        <v>107.7201258848406</v>
      </c>
      <c r="AD66" s="47">
        <v>64.618354279034051</v>
      </c>
      <c r="AE66" s="47">
        <v>192.9380043170971</v>
      </c>
      <c r="AF66" s="47">
        <v>35.685440434721883</v>
      </c>
      <c r="AG66" s="47">
        <v>332.18684907793539</v>
      </c>
      <c r="AH66" s="47">
        <v>285.14222138708271</v>
      </c>
      <c r="AI66" s="47">
        <v>106.10591611538329</v>
      </c>
      <c r="AJ66" s="47">
        <v>119.7992075037687</v>
      </c>
      <c r="AK66" s="47">
        <v>227.61789728295551</v>
      </c>
      <c r="AL66" s="47">
        <v>101.19746489188999</v>
      </c>
      <c r="AM66" s="47">
        <v>61.841794187721973</v>
      </c>
      <c r="AN66" s="47">
        <v>552.66015869011585</v>
      </c>
      <c r="AO66" s="47">
        <v>260.09726843755601</v>
      </c>
      <c r="AP66" s="47">
        <v>281.23207827432879</v>
      </c>
      <c r="AQ66" s="47">
        <v>655.57404061265083</v>
      </c>
      <c r="AR66" s="47">
        <v>1601.670926883289</v>
      </c>
      <c r="AS66" s="47">
        <v>75.25125288754495</v>
      </c>
      <c r="AT66" s="47">
        <v>462.96559957639801</v>
      </c>
      <c r="AU66" s="47">
        <v>45.494007267175171</v>
      </c>
      <c r="AV66" s="47">
        <v>145.34966523206299</v>
      </c>
      <c r="AW66" s="47">
        <v>203.39442388434091</v>
      </c>
      <c r="AX66" s="47">
        <v>12.29182696852317</v>
      </c>
      <c r="AY66" s="47">
        <v>20.69668484426791</v>
      </c>
      <c r="AZ66" s="47">
        <v>356.24240561455019</v>
      </c>
      <c r="BA66" s="47">
        <v>175.3362308679919</v>
      </c>
      <c r="BB66" s="47">
        <v>44.149647140308481</v>
      </c>
      <c r="BC66" s="47">
        <v>25.474124237103929</v>
      </c>
      <c r="BD66" s="47">
        <v>4.8336321976489343</v>
      </c>
      <c r="BE66" s="47">
        <v>140.28455628809959</v>
      </c>
      <c r="BF66" s="47">
        <v>0.97560975609756095</v>
      </c>
      <c r="BG66" s="47">
        <v>2673.5543982234658</v>
      </c>
      <c r="BH66" s="47">
        <v>570.19209769319559</v>
      </c>
      <c r="BI66" s="47">
        <v>1035.892369638821</v>
      </c>
      <c r="BJ66" s="47">
        <v>339.68592655555022</v>
      </c>
      <c r="BK66" s="47">
        <v>16.772487453352209</v>
      </c>
      <c r="BL66" s="47">
        <v>271.0397973755671</v>
      </c>
      <c r="BM66" s="47">
        <v>61.517365955593839</v>
      </c>
      <c r="BN66" s="47">
        <v>52.876094931496603</v>
      </c>
      <c r="BO66" s="47">
        <v>152.36737285689551</v>
      </c>
      <c r="BP66" s="47">
        <v>47.694392546604341</v>
      </c>
      <c r="BQ66" s="47">
        <v>230.24651767341081</v>
      </c>
      <c r="BR66" s="47">
        <v>1552.6138847949151</v>
      </c>
      <c r="BS66" s="47">
        <v>509.15206544113369</v>
      </c>
      <c r="BT66" s="47">
        <v>809.49152049094346</v>
      </c>
      <c r="BU66" s="47">
        <v>61.680301995035677</v>
      </c>
      <c r="BV66" s="47">
        <v>272.87936190606098</v>
      </c>
      <c r="BW66" s="47">
        <v>30.861729278663208</v>
      </c>
      <c r="BX66" s="47">
        <v>125.2938995185994</v>
      </c>
      <c r="BY66" s="47">
        <v>26.782757219605418</v>
      </c>
      <c r="BZ66" s="47">
        <v>112.2243486417396</v>
      </c>
      <c r="CA66" s="47">
        <v>4.9979736575481262</v>
      </c>
      <c r="CB66" s="47">
        <v>40</v>
      </c>
      <c r="CC66" s="47">
        <v>244.15135144358871</v>
      </c>
      <c r="CD66" s="47">
        <v>20.96947367694527</v>
      </c>
      <c r="CE66" s="47">
        <v>9.0127829059742126</v>
      </c>
      <c r="CF66" s="47">
        <v>38.768760190941897</v>
      </c>
      <c r="CG66" s="47">
        <v>173.79980206879341</v>
      </c>
      <c r="CH66" s="47">
        <v>353.60046206395151</v>
      </c>
      <c r="CI66" s="47">
        <v>313.16633990125229</v>
      </c>
      <c r="CJ66" s="47">
        <v>148.61593438280849</v>
      </c>
      <c r="CK66" s="47">
        <v>33.950682987404647</v>
      </c>
      <c r="CL66" s="47">
        <v>122.28186846774111</v>
      </c>
      <c r="CM66" s="47">
        <v>18.657571042938422</v>
      </c>
      <c r="CN66" s="47">
        <v>18.22771971771239</v>
      </c>
      <c r="CO66" s="47">
        <v>12.775774281992939</v>
      </c>
      <c r="CP66" s="47">
        <v>141.6396747873199</v>
      </c>
      <c r="CQ66" s="47">
        <v>137.35169839623569</v>
      </c>
      <c r="CR66" s="47">
        <v>989.61238916356808</v>
      </c>
      <c r="CS66" s="47">
        <v>557.35461724633149</v>
      </c>
      <c r="CT66" s="47">
        <v>1650.260329591531</v>
      </c>
      <c r="CU66" s="47">
        <v>308.1820870560087</v>
      </c>
      <c r="CV66" s="47">
        <v>70.75089341399331</v>
      </c>
      <c r="CW66" s="47">
        <v>36.670827211773357</v>
      </c>
      <c r="CX66" s="47">
        <v>26.723552653356599</v>
      </c>
      <c r="CY66" s="47">
        <v>131.680120099459</v>
      </c>
      <c r="CZ66" s="47">
        <v>124.2001611845339</v>
      </c>
      <c r="DA66" s="47">
        <v>17.362514649068508</v>
      </c>
      <c r="DB66" s="47">
        <v>156.0215626144514</v>
      </c>
      <c r="DC66" s="47">
        <v>0</v>
      </c>
      <c r="DD66" s="48">
        <v>25787</v>
      </c>
      <c r="DE66" s="47">
        <v>124189</v>
      </c>
      <c r="DF66" s="47">
        <v>0</v>
      </c>
      <c r="DG66" s="47">
        <v>124189</v>
      </c>
      <c r="DH66" s="47">
        <v>0</v>
      </c>
      <c r="DI66" s="47">
        <v>0</v>
      </c>
      <c r="DJ66" s="47">
        <v>0</v>
      </c>
      <c r="DK66" s="47">
        <v>0</v>
      </c>
      <c r="DL66" s="47">
        <v>4</v>
      </c>
      <c r="DM66" s="47">
        <v>3</v>
      </c>
      <c r="DN66" s="47">
        <v>132</v>
      </c>
      <c r="DO66" s="48">
        <v>150115</v>
      </c>
      <c r="DP66" s="47"/>
      <c r="DQ66" s="47"/>
      <c r="DR66" s="47"/>
      <c r="DS66" s="47"/>
    </row>
    <row r="67" spans="1:123" x14ac:dyDescent="0.45">
      <c r="A67" s="6" t="s">
        <v>246</v>
      </c>
      <c r="B67" t="s">
        <v>247</v>
      </c>
      <c r="C67" s="47">
        <v>0</v>
      </c>
      <c r="D67" s="47">
        <v>1.546972860125261</v>
      </c>
      <c r="E67" s="47">
        <v>0</v>
      </c>
      <c r="F67" s="47">
        <v>8.8524590163934427</v>
      </c>
      <c r="G67" s="47">
        <v>23.346968319698352</v>
      </c>
      <c r="H67" s="47">
        <v>10.68596109196571</v>
      </c>
      <c r="I67" s="47">
        <v>4.0380988306299512</v>
      </c>
      <c r="J67" s="47">
        <v>3.8272577608797649</v>
      </c>
      <c r="K67" s="47">
        <v>2.5790166651717621E-2</v>
      </c>
      <c r="L67" s="47">
        <v>5.3334594556252884E-4</v>
      </c>
      <c r="M67" s="47">
        <v>0.97354989078613619</v>
      </c>
      <c r="N67" s="47">
        <v>5.9087777173089218E-2</v>
      </c>
      <c r="O67" s="47">
        <v>7.1271116810986404E-3</v>
      </c>
      <c r="P67" s="47">
        <v>2.2676606455386151E-2</v>
      </c>
      <c r="Q67" s="47">
        <v>3.1367136251133833E-2</v>
      </c>
      <c r="R67" s="47">
        <v>12.979675598917719</v>
      </c>
      <c r="S67" s="47">
        <v>3.5132343172210569E-2</v>
      </c>
      <c r="T67" s="47">
        <v>4.4529859961385512</v>
      </c>
      <c r="U67" s="47">
        <v>0.25825906212680438</v>
      </c>
      <c r="V67" s="47">
        <v>2.4819340248512511E-2</v>
      </c>
      <c r="W67" s="47">
        <v>6.2735104410136799E-2</v>
      </c>
      <c r="X67" s="47">
        <v>1.3281142617751089</v>
      </c>
      <c r="Y67" s="47">
        <v>3.3595619014945362</v>
      </c>
      <c r="Z67" s="47">
        <v>2.5150001796428689E-4</v>
      </c>
      <c r="AA67" s="47">
        <v>0.13934407287823511</v>
      </c>
      <c r="AB67" s="47">
        <v>0.96502840250801591</v>
      </c>
      <c r="AC67" s="47">
        <v>5.9552211053195969E-2</v>
      </c>
      <c r="AD67" s="47">
        <v>0.30113212012598067</v>
      </c>
      <c r="AE67" s="47">
        <v>8.0127591049933805E-2</v>
      </c>
      <c r="AF67" s="47">
        <v>4.996920581976926E-3</v>
      </c>
      <c r="AG67" s="47">
        <v>0.99568696082537611</v>
      </c>
      <c r="AH67" s="47">
        <v>2.010262043042724</v>
      </c>
      <c r="AI67" s="47">
        <v>8.9813594824806877</v>
      </c>
      <c r="AJ67" s="47">
        <v>7.2443464360750323</v>
      </c>
      <c r="AK67" s="47">
        <v>25.347197106831029</v>
      </c>
      <c r="AL67" s="47">
        <v>0.66038111524025245</v>
      </c>
      <c r="AM67" s="47">
        <v>1.028583941561606</v>
      </c>
      <c r="AN67" s="47">
        <v>11.524316466300039</v>
      </c>
      <c r="AO67" s="47">
        <v>20.999081284169151</v>
      </c>
      <c r="AP67" s="47">
        <v>3.432745533219105</v>
      </c>
      <c r="AQ67" s="47">
        <v>5.0946040665444592</v>
      </c>
      <c r="AR67" s="47">
        <v>28.50521316697581</v>
      </c>
      <c r="AS67" s="47">
        <v>6.3170290804566459E-2</v>
      </c>
      <c r="AT67" s="47">
        <v>6.1120301014025533E-2</v>
      </c>
      <c r="AU67" s="47">
        <v>4.5787463216001996</v>
      </c>
      <c r="AV67" s="47">
        <v>3.6369142622073918</v>
      </c>
      <c r="AW67" s="47">
        <v>1.977070959402212</v>
      </c>
      <c r="AX67" s="47">
        <v>1.297796116259496E-2</v>
      </c>
      <c r="AY67" s="47">
        <v>2.1772273810008722E-2</v>
      </c>
      <c r="AZ67" s="47">
        <v>9.0956097604737565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9.4829392871843883</v>
      </c>
      <c r="BH67" s="47">
        <v>1.9579744937342392E-3</v>
      </c>
      <c r="BI67" s="47">
        <v>8.6351454191559078</v>
      </c>
      <c r="BJ67" s="47">
        <v>1.301627361772546</v>
      </c>
      <c r="BK67" s="47">
        <v>1778.870286964355</v>
      </c>
      <c r="BL67" s="47">
        <v>1.6578944523860659</v>
      </c>
      <c r="BM67" s="47">
        <v>0</v>
      </c>
      <c r="BN67" s="47">
        <v>51.896907988320727</v>
      </c>
      <c r="BO67" s="47">
        <v>4.2324270238026518</v>
      </c>
      <c r="BP67" s="47">
        <v>1.431564624894424</v>
      </c>
      <c r="BQ67" s="47">
        <v>4.1643744913176288</v>
      </c>
      <c r="BR67" s="47">
        <v>17.154772142574281</v>
      </c>
      <c r="BS67" s="47">
        <v>5.5614116645276337E-2</v>
      </c>
      <c r="BT67" s="47">
        <v>0.1439196912990571</v>
      </c>
      <c r="BU67" s="47">
        <v>4.0357682941692024E-6</v>
      </c>
      <c r="BV67" s="47">
        <v>18.751552038538101</v>
      </c>
      <c r="BW67" s="47">
        <v>0.10158316242314119</v>
      </c>
      <c r="BX67" s="47">
        <v>20.807668816989889</v>
      </c>
      <c r="BY67" s="47">
        <v>13.82335856495764</v>
      </c>
      <c r="BZ67" s="47">
        <v>11.426423734646489</v>
      </c>
      <c r="CA67" s="47">
        <v>0</v>
      </c>
      <c r="CB67" s="47">
        <v>0</v>
      </c>
      <c r="CC67" s="47">
        <v>26.554218033024629</v>
      </c>
      <c r="CD67" s="47">
        <v>0.11637554340708479</v>
      </c>
      <c r="CE67" s="47">
        <v>0.15315890803881849</v>
      </c>
      <c r="CF67" s="47">
        <v>0.32067869336334209</v>
      </c>
      <c r="CG67" s="47">
        <v>1.2824258027888931</v>
      </c>
      <c r="CH67" s="47">
        <v>23.86464587020815</v>
      </c>
      <c r="CI67" s="47">
        <v>2.2599087102100519</v>
      </c>
      <c r="CJ67" s="47">
        <v>0.45774409780607572</v>
      </c>
      <c r="CK67" s="47">
        <v>0</v>
      </c>
      <c r="CL67" s="47">
        <v>6.3928108583960679</v>
      </c>
      <c r="CM67" s="47">
        <v>0.117783426622471</v>
      </c>
      <c r="CN67" s="47">
        <v>163.09012379005819</v>
      </c>
      <c r="CO67" s="47">
        <v>0.97795007335997741</v>
      </c>
      <c r="CP67" s="47">
        <v>2.4857811280501591E-2</v>
      </c>
      <c r="CQ67" s="47">
        <v>1.0047104373102289</v>
      </c>
      <c r="CR67" s="47">
        <v>759.88094167916825</v>
      </c>
      <c r="CS67" s="47">
        <v>125.35955700175531</v>
      </c>
      <c r="CT67" s="47">
        <v>338.11432715421591</v>
      </c>
      <c r="CU67" s="47">
        <v>6.2630480167014608E-3</v>
      </c>
      <c r="CV67" s="47">
        <v>3.9247530112329142E-2</v>
      </c>
      <c r="CW67" s="47">
        <v>12.38412884304921</v>
      </c>
      <c r="CX67" s="47">
        <v>0.4421888392655749</v>
      </c>
      <c r="CY67" s="47">
        <v>23.717310125109041</v>
      </c>
      <c r="CZ67" s="47">
        <v>4.0282579287539456E-3</v>
      </c>
      <c r="DA67" s="47">
        <v>1.7327058823529411</v>
      </c>
      <c r="DB67" s="47">
        <v>2.1161616750924119E-2</v>
      </c>
      <c r="DC67" s="47">
        <v>0</v>
      </c>
      <c r="DD67" s="48">
        <v>3645</v>
      </c>
      <c r="DE67" s="47">
        <v>11082</v>
      </c>
      <c r="DF67" s="47">
        <v>0</v>
      </c>
      <c r="DG67" s="47">
        <v>11082</v>
      </c>
      <c r="DH67" s="47">
        <v>0</v>
      </c>
      <c r="DI67" s="47">
        <v>0</v>
      </c>
      <c r="DJ67" s="47">
        <v>0</v>
      </c>
      <c r="DK67" s="47">
        <v>0</v>
      </c>
      <c r="DL67" s="47">
        <v>0</v>
      </c>
      <c r="DM67" s="47">
        <v>0</v>
      </c>
      <c r="DN67" s="47">
        <v>607</v>
      </c>
      <c r="DO67" s="48">
        <v>15334</v>
      </c>
      <c r="DP67" s="47"/>
      <c r="DQ67" s="47"/>
      <c r="DR67" s="47"/>
      <c r="DS67" s="47"/>
    </row>
    <row r="68" spans="1:123" x14ac:dyDescent="0.45">
      <c r="A68" s="6" t="s">
        <v>248</v>
      </c>
      <c r="B68" t="s">
        <v>249</v>
      </c>
      <c r="C68" s="47">
        <v>400.09599451290211</v>
      </c>
      <c r="D68" s="47">
        <v>9.2818371607515644</v>
      </c>
      <c r="E68" s="47">
        <v>0</v>
      </c>
      <c r="F68" s="47">
        <v>16.721311475409841</v>
      </c>
      <c r="G68" s="47">
        <v>16.285270807550159</v>
      </c>
      <c r="H68" s="47">
        <v>237.60805001161859</v>
      </c>
      <c r="I68" s="47">
        <v>19.936448121230161</v>
      </c>
      <c r="J68" s="47">
        <v>417.5459428316226</v>
      </c>
      <c r="K68" s="47">
        <v>356.36676971071671</v>
      </c>
      <c r="L68" s="47">
        <v>48.384202940155298</v>
      </c>
      <c r="M68" s="47">
        <v>192.62588161746319</v>
      </c>
      <c r="N68" s="47">
        <v>112.7742075296852</v>
      </c>
      <c r="O68" s="47">
        <v>324.07366251857269</v>
      </c>
      <c r="P68" s="47">
        <v>406.19118652979392</v>
      </c>
      <c r="Q68" s="47">
        <v>101.7599094023621</v>
      </c>
      <c r="R68" s="47">
        <v>465.89955353641483</v>
      </c>
      <c r="S68" s="47">
        <v>115.0142527886683</v>
      </c>
      <c r="T68" s="47">
        <v>70.08658993897717</v>
      </c>
      <c r="U68" s="47">
        <v>12.27217965828488</v>
      </c>
      <c r="V68" s="47">
        <v>10.42926167543688</v>
      </c>
      <c r="W68" s="47">
        <v>203.22813696282751</v>
      </c>
      <c r="X68" s="47">
        <v>515.52362567655439</v>
      </c>
      <c r="Y68" s="47">
        <v>122.14758955881661</v>
      </c>
      <c r="Z68" s="47">
        <v>116.0207793849503</v>
      </c>
      <c r="AA68" s="47">
        <v>105.23195964405021</v>
      </c>
      <c r="AB68" s="47">
        <v>102.4646070593672</v>
      </c>
      <c r="AC68" s="47">
        <v>90.35852100140599</v>
      </c>
      <c r="AD68" s="47">
        <v>106.7038608472789</v>
      </c>
      <c r="AE68" s="47">
        <v>107.6592210812944</v>
      </c>
      <c r="AF68" s="47">
        <v>34.190280178492053</v>
      </c>
      <c r="AG68" s="47">
        <v>94.226874395962568</v>
      </c>
      <c r="AH68" s="47">
        <v>419.3587456709933</v>
      </c>
      <c r="AI68" s="47">
        <v>821.80196532958121</v>
      </c>
      <c r="AJ68" s="47">
        <v>209.59758347458589</v>
      </c>
      <c r="AK68" s="47">
        <v>178.6799109694926</v>
      </c>
      <c r="AL68" s="47">
        <v>49.32100949130939</v>
      </c>
      <c r="AM68" s="47">
        <v>1.9389076493924069</v>
      </c>
      <c r="AN68" s="47">
        <v>380.96797146378879</v>
      </c>
      <c r="AO68" s="47">
        <v>84.164703119879235</v>
      </c>
      <c r="AP68" s="47">
        <v>114.6291588951056</v>
      </c>
      <c r="AQ68" s="47">
        <v>344.68203779718368</v>
      </c>
      <c r="AR68" s="47">
        <v>360.80661692801777</v>
      </c>
      <c r="AS68" s="47">
        <v>5.2417346463517491</v>
      </c>
      <c r="AT68" s="47">
        <v>163.07741074660601</v>
      </c>
      <c r="AU68" s="47">
        <v>17.696428886200319</v>
      </c>
      <c r="AV68" s="47">
        <v>134.60336279506251</v>
      </c>
      <c r="AW68" s="47">
        <v>156.87907469899031</v>
      </c>
      <c r="AX68" s="47">
        <v>1.8889577283382919</v>
      </c>
      <c r="AY68" s="47">
        <v>16.37570268388713</v>
      </c>
      <c r="AZ68" s="47">
        <v>150.2636952099495</v>
      </c>
      <c r="BA68" s="47">
        <v>23.93609951533578</v>
      </c>
      <c r="BB68" s="47">
        <v>24.382354868705288</v>
      </c>
      <c r="BC68" s="47">
        <v>21.834963631803362</v>
      </c>
      <c r="BD68" s="47">
        <v>8.7005379557680822</v>
      </c>
      <c r="BE68" s="47">
        <v>261.42975777043603</v>
      </c>
      <c r="BF68" s="47">
        <v>7.8048780487804876</v>
      </c>
      <c r="BG68" s="47">
        <v>760.5005227044162</v>
      </c>
      <c r="BH68" s="47">
        <v>616.6241427375403</v>
      </c>
      <c r="BI68" s="47">
        <v>8633.4167445110525</v>
      </c>
      <c r="BJ68" s="47">
        <v>4265.2683313591606</v>
      </c>
      <c r="BK68" s="47">
        <v>147.99253635310771</v>
      </c>
      <c r="BL68" s="47">
        <v>5797.7280101395081</v>
      </c>
      <c r="BM68" s="47">
        <v>70.910469219709853</v>
      </c>
      <c r="BN68" s="47">
        <v>98.897881260762134</v>
      </c>
      <c r="BO68" s="47">
        <v>917.5901787604148</v>
      </c>
      <c r="BP68" s="47">
        <v>475.11130555538438</v>
      </c>
      <c r="BQ68" s="47">
        <v>115.70866991145</v>
      </c>
      <c r="BR68" s="47">
        <v>875.69313983661652</v>
      </c>
      <c r="BS68" s="47">
        <v>236.20460342867031</v>
      </c>
      <c r="BT68" s="47">
        <v>94.936037539276469</v>
      </c>
      <c r="BU68" s="47">
        <v>86.023463130357598</v>
      </c>
      <c r="BV68" s="47">
        <v>140.94803400109689</v>
      </c>
      <c r="BW68" s="47">
        <v>23.14048359277195</v>
      </c>
      <c r="BX68" s="47">
        <v>507.47265506034478</v>
      </c>
      <c r="BY68" s="47">
        <v>134.77774600833689</v>
      </c>
      <c r="BZ68" s="47">
        <v>135.13294991532629</v>
      </c>
      <c r="CA68" s="47">
        <v>4.1649780479567724</v>
      </c>
      <c r="CB68" s="47">
        <v>0</v>
      </c>
      <c r="CC68" s="47">
        <v>429.48197129179192</v>
      </c>
      <c r="CD68" s="47">
        <v>74.69473052335816</v>
      </c>
      <c r="CE68" s="47">
        <v>18.060360315620919</v>
      </c>
      <c r="CF68" s="47">
        <v>75.192715878371075</v>
      </c>
      <c r="CG68" s="47">
        <v>219.76188062174481</v>
      </c>
      <c r="CH68" s="47">
        <v>221.0569708666556</v>
      </c>
      <c r="CI68" s="47">
        <v>115.2913519623315</v>
      </c>
      <c r="CJ68" s="47">
        <v>333.25401142498328</v>
      </c>
      <c r="CK68" s="47">
        <v>15.520312222813549</v>
      </c>
      <c r="CL68" s="47">
        <v>439.61530182545209</v>
      </c>
      <c r="CM68" s="47">
        <v>16.567785369939141</v>
      </c>
      <c r="CN68" s="47">
        <v>97.854074274034957</v>
      </c>
      <c r="CO68" s="47">
        <v>23.859127060640919</v>
      </c>
      <c r="CP68" s="47">
        <v>100.1816351738062</v>
      </c>
      <c r="CQ68" s="47">
        <v>359.02529556727058</v>
      </c>
      <c r="CR68" s="47">
        <v>675.44972593703847</v>
      </c>
      <c r="CS68" s="47">
        <v>947.67900729079111</v>
      </c>
      <c r="CT68" s="47">
        <v>1782.320931388912</v>
      </c>
      <c r="CU68" s="47">
        <v>682.05260065001278</v>
      </c>
      <c r="CV68" s="47">
        <v>31.519928449864999</v>
      </c>
      <c r="CW68" s="47">
        <v>30.797891754983489</v>
      </c>
      <c r="CX68" s="47">
        <v>15.28121740794076</v>
      </c>
      <c r="CY68" s="47">
        <v>39.12639749745243</v>
      </c>
      <c r="CZ68" s="47">
        <v>15.68296444661703</v>
      </c>
      <c r="DA68" s="47">
        <v>34.680654321607648</v>
      </c>
      <c r="DB68" s="47">
        <v>60.576734868542218</v>
      </c>
      <c r="DC68" s="47">
        <v>0</v>
      </c>
      <c r="DD68" s="48">
        <v>39884</v>
      </c>
      <c r="DE68" s="47">
        <v>11360</v>
      </c>
      <c r="DF68" s="47">
        <v>32</v>
      </c>
      <c r="DG68" s="47">
        <v>11328</v>
      </c>
      <c r="DH68" s="47">
        <v>0</v>
      </c>
      <c r="DI68" s="47">
        <v>0</v>
      </c>
      <c r="DJ68" s="47">
        <v>0</v>
      </c>
      <c r="DK68" s="47">
        <v>0</v>
      </c>
      <c r="DL68" s="47">
        <v>0</v>
      </c>
      <c r="DM68" s="47">
        <v>0</v>
      </c>
      <c r="DN68" s="47">
        <v>2189</v>
      </c>
      <c r="DO68" s="48">
        <v>53433</v>
      </c>
      <c r="DP68" s="47"/>
      <c r="DQ68" s="47"/>
      <c r="DR68" s="47"/>
      <c r="DS68" s="47"/>
    </row>
    <row r="69" spans="1:123" x14ac:dyDescent="0.45">
      <c r="A69" s="6" t="s">
        <v>250</v>
      </c>
      <c r="B69" t="s">
        <v>251</v>
      </c>
      <c r="C69" s="47">
        <v>0</v>
      </c>
      <c r="D69" s="47">
        <v>0</v>
      </c>
      <c r="E69" s="47">
        <v>55.369674759505273</v>
      </c>
      <c r="F69" s="47">
        <v>0</v>
      </c>
      <c r="G69" s="47">
        <v>88.71847961485372</v>
      </c>
      <c r="H69" s="47">
        <v>2.8458369741088538E-2</v>
      </c>
      <c r="I69" s="47">
        <v>0</v>
      </c>
      <c r="J69" s="47">
        <v>1.915330942525969</v>
      </c>
      <c r="K69" s="47">
        <v>9.3277561941589662E-3</v>
      </c>
      <c r="L69" s="47">
        <v>3.6746692797648211E-4</v>
      </c>
      <c r="M69" s="47">
        <v>0.96900986753888396</v>
      </c>
      <c r="N69" s="47">
        <v>1.5024790904993241E-3</v>
      </c>
      <c r="O69" s="47">
        <v>5.5527511357900041E-3</v>
      </c>
      <c r="P69" s="47">
        <v>0</v>
      </c>
      <c r="Q69" s="47">
        <v>1.4624129814193421E-2</v>
      </c>
      <c r="R69" s="47">
        <v>2.303801272098963E-3</v>
      </c>
      <c r="S69" s="47">
        <v>2.7163699457967332E-3</v>
      </c>
      <c r="T69" s="47">
        <v>0.1150714243908673</v>
      </c>
      <c r="U69" s="47">
        <v>2.8155460949975151E-2</v>
      </c>
      <c r="V69" s="47">
        <v>0</v>
      </c>
      <c r="W69" s="47">
        <v>3.6802878320384647E-2</v>
      </c>
      <c r="X69" s="47">
        <v>2.7203156963134061E-2</v>
      </c>
      <c r="Y69" s="47">
        <v>0.17626930624104181</v>
      </c>
      <c r="Z69" s="47">
        <v>62.846256466989871</v>
      </c>
      <c r="AA69" s="47">
        <v>9.2426338969272895E-2</v>
      </c>
      <c r="AB69" s="47">
        <v>0.90553337825056202</v>
      </c>
      <c r="AC69" s="47">
        <v>1.2042614534713079E-2</v>
      </c>
      <c r="AD69" s="47">
        <v>1.558750890397537E-2</v>
      </c>
      <c r="AE69" s="47">
        <v>4.1218610491260473E-2</v>
      </c>
      <c r="AF69" s="47">
        <v>0</v>
      </c>
      <c r="AG69" s="47">
        <v>0</v>
      </c>
      <c r="AH69" s="47">
        <v>1.976095952124667</v>
      </c>
      <c r="AI69" s="47">
        <v>2.1309482122198649</v>
      </c>
      <c r="AJ69" s="47">
        <v>7.6693139431138384</v>
      </c>
      <c r="AK69" s="47">
        <v>0.34492230885550063</v>
      </c>
      <c r="AL69" s="47">
        <v>0.1042414692426178</v>
      </c>
      <c r="AM69" s="47">
        <v>1.55803906184606</v>
      </c>
      <c r="AN69" s="47">
        <v>14.489530792832021</v>
      </c>
      <c r="AO69" s="47">
        <v>15.51305517956558</v>
      </c>
      <c r="AP69" s="47">
        <v>0.80285438958649091</v>
      </c>
      <c r="AQ69" s="47">
        <v>1.330075457414847</v>
      </c>
      <c r="AR69" s="47">
        <v>49.450109160452143</v>
      </c>
      <c r="AS69" s="47">
        <v>4.9029436975786531E-2</v>
      </c>
      <c r="AT69" s="47">
        <v>8.1536830359276447E-2</v>
      </c>
      <c r="AU69" s="47">
        <v>2.9133260270141181</v>
      </c>
      <c r="AV69" s="47">
        <v>1.888041590229258</v>
      </c>
      <c r="AW69" s="47">
        <v>0.16993168754194651</v>
      </c>
      <c r="AX69" s="47">
        <v>1.5178181184597159E-2</v>
      </c>
      <c r="AY69" s="47">
        <v>2.2787985939478599E-2</v>
      </c>
      <c r="AZ69" s="47">
        <v>10.29884105459662</v>
      </c>
      <c r="BA69" s="47">
        <v>1.708103627456822</v>
      </c>
      <c r="BB69" s="47">
        <v>0.26474648594377509</v>
      </c>
      <c r="BC69" s="47">
        <v>0</v>
      </c>
      <c r="BD69" s="47">
        <v>0</v>
      </c>
      <c r="BE69" s="47">
        <v>0</v>
      </c>
      <c r="BF69" s="47">
        <v>0</v>
      </c>
      <c r="BG69" s="47">
        <v>18.81186442640308</v>
      </c>
      <c r="BH69" s="47">
        <v>6.9232872091020157E-5</v>
      </c>
      <c r="BI69" s="47">
        <v>12.366000936641999</v>
      </c>
      <c r="BJ69" s="47">
        <v>6.4225563064969888</v>
      </c>
      <c r="BK69" s="47">
        <v>0</v>
      </c>
      <c r="BL69" s="47">
        <v>1.1675854072045151</v>
      </c>
      <c r="BM69" s="47">
        <v>1011.574683784401</v>
      </c>
      <c r="BN69" s="47">
        <v>0</v>
      </c>
      <c r="BO69" s="47">
        <v>786.38494102253264</v>
      </c>
      <c r="BP69" s="47">
        <v>86.223194729933908</v>
      </c>
      <c r="BQ69" s="47">
        <v>0.19395792148282401</v>
      </c>
      <c r="BR69" s="47">
        <v>39.481132728760592</v>
      </c>
      <c r="BS69" s="47">
        <v>1.034993242174365E-2</v>
      </c>
      <c r="BT69" s="47">
        <v>2.4349156798470579E-6</v>
      </c>
      <c r="BU69" s="47">
        <v>9.8664610903242522E-6</v>
      </c>
      <c r="BV69" s="47">
        <v>10.51867895094575</v>
      </c>
      <c r="BW69" s="47">
        <v>7.8736065622897936E-2</v>
      </c>
      <c r="BX69" s="47">
        <v>46.313022478402168</v>
      </c>
      <c r="BY69" s="47">
        <v>9.5035590134083758</v>
      </c>
      <c r="BZ69" s="47">
        <v>39.865423566737689</v>
      </c>
      <c r="CA69" s="47">
        <v>0</v>
      </c>
      <c r="CB69" s="47">
        <v>0</v>
      </c>
      <c r="CC69" s="47">
        <v>15.55677994650577</v>
      </c>
      <c r="CD69" s="47">
        <v>6.6029373552050422E-2</v>
      </c>
      <c r="CE69" s="47">
        <v>0.12377750745358761</v>
      </c>
      <c r="CF69" s="47">
        <v>0.89255084370452675</v>
      </c>
      <c r="CG69" s="47">
        <v>2.9816552777125152</v>
      </c>
      <c r="CH69" s="47">
        <v>5.7582659989706997</v>
      </c>
      <c r="CI69" s="47">
        <v>2.777105911912869E-6</v>
      </c>
      <c r="CJ69" s="47">
        <v>0.35671112994731669</v>
      </c>
      <c r="CK69" s="47">
        <v>0</v>
      </c>
      <c r="CL69" s="47">
        <v>3.3546557627869569</v>
      </c>
      <c r="CM69" s="47">
        <v>0</v>
      </c>
      <c r="CN69" s="47">
        <v>15.349658709652539</v>
      </c>
      <c r="CO69" s="47">
        <v>0</v>
      </c>
      <c r="CP69" s="47">
        <v>0</v>
      </c>
      <c r="CQ69" s="47">
        <v>1.4587964007435661</v>
      </c>
      <c r="CR69" s="47">
        <v>27.48923303232133</v>
      </c>
      <c r="CS69" s="47">
        <v>0</v>
      </c>
      <c r="CT69" s="47">
        <v>16.757852949334321</v>
      </c>
      <c r="CU69" s="47">
        <v>0</v>
      </c>
      <c r="CV69" s="47">
        <v>0</v>
      </c>
      <c r="CW69" s="47">
        <v>0</v>
      </c>
      <c r="CX69" s="47">
        <v>0</v>
      </c>
      <c r="CY69" s="47">
        <v>0.82363719651855249</v>
      </c>
      <c r="CZ69" s="47">
        <v>0</v>
      </c>
      <c r="DA69" s="47">
        <v>0</v>
      </c>
      <c r="DB69" s="47">
        <v>0</v>
      </c>
      <c r="DC69" s="47">
        <v>0</v>
      </c>
      <c r="DD69" s="48">
        <v>2484</v>
      </c>
      <c r="DE69" s="47">
        <v>5267</v>
      </c>
      <c r="DF69" s="47">
        <v>0</v>
      </c>
      <c r="DG69" s="47">
        <v>5267</v>
      </c>
      <c r="DH69" s="47">
        <v>0</v>
      </c>
      <c r="DI69" s="47">
        <v>0</v>
      </c>
      <c r="DJ69" s="47">
        <v>0</v>
      </c>
      <c r="DK69" s="47">
        <v>0</v>
      </c>
      <c r="DL69" s="47">
        <v>0</v>
      </c>
      <c r="DM69" s="47">
        <v>0</v>
      </c>
      <c r="DN69" s="47">
        <v>7127</v>
      </c>
      <c r="DO69" s="48">
        <v>14878</v>
      </c>
      <c r="DP69" s="47"/>
      <c r="DQ69" s="47"/>
      <c r="DR69" s="47"/>
      <c r="DS69" s="47"/>
    </row>
    <row r="70" spans="1:123" x14ac:dyDescent="0.45">
      <c r="A70" s="6" t="s">
        <v>252</v>
      </c>
      <c r="B70" t="s">
        <v>253</v>
      </c>
      <c r="C70" s="47">
        <v>1.277212078651685E-2</v>
      </c>
      <c r="D70" s="47">
        <v>0</v>
      </c>
      <c r="E70" s="47">
        <v>0</v>
      </c>
      <c r="F70" s="47">
        <v>0</v>
      </c>
      <c r="G70" s="47">
        <v>109.2638117361883</v>
      </c>
      <c r="H70" s="47">
        <v>1.329944077275039</v>
      </c>
      <c r="I70" s="47">
        <v>0</v>
      </c>
      <c r="J70" s="47">
        <v>0.31138845030566531</v>
      </c>
      <c r="K70" s="47">
        <v>3.9130412684168822E-2</v>
      </c>
      <c r="L70" s="47">
        <v>1.685497568719193E-2</v>
      </c>
      <c r="M70" s="47">
        <v>1.8076064426974091E-2</v>
      </c>
      <c r="N70" s="47">
        <v>5.0615713175074427E-2</v>
      </c>
      <c r="O70" s="47">
        <v>5.709074798500588E-2</v>
      </c>
      <c r="P70" s="47">
        <v>3.2476392215770971</v>
      </c>
      <c r="Q70" s="47">
        <v>6.7804051927903813E-2</v>
      </c>
      <c r="R70" s="47">
        <v>3.4600181323662742</v>
      </c>
      <c r="S70" s="47">
        <v>8.3237306544038346E-3</v>
      </c>
      <c r="T70" s="47">
        <v>4.4081747012684858</v>
      </c>
      <c r="U70" s="47">
        <v>0.28586128769867969</v>
      </c>
      <c r="V70" s="47">
        <v>2.585955756142869E-2</v>
      </c>
      <c r="W70" s="47">
        <v>0.15781334835457589</v>
      </c>
      <c r="X70" s="47">
        <v>2.923308315018196</v>
      </c>
      <c r="Y70" s="47">
        <v>0.28469302650346062</v>
      </c>
      <c r="Z70" s="47">
        <v>8.0480005748571823E-3</v>
      </c>
      <c r="AA70" s="47">
        <v>1.7744221943632361E-2</v>
      </c>
      <c r="AB70" s="47">
        <v>0.60391522594091895</v>
      </c>
      <c r="AC70" s="47">
        <v>0.50212368441846977</v>
      </c>
      <c r="AD70" s="47">
        <v>3.7338147762575817E-2</v>
      </c>
      <c r="AE70" s="47">
        <v>0.11141209959707531</v>
      </c>
      <c r="AF70" s="47">
        <v>0.15990145862326161</v>
      </c>
      <c r="AG70" s="47">
        <v>28.23996232866261</v>
      </c>
      <c r="AH70" s="47">
        <v>1.120296499042015</v>
      </c>
      <c r="AI70" s="47">
        <v>0.31372249666721708</v>
      </c>
      <c r="AJ70" s="47">
        <v>0.24434625278201819</v>
      </c>
      <c r="AK70" s="47">
        <v>45.578116928721059</v>
      </c>
      <c r="AL70" s="47">
        <v>1.147536086666058</v>
      </c>
      <c r="AM70" s="47">
        <v>0.11229471731978551</v>
      </c>
      <c r="AN70" s="47">
        <v>1.967512184527642</v>
      </c>
      <c r="AO70" s="47">
        <v>3.2174873495675809</v>
      </c>
      <c r="AP70" s="47">
        <v>0.2192393736648714</v>
      </c>
      <c r="AQ70" s="47">
        <v>7.4648303402284837</v>
      </c>
      <c r="AR70" s="47">
        <v>1.0150169030106191</v>
      </c>
      <c r="AS70" s="47">
        <v>7.0269073653561068E-2</v>
      </c>
      <c r="AT70" s="47">
        <v>18.495481432342249</v>
      </c>
      <c r="AU70" s="47">
        <v>7.978122299054955</v>
      </c>
      <c r="AV70" s="47">
        <v>14.15792499745473</v>
      </c>
      <c r="AW70" s="47">
        <v>3.3939612575995408</v>
      </c>
      <c r="AX70" s="47">
        <v>2.455243874293446E-3</v>
      </c>
      <c r="AY70" s="47">
        <v>0.92780107516488675</v>
      </c>
      <c r="AZ70" s="47">
        <v>2.861458057625109</v>
      </c>
      <c r="BA70" s="47">
        <v>0.84585215863453811</v>
      </c>
      <c r="BB70" s="47">
        <v>0.13237324297188749</v>
      </c>
      <c r="BC70" s="47">
        <v>0</v>
      </c>
      <c r="BD70" s="47">
        <v>0</v>
      </c>
      <c r="BE70" s="47">
        <v>11.84033901207088</v>
      </c>
      <c r="BF70" s="47">
        <v>0</v>
      </c>
      <c r="BG70" s="47">
        <v>39.925636129250996</v>
      </c>
      <c r="BH70" s="47">
        <v>176.20393338760829</v>
      </c>
      <c r="BI70" s="47">
        <v>69.498191419237273</v>
      </c>
      <c r="BJ70" s="47">
        <v>14.411646322893359</v>
      </c>
      <c r="BK70" s="47">
        <v>0</v>
      </c>
      <c r="BL70" s="47">
        <v>1.5829348084332511</v>
      </c>
      <c r="BM70" s="47">
        <v>469.17474839890218</v>
      </c>
      <c r="BN70" s="47">
        <v>3403.6538144792989</v>
      </c>
      <c r="BO70" s="47">
        <v>913.35775173661216</v>
      </c>
      <c r="BP70" s="47">
        <v>186.57166164560411</v>
      </c>
      <c r="BQ70" s="47">
        <v>2.420969185003182</v>
      </c>
      <c r="BR70" s="47">
        <v>287.45302450109239</v>
      </c>
      <c r="BS70" s="47">
        <v>0.38658167390577081</v>
      </c>
      <c r="BT70" s="47">
        <v>3.886905501815122</v>
      </c>
      <c r="BU70" s="47">
        <v>5.5368922378654224</v>
      </c>
      <c r="BV70" s="47">
        <v>74.029989719511434</v>
      </c>
      <c r="BW70" s="47">
        <v>3.1155732591159562</v>
      </c>
      <c r="BX70" s="47">
        <v>1179.404792178774</v>
      </c>
      <c r="BY70" s="47">
        <v>142.55338520112559</v>
      </c>
      <c r="BZ70" s="47">
        <v>82.223598416146956</v>
      </c>
      <c r="CA70" s="47">
        <v>0</v>
      </c>
      <c r="CB70" s="47">
        <v>0</v>
      </c>
      <c r="CC70" s="47">
        <v>147.9768378871492</v>
      </c>
      <c r="CD70" s="47">
        <v>0.31422135241360821</v>
      </c>
      <c r="CE70" s="47">
        <v>179.04941983299389</v>
      </c>
      <c r="CF70" s="47">
        <v>394.59979235613429</v>
      </c>
      <c r="CG70" s="47">
        <v>3.7201254641337722</v>
      </c>
      <c r="CH70" s="47">
        <v>5.710341558926272</v>
      </c>
      <c r="CI70" s="47">
        <v>483.53007719000988</v>
      </c>
      <c r="CJ70" s="47">
        <v>132.62565542300069</v>
      </c>
      <c r="CK70" s="47">
        <v>0</v>
      </c>
      <c r="CL70" s="47">
        <v>40.20324522836011</v>
      </c>
      <c r="CM70" s="47">
        <v>184.26108638585009</v>
      </c>
      <c r="CN70" s="47">
        <v>3281.948902857584</v>
      </c>
      <c r="CO70" s="47">
        <v>0.52276576295528476</v>
      </c>
      <c r="CP70" s="47">
        <v>2.058261375998474</v>
      </c>
      <c r="CQ70" s="47">
        <v>110.560120163582</v>
      </c>
      <c r="CR70" s="47">
        <v>226.78617251665099</v>
      </c>
      <c r="CS70" s="47">
        <v>3.3562120697386479</v>
      </c>
      <c r="CT70" s="47">
        <v>41.083236004110518</v>
      </c>
      <c r="CU70" s="47">
        <v>0</v>
      </c>
      <c r="CV70" s="47">
        <v>8.5938834624953273</v>
      </c>
      <c r="CW70" s="47">
        <v>4.9181682922797162E-2</v>
      </c>
      <c r="CX70" s="47">
        <v>0.16772680110073529</v>
      </c>
      <c r="CY70" s="47">
        <v>8.9222718455361569</v>
      </c>
      <c r="CZ70" s="47">
        <v>820.83760997067452</v>
      </c>
      <c r="DA70" s="47">
        <v>1.6587292800636599E-2</v>
      </c>
      <c r="DB70" s="47">
        <v>0.958173491070485</v>
      </c>
      <c r="DC70" s="47">
        <v>0</v>
      </c>
      <c r="DD70" s="48">
        <v>13412</v>
      </c>
      <c r="DE70" s="47">
        <v>2614</v>
      </c>
      <c r="DF70" s="47">
        <v>0</v>
      </c>
      <c r="DG70" s="47">
        <v>2614</v>
      </c>
      <c r="DH70" s="47">
        <v>0</v>
      </c>
      <c r="DI70" s="47">
        <v>0</v>
      </c>
      <c r="DJ70" s="47">
        <v>0</v>
      </c>
      <c r="DK70" s="47">
        <v>0</v>
      </c>
      <c r="DL70" s="47">
        <v>0</v>
      </c>
      <c r="DM70" s="47">
        <v>0</v>
      </c>
      <c r="DN70" s="47">
        <v>10132</v>
      </c>
      <c r="DO70" s="48">
        <v>26158</v>
      </c>
      <c r="DP70" s="47"/>
      <c r="DQ70" s="47"/>
      <c r="DR70" s="47"/>
      <c r="DS70" s="47"/>
    </row>
    <row r="71" spans="1:123" x14ac:dyDescent="0.45">
      <c r="A71" s="6" t="s">
        <v>254</v>
      </c>
      <c r="B71" t="s">
        <v>255</v>
      </c>
      <c r="C71" s="47">
        <v>9.8564503408971951E-2</v>
      </c>
      <c r="D71" s="47">
        <v>0</v>
      </c>
      <c r="E71" s="47">
        <v>88.782409528172238</v>
      </c>
      <c r="F71" s="47">
        <v>0</v>
      </c>
      <c r="G71" s="47">
        <v>6.0840408365759187</v>
      </c>
      <c r="H71" s="47">
        <v>0.7019994322202362</v>
      </c>
      <c r="I71" s="47">
        <v>1.3612468873927881E-2</v>
      </c>
      <c r="J71" s="47">
        <v>43.510120713182992</v>
      </c>
      <c r="K71" s="47">
        <v>0.3404793260293692</v>
      </c>
      <c r="L71" s="47">
        <v>2.066214332924206</v>
      </c>
      <c r="M71" s="47">
        <v>7.0075491918030516E-2</v>
      </c>
      <c r="N71" s="47">
        <v>6.1601934766692814</v>
      </c>
      <c r="O71" s="47">
        <v>0.10424595400525299</v>
      </c>
      <c r="P71" s="47">
        <v>8.1201082487604204</v>
      </c>
      <c r="Q71" s="47">
        <v>1.845164826405826</v>
      </c>
      <c r="R71" s="47">
        <v>13.91443137323777</v>
      </c>
      <c r="S71" s="47">
        <v>2.5425609667554951</v>
      </c>
      <c r="T71" s="47">
        <v>17.558459279694439</v>
      </c>
      <c r="U71" s="47">
        <v>47.719505111466219</v>
      </c>
      <c r="V71" s="47">
        <v>3.4505053896541762</v>
      </c>
      <c r="W71" s="47">
        <v>2.0888376313766939</v>
      </c>
      <c r="X71" s="47">
        <v>14.113988491325131</v>
      </c>
      <c r="Y71" s="47">
        <v>2.123449270442352</v>
      </c>
      <c r="Z71" s="47">
        <v>0.27811051660971398</v>
      </c>
      <c r="AA71" s="47">
        <v>9.8248299365564371</v>
      </c>
      <c r="AB71" s="47">
        <v>17.635107752710748</v>
      </c>
      <c r="AC71" s="47">
        <v>34.51625807644632</v>
      </c>
      <c r="AD71" s="47">
        <v>0.38739571506411158</v>
      </c>
      <c r="AE71" s="47">
        <v>29.948997408677059</v>
      </c>
      <c r="AF71" s="47">
        <v>3.5678012955315248</v>
      </c>
      <c r="AG71" s="47">
        <v>626.40141735283044</v>
      </c>
      <c r="AH71" s="47">
        <v>66.748647233458215</v>
      </c>
      <c r="AI71" s="47">
        <v>1.994854378166717</v>
      </c>
      <c r="AJ71" s="47">
        <v>13.5675130254509</v>
      </c>
      <c r="AK71" s="47">
        <v>7.6461980371083742</v>
      </c>
      <c r="AL71" s="47">
        <v>7.9205150459357778</v>
      </c>
      <c r="AM71" s="47">
        <v>2.542466189636468</v>
      </c>
      <c r="AN71" s="47">
        <v>66.572327679037457</v>
      </c>
      <c r="AO71" s="47">
        <v>181.82129176828991</v>
      </c>
      <c r="AP71" s="47">
        <v>46.78403908874408</v>
      </c>
      <c r="AQ71" s="47">
        <v>470.95799341771811</v>
      </c>
      <c r="AR71" s="47">
        <v>995.81586148885253</v>
      </c>
      <c r="AS71" s="47">
        <v>0.75151298086121265</v>
      </c>
      <c r="AT71" s="47">
        <v>66.959430100002322</v>
      </c>
      <c r="AU71" s="47">
        <v>3.1049192219319921</v>
      </c>
      <c r="AV71" s="47">
        <v>1.397378071329433</v>
      </c>
      <c r="AW71" s="47">
        <v>15.24962479677586</v>
      </c>
      <c r="AX71" s="47">
        <v>0.55548579941575238</v>
      </c>
      <c r="AY71" s="47">
        <v>4.8029562726920769</v>
      </c>
      <c r="AZ71" s="47">
        <v>157.403059204161</v>
      </c>
      <c r="BA71" s="47">
        <v>0.24023318862613521</v>
      </c>
      <c r="BB71" s="47">
        <v>3.8876348131427131E-2</v>
      </c>
      <c r="BC71" s="47">
        <v>28.203494691079349</v>
      </c>
      <c r="BD71" s="47">
        <v>0.96672643952978676</v>
      </c>
      <c r="BE71" s="47">
        <v>237.7183502433891</v>
      </c>
      <c r="BF71" s="47">
        <v>1.9512195121951219</v>
      </c>
      <c r="BG71" s="47">
        <v>59.90595888739238</v>
      </c>
      <c r="BH71" s="47">
        <v>617.68893753916802</v>
      </c>
      <c r="BI71" s="47">
        <v>7728.326895856052</v>
      </c>
      <c r="BJ71" s="47">
        <v>5066.6706999239186</v>
      </c>
      <c r="BK71" s="47">
        <v>1677.248745335221</v>
      </c>
      <c r="BL71" s="47">
        <v>575.5757499577677</v>
      </c>
      <c r="BM71" s="47">
        <v>1208.017156251839</v>
      </c>
      <c r="BN71" s="47">
        <v>261.44291382795541</v>
      </c>
      <c r="BO71" s="47">
        <v>6005.8139467759629</v>
      </c>
      <c r="BP71" s="47">
        <v>844.45972464756994</v>
      </c>
      <c r="BQ71" s="47">
        <v>8.1466292348034944E-2</v>
      </c>
      <c r="BR71" s="47">
        <v>848.68683865737785</v>
      </c>
      <c r="BS71" s="47">
        <v>38.654880235775678</v>
      </c>
      <c r="BT71" s="47">
        <v>17.798626441082469</v>
      </c>
      <c r="BU71" s="47">
        <v>185.97797432407361</v>
      </c>
      <c r="BV71" s="47">
        <v>830.62044245013908</v>
      </c>
      <c r="BW71" s="47">
        <v>2.0439879380301949</v>
      </c>
      <c r="BX71" s="47">
        <v>1006.3362268156</v>
      </c>
      <c r="BY71" s="47">
        <v>16.415238295887189</v>
      </c>
      <c r="BZ71" s="47">
        <v>260.90199311367871</v>
      </c>
      <c r="CA71" s="47">
        <v>0</v>
      </c>
      <c r="CB71" s="47">
        <v>0</v>
      </c>
      <c r="CC71" s="47">
        <v>208.2703380154029</v>
      </c>
      <c r="CD71" s="47">
        <v>1.4648281085624051</v>
      </c>
      <c r="CE71" s="47">
        <v>3.6085498787931911</v>
      </c>
      <c r="CF71" s="47">
        <v>17.82990775412874</v>
      </c>
      <c r="CG71" s="47">
        <v>11.63930932143813</v>
      </c>
      <c r="CH71" s="47">
        <v>147.33514748895169</v>
      </c>
      <c r="CI71" s="47">
        <v>8.0085265647663828</v>
      </c>
      <c r="CJ71" s="47">
        <v>28.870357788169439</v>
      </c>
      <c r="CK71" s="47">
        <v>0</v>
      </c>
      <c r="CL71" s="47">
        <v>387.11722658897611</v>
      </c>
      <c r="CM71" s="47">
        <v>3.1971635604638862</v>
      </c>
      <c r="CN71" s="47">
        <v>0</v>
      </c>
      <c r="CO71" s="47">
        <v>7.6659415103150366</v>
      </c>
      <c r="CP71" s="47">
        <v>3.4462879892970499</v>
      </c>
      <c r="CQ71" s="47">
        <v>707.24650299696145</v>
      </c>
      <c r="CR71" s="47">
        <v>187.5158396133348</v>
      </c>
      <c r="CS71" s="47">
        <v>27.806560239110421</v>
      </c>
      <c r="CT71" s="47">
        <v>0</v>
      </c>
      <c r="CU71" s="47">
        <v>11.655459526490951</v>
      </c>
      <c r="CV71" s="47">
        <v>0</v>
      </c>
      <c r="CW71" s="47">
        <v>30.930052009854169</v>
      </c>
      <c r="CX71" s="47">
        <v>10.27395507534831</v>
      </c>
      <c r="CY71" s="47">
        <v>0.72873744139502239</v>
      </c>
      <c r="CZ71" s="47">
        <v>0</v>
      </c>
      <c r="DA71" s="47">
        <v>1.177347827793258E-4</v>
      </c>
      <c r="DB71" s="47">
        <v>17.036928296574299</v>
      </c>
      <c r="DC71" s="47">
        <v>0</v>
      </c>
      <c r="DD71" s="48">
        <v>32440</v>
      </c>
      <c r="DE71" s="47">
        <v>5130</v>
      </c>
      <c r="DF71" s="47">
        <v>3510</v>
      </c>
      <c r="DG71" s="47">
        <v>1620</v>
      </c>
      <c r="DH71" s="47">
        <v>0</v>
      </c>
      <c r="DI71" s="47">
        <v>0</v>
      </c>
      <c r="DJ71" s="47">
        <v>0</v>
      </c>
      <c r="DK71" s="47">
        <v>0</v>
      </c>
      <c r="DL71" s="47">
        <v>0</v>
      </c>
      <c r="DM71" s="47">
        <v>0</v>
      </c>
      <c r="DN71" s="47">
        <v>6421</v>
      </c>
      <c r="DO71" s="48">
        <v>43991</v>
      </c>
      <c r="DP71" s="47"/>
      <c r="DQ71" s="47"/>
      <c r="DR71" s="47"/>
      <c r="DS71" s="47"/>
    </row>
    <row r="72" spans="1:123" x14ac:dyDescent="0.45">
      <c r="A72" s="6" t="s">
        <v>256</v>
      </c>
      <c r="B72" t="s">
        <v>257</v>
      </c>
      <c r="C72" s="47">
        <v>90.265697088439325</v>
      </c>
      <c r="D72" s="47">
        <v>1.546972860125261</v>
      </c>
      <c r="E72" s="47">
        <v>3.818598259276226</v>
      </c>
      <c r="F72" s="47">
        <v>0</v>
      </c>
      <c r="G72" s="47">
        <v>4.3477631623029911</v>
      </c>
      <c r="H72" s="47">
        <v>1.06078681979843</v>
      </c>
      <c r="I72" s="47">
        <v>17.046227391514009</v>
      </c>
      <c r="J72" s="47">
        <v>44.073830635594938</v>
      </c>
      <c r="K72" s="47">
        <v>74.237598402399797</v>
      </c>
      <c r="L72" s="47">
        <v>2.913699085670554</v>
      </c>
      <c r="M72" s="47">
        <v>17.18269112965336</v>
      </c>
      <c r="N72" s="47">
        <v>1.763365899158075</v>
      </c>
      <c r="O72" s="47">
        <v>43.255236807546673</v>
      </c>
      <c r="P72" s="47">
        <v>103.7196294798399</v>
      </c>
      <c r="Q72" s="47">
        <v>25.74704558142626</v>
      </c>
      <c r="R72" s="47">
        <v>109.11157504906041</v>
      </c>
      <c r="S72" s="47">
        <v>21.82216343237506</v>
      </c>
      <c r="T72" s="47">
        <v>42.852309652213648</v>
      </c>
      <c r="U72" s="47">
        <v>27.706081055397469</v>
      </c>
      <c r="V72" s="47">
        <v>24.960369145573999</v>
      </c>
      <c r="W72" s="47">
        <v>57.897532293742358</v>
      </c>
      <c r="X72" s="47">
        <v>44.262710478517853</v>
      </c>
      <c r="Y72" s="47">
        <v>55.069317296388157</v>
      </c>
      <c r="Z72" s="47">
        <v>5.3684607573706131</v>
      </c>
      <c r="AA72" s="47">
        <v>28.599364188173681</v>
      </c>
      <c r="AB72" s="47">
        <v>118.4306273737898</v>
      </c>
      <c r="AC72" s="47">
        <v>21.255652227256721</v>
      </c>
      <c r="AD72" s="47">
        <v>13.32039695664055</v>
      </c>
      <c r="AE72" s="47">
        <v>102.6658370519159</v>
      </c>
      <c r="AF72" s="47">
        <v>40.220080354182556</v>
      </c>
      <c r="AG72" s="47">
        <v>122.88409447172</v>
      </c>
      <c r="AH72" s="47">
        <v>83.807229777801339</v>
      </c>
      <c r="AI72" s="47">
        <v>42.199250693649653</v>
      </c>
      <c r="AJ72" s="47">
        <v>81.829663914319624</v>
      </c>
      <c r="AK72" s="47">
        <v>25.31651770862765</v>
      </c>
      <c r="AL72" s="47">
        <v>43.530456982977157</v>
      </c>
      <c r="AM72" s="47">
        <v>7.159315306830214</v>
      </c>
      <c r="AN72" s="47">
        <v>116.243719616047</v>
      </c>
      <c r="AO72" s="47">
        <v>151.2834740295998</v>
      </c>
      <c r="AP72" s="47">
        <v>79.381667916012219</v>
      </c>
      <c r="AQ72" s="47">
        <v>60.892806974390247</v>
      </c>
      <c r="AR72" s="47">
        <v>39.459655515809636</v>
      </c>
      <c r="AS72" s="47">
        <v>3.4589408210033512</v>
      </c>
      <c r="AT72" s="47">
        <v>13.46148978139049</v>
      </c>
      <c r="AU72" s="47">
        <v>3.3281590648955608</v>
      </c>
      <c r="AV72" s="47">
        <v>82.234275563532705</v>
      </c>
      <c r="AW72" s="47">
        <v>103.4772132533361</v>
      </c>
      <c r="AX72" s="47">
        <v>1.909287147194223</v>
      </c>
      <c r="AY72" s="47">
        <v>3.3305587594056032</v>
      </c>
      <c r="AZ72" s="47">
        <v>92.872928341776046</v>
      </c>
      <c r="BA72" s="47">
        <v>199.91912529185061</v>
      </c>
      <c r="BB72" s="47">
        <v>80.445675837333525</v>
      </c>
      <c r="BC72" s="47">
        <v>35.48181590168047</v>
      </c>
      <c r="BD72" s="47">
        <v>0</v>
      </c>
      <c r="BE72" s="47">
        <v>10.023654786049351</v>
      </c>
      <c r="BF72" s="47">
        <v>5.8536585365853657</v>
      </c>
      <c r="BG72" s="47">
        <v>49.459839366086349</v>
      </c>
      <c r="BH72" s="47">
        <v>204.13896877017481</v>
      </c>
      <c r="BI72" s="47">
        <v>1621.823824953686</v>
      </c>
      <c r="BJ72" s="47">
        <v>2372.9147348903298</v>
      </c>
      <c r="BK72" s="47">
        <v>39.464676360828733</v>
      </c>
      <c r="BL72" s="47">
        <v>212.40876250256821</v>
      </c>
      <c r="BM72" s="47">
        <v>4.8825342248202688</v>
      </c>
      <c r="BN72" s="47">
        <v>5.8751216590551767</v>
      </c>
      <c r="BO72" s="47">
        <v>99.038792356982043</v>
      </c>
      <c r="BP72" s="47">
        <v>2475.9104015125281</v>
      </c>
      <c r="BQ72" s="47">
        <v>21.72104514417968</v>
      </c>
      <c r="BR72" s="47">
        <v>268.30655292527291</v>
      </c>
      <c r="BS72" s="47">
        <v>268.15673456578639</v>
      </c>
      <c r="BT72" s="47">
        <v>95.222765629514072</v>
      </c>
      <c r="BU72" s="47">
        <v>105.4574784251126</v>
      </c>
      <c r="BV72" s="47">
        <v>229.26459863167531</v>
      </c>
      <c r="BW72" s="47">
        <v>265.6614972217867</v>
      </c>
      <c r="BX72" s="47">
        <v>3195.000309763016</v>
      </c>
      <c r="BY72" s="47">
        <v>530.47138493024931</v>
      </c>
      <c r="BZ72" s="47">
        <v>2361.0699354996159</v>
      </c>
      <c r="CA72" s="47">
        <v>30.820837554880111</v>
      </c>
      <c r="CB72" s="47">
        <v>0</v>
      </c>
      <c r="CC72" s="47">
        <v>296.9460020493284</v>
      </c>
      <c r="CD72" s="47">
        <v>233.8417199112757</v>
      </c>
      <c r="CE72" s="47">
        <v>97.466180813673887</v>
      </c>
      <c r="CF72" s="47">
        <v>314.95267436409762</v>
      </c>
      <c r="CG72" s="47">
        <v>37.8931767596643</v>
      </c>
      <c r="CH72" s="47">
        <v>110.8761079762568</v>
      </c>
      <c r="CI72" s="47">
        <v>143.3672790090811</v>
      </c>
      <c r="CJ72" s="47">
        <v>102.8667629447442</v>
      </c>
      <c r="CK72" s="47">
        <v>32.980663473478799</v>
      </c>
      <c r="CL72" s="47">
        <v>205.56955665843779</v>
      </c>
      <c r="CM72" s="47">
        <v>36.904906931048359</v>
      </c>
      <c r="CN72" s="47">
        <v>137.1875747175196</v>
      </c>
      <c r="CO72" s="47">
        <v>10.87594265054075</v>
      </c>
      <c r="CP72" s="47">
        <v>12.43923531866057</v>
      </c>
      <c r="CQ72" s="47">
        <v>452.48644503909401</v>
      </c>
      <c r="CR72" s="47">
        <v>1450.0570424549501</v>
      </c>
      <c r="CS72" s="47">
        <v>177.3933616424581</v>
      </c>
      <c r="CT72" s="47">
        <v>450.57845889275859</v>
      </c>
      <c r="CU72" s="47">
        <v>160.3073130091511</v>
      </c>
      <c r="CV72" s="47">
        <v>64.935473654496946</v>
      </c>
      <c r="CW72" s="47">
        <v>25.067143516195269</v>
      </c>
      <c r="CX72" s="47">
        <v>25.580555850862961</v>
      </c>
      <c r="CY72" s="47">
        <v>69.907621883016247</v>
      </c>
      <c r="CZ72" s="47">
        <v>217.0867608289075</v>
      </c>
      <c r="DA72" s="47">
        <v>8.113506511938418</v>
      </c>
      <c r="DB72" s="47">
        <v>36.941480341051466</v>
      </c>
      <c r="DC72" s="47">
        <v>0</v>
      </c>
      <c r="DD72" s="48">
        <v>22004</v>
      </c>
      <c r="DE72" s="47">
        <v>832</v>
      </c>
      <c r="DF72" s="47">
        <v>0</v>
      </c>
      <c r="DG72" s="47">
        <v>832</v>
      </c>
      <c r="DH72" s="47">
        <v>0</v>
      </c>
      <c r="DI72" s="47">
        <v>0</v>
      </c>
      <c r="DJ72" s="47">
        <v>0</v>
      </c>
      <c r="DK72" s="47">
        <v>0</v>
      </c>
      <c r="DL72" s="47">
        <v>0</v>
      </c>
      <c r="DM72" s="47">
        <v>0</v>
      </c>
      <c r="DN72" s="47">
        <v>2475</v>
      </c>
      <c r="DO72" s="48">
        <v>25311</v>
      </c>
      <c r="DP72" s="47"/>
      <c r="DQ72" s="47"/>
      <c r="DR72" s="47"/>
      <c r="DS72" s="47"/>
    </row>
    <row r="73" spans="1:123" x14ac:dyDescent="0.45">
      <c r="A73" s="6" t="s">
        <v>258</v>
      </c>
      <c r="B73" t="s">
        <v>259</v>
      </c>
      <c r="C73" s="47">
        <v>4.5163272471910113E-2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7">
        <v>0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27.56341922903194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28.172296160817599</v>
      </c>
      <c r="BH73" s="47">
        <v>3.119121692995642</v>
      </c>
      <c r="BI73" s="47">
        <v>55.137331878960538</v>
      </c>
      <c r="BJ73" s="47">
        <v>236.31551675593391</v>
      </c>
      <c r="BK73" s="47">
        <v>3.9464676360828732</v>
      </c>
      <c r="BL73" s="47">
        <v>36.825147851726094</v>
      </c>
      <c r="BM73" s="47">
        <v>0</v>
      </c>
      <c r="BN73" s="47">
        <v>665.84712135958671</v>
      </c>
      <c r="BO73" s="47">
        <v>32.16644538090015</v>
      </c>
      <c r="BP73" s="47">
        <v>9.004122844388851</v>
      </c>
      <c r="BQ73" s="47">
        <v>393.60699345566832</v>
      </c>
      <c r="BR73" s="47">
        <v>152.11213355545729</v>
      </c>
      <c r="BS73" s="47">
        <v>17.00347644925289</v>
      </c>
      <c r="BT73" s="47">
        <v>32.29624172953379</v>
      </c>
      <c r="BU73" s="47">
        <v>0.64997716606622191</v>
      </c>
      <c r="BV73" s="47">
        <v>366.48180774795969</v>
      </c>
      <c r="BW73" s="47">
        <v>4.5176499929331104</v>
      </c>
      <c r="BX73" s="47">
        <v>640.64738117411127</v>
      </c>
      <c r="BY73" s="47">
        <v>338.6722848414621</v>
      </c>
      <c r="BZ73" s="47">
        <v>247.83185891769571</v>
      </c>
      <c r="CA73" s="47">
        <v>0</v>
      </c>
      <c r="CB73" s="47">
        <v>0</v>
      </c>
      <c r="CC73" s="47">
        <v>150.7415049946261</v>
      </c>
      <c r="CD73" s="47">
        <v>59.23869842556126</v>
      </c>
      <c r="CE73" s="47">
        <v>150.04950202330741</v>
      </c>
      <c r="CF73" s="47">
        <v>644.51529456601043</v>
      </c>
      <c r="CG73" s="47">
        <v>2.1456653561671219E-2</v>
      </c>
      <c r="CH73" s="47">
        <v>7.1063745906084739</v>
      </c>
      <c r="CI73" s="47">
        <v>420.28364283156918</v>
      </c>
      <c r="CJ73" s="47">
        <v>237.44704622800421</v>
      </c>
      <c r="CK73" s="47">
        <v>0</v>
      </c>
      <c r="CL73" s="47">
        <v>41.619226433087569</v>
      </c>
      <c r="CM73" s="47">
        <v>169.55687255193959</v>
      </c>
      <c r="CN73" s="47">
        <v>961.2723766919903</v>
      </c>
      <c r="CO73" s="47">
        <v>3.3803397639147123E-2</v>
      </c>
      <c r="CP73" s="47">
        <v>1.6653139410426041</v>
      </c>
      <c r="CQ73" s="47">
        <v>332.69502764798051</v>
      </c>
      <c r="CR73" s="47">
        <v>701.95720064677698</v>
      </c>
      <c r="CS73" s="47">
        <v>31.007970716744349</v>
      </c>
      <c r="CT73" s="47">
        <v>180.93217361221741</v>
      </c>
      <c r="CU73" s="47">
        <v>216.59728953395671</v>
      </c>
      <c r="CV73" s="47">
        <v>21.924102085693342</v>
      </c>
      <c r="CW73" s="47">
        <v>1.836112981779499</v>
      </c>
      <c r="CX73" s="47">
        <v>0.47867500710833089</v>
      </c>
      <c r="CY73" s="47">
        <v>0</v>
      </c>
      <c r="CZ73" s="47">
        <v>0</v>
      </c>
      <c r="DA73" s="47">
        <v>2.82955927946313E-2</v>
      </c>
      <c r="DB73" s="47">
        <v>3.0079752963817059E-2</v>
      </c>
      <c r="DC73" s="47">
        <v>0</v>
      </c>
      <c r="DD73" s="48">
        <v>7623.0000000000009</v>
      </c>
      <c r="DE73" s="47">
        <v>10092</v>
      </c>
      <c r="DF73" s="47">
        <v>0</v>
      </c>
      <c r="DG73" s="47">
        <v>10092</v>
      </c>
      <c r="DH73" s="47">
        <v>0</v>
      </c>
      <c r="DI73" s="47">
        <v>0</v>
      </c>
      <c r="DJ73" s="47">
        <v>0</v>
      </c>
      <c r="DK73" s="47">
        <v>0</v>
      </c>
      <c r="DL73" s="47">
        <v>0</v>
      </c>
      <c r="DM73" s="47">
        <v>0</v>
      </c>
      <c r="DN73" s="47">
        <v>12011</v>
      </c>
      <c r="DO73" s="48">
        <v>29726</v>
      </c>
      <c r="DP73" s="47"/>
      <c r="DQ73" s="47"/>
      <c r="DR73" s="47"/>
      <c r="DS73" s="47"/>
    </row>
    <row r="74" spans="1:123" x14ac:dyDescent="0.45">
      <c r="A74" s="6" t="s">
        <v>260</v>
      </c>
      <c r="B74" t="s">
        <v>261</v>
      </c>
      <c r="C74" s="47">
        <v>1.849750609417836</v>
      </c>
      <c r="D74" s="47">
        <v>0.7734864300626304</v>
      </c>
      <c r="E74" s="47">
        <v>1.909299129638113</v>
      </c>
      <c r="F74" s="47">
        <v>0</v>
      </c>
      <c r="G74" s="47">
        <v>39.337589829421319</v>
      </c>
      <c r="H74" s="47">
        <v>1.4700975629610451</v>
      </c>
      <c r="I74" s="47">
        <v>1.6674206629353709</v>
      </c>
      <c r="J74" s="47">
        <v>71.351001782948799</v>
      </c>
      <c r="K74" s="47">
        <v>65.059464117535725</v>
      </c>
      <c r="L74" s="47">
        <v>6.7584209528276578</v>
      </c>
      <c r="M74" s="47">
        <v>644.23708027537248</v>
      </c>
      <c r="N74" s="47">
        <v>31.8968150306867</v>
      </c>
      <c r="O74" s="47">
        <v>102.9081962049285</v>
      </c>
      <c r="P74" s="47">
        <v>102.9172183288628</v>
      </c>
      <c r="Q74" s="47">
        <v>3.3008606312865738</v>
      </c>
      <c r="R74" s="47">
        <v>8.7498095547655588</v>
      </c>
      <c r="S74" s="47">
        <v>17.61751150590139</v>
      </c>
      <c r="T74" s="47">
        <v>4.334287914457069</v>
      </c>
      <c r="U74" s="47">
        <v>6.8780091132593553</v>
      </c>
      <c r="V74" s="47">
        <v>1.92574243471763</v>
      </c>
      <c r="W74" s="47">
        <v>36.645376974947133</v>
      </c>
      <c r="X74" s="47">
        <v>10.963960555919829</v>
      </c>
      <c r="Y74" s="47">
        <v>1.184228111349263</v>
      </c>
      <c r="Z74" s="47">
        <v>9.1158654410973607</v>
      </c>
      <c r="AA74" s="47">
        <v>15.06922307820871</v>
      </c>
      <c r="AB74" s="47">
        <v>12.90446866200152</v>
      </c>
      <c r="AC74" s="47">
        <v>11.110820077477509</v>
      </c>
      <c r="AD74" s="47">
        <v>6.2450921777224044</v>
      </c>
      <c r="AE74" s="47">
        <v>34.187646198144172</v>
      </c>
      <c r="AF74" s="47">
        <v>7.7591907411782186</v>
      </c>
      <c r="AG74" s="47">
        <v>84.584525917250517</v>
      </c>
      <c r="AH74" s="47">
        <v>43.198368576053888</v>
      </c>
      <c r="AI74" s="47">
        <v>26.32614739532216</v>
      </c>
      <c r="AJ74" s="47">
        <v>5.6776117395281576</v>
      </c>
      <c r="AK74" s="47">
        <v>11.06655219069812</v>
      </c>
      <c r="AL74" s="47">
        <v>5.8801641866455148</v>
      </c>
      <c r="AM74" s="47">
        <v>14.819639431143131</v>
      </c>
      <c r="AN74" s="47">
        <v>12.50067688141363</v>
      </c>
      <c r="AO74" s="47">
        <v>125.6144628929607</v>
      </c>
      <c r="AP74" s="47">
        <v>14.48794637794343</v>
      </c>
      <c r="AQ74" s="47">
        <v>36.450300795918572</v>
      </c>
      <c r="AR74" s="47">
        <v>33.232534550435787</v>
      </c>
      <c r="AS74" s="47">
        <v>3.338093076142663</v>
      </c>
      <c r="AT74" s="47">
        <v>7.143689387585054</v>
      </c>
      <c r="AU74" s="47">
        <v>3.8656582211641921</v>
      </c>
      <c r="AV74" s="47">
        <v>4.2542805302424993</v>
      </c>
      <c r="AW74" s="47">
        <v>11.463487491175581</v>
      </c>
      <c r="AX74" s="47">
        <v>0.65994447802198863</v>
      </c>
      <c r="AY74" s="47">
        <v>1.04460809107104</v>
      </c>
      <c r="AZ74" s="47">
        <v>38.408635923388879</v>
      </c>
      <c r="BA74" s="47">
        <v>8.5065127021044038</v>
      </c>
      <c r="BB74" s="47">
        <v>90.796417290394317</v>
      </c>
      <c r="BC74" s="47">
        <v>5.4587409079508404</v>
      </c>
      <c r="BD74" s="47">
        <v>0</v>
      </c>
      <c r="BE74" s="47">
        <v>1.824560275085445</v>
      </c>
      <c r="BF74" s="47">
        <v>0</v>
      </c>
      <c r="BG74" s="47">
        <v>11.41610092603405</v>
      </c>
      <c r="BH74" s="47">
        <v>27.725214336566609</v>
      </c>
      <c r="BI74" s="47">
        <v>534.75938430308031</v>
      </c>
      <c r="BJ74" s="47">
        <v>238.25686352617299</v>
      </c>
      <c r="BK74" s="47">
        <v>197.32338180414371</v>
      </c>
      <c r="BL74" s="47">
        <v>26.768001354627469</v>
      </c>
      <c r="BM74" s="47">
        <v>1.9555789670696559</v>
      </c>
      <c r="BN74" s="47">
        <v>297.67283072546229</v>
      </c>
      <c r="BO74" s="47">
        <v>110.0431026188689</v>
      </c>
      <c r="BP74" s="47">
        <v>22.402696793585729</v>
      </c>
      <c r="BQ74" s="47">
        <v>523.76884806347596</v>
      </c>
      <c r="BR74" s="47">
        <v>1795.328943988794</v>
      </c>
      <c r="BS74" s="47">
        <v>51.223690233211357</v>
      </c>
      <c r="BT74" s="47">
        <v>192.22213376619379</v>
      </c>
      <c r="BU74" s="47">
        <v>38.824364288078691</v>
      </c>
      <c r="BV74" s="47">
        <v>424.90381448493201</v>
      </c>
      <c r="BW74" s="47">
        <v>47.411921053826852</v>
      </c>
      <c r="BX74" s="47">
        <v>436.2065439747621</v>
      </c>
      <c r="BY74" s="47">
        <v>124.4102270846187</v>
      </c>
      <c r="BZ74" s="47">
        <v>41.608424204847793</v>
      </c>
      <c r="CA74" s="47">
        <v>12.49493414387031</v>
      </c>
      <c r="CB74" s="47">
        <v>0</v>
      </c>
      <c r="CC74" s="47">
        <v>139.13880339253649</v>
      </c>
      <c r="CD74" s="47">
        <v>99.278373147249297</v>
      </c>
      <c r="CE74" s="47">
        <v>57.347502781930523</v>
      </c>
      <c r="CF74" s="47">
        <v>237.8343565278241</v>
      </c>
      <c r="CG74" s="47">
        <v>22.233804726014458</v>
      </c>
      <c r="CH74" s="47">
        <v>167.89104490646801</v>
      </c>
      <c r="CI74" s="47">
        <v>232.19852112219081</v>
      </c>
      <c r="CJ74" s="47">
        <v>203.64938103889219</v>
      </c>
      <c r="CK74" s="47">
        <v>0.97001951392584707</v>
      </c>
      <c r="CL74" s="47">
        <v>60.711798989534493</v>
      </c>
      <c r="CM74" s="47">
        <v>42.242952686019962</v>
      </c>
      <c r="CN74" s="47">
        <v>74.82958620955614</v>
      </c>
      <c r="CO74" s="47">
        <v>28.678369729671228</v>
      </c>
      <c r="CP74" s="47">
        <v>6.6823519208072106</v>
      </c>
      <c r="CQ74" s="47">
        <v>179.7607921283284</v>
      </c>
      <c r="CR74" s="47">
        <v>740.24577522751019</v>
      </c>
      <c r="CS74" s="47">
        <v>1523.330958547504</v>
      </c>
      <c r="CT74" s="47">
        <v>1057.9312157189929</v>
      </c>
      <c r="CU74" s="47">
        <v>873.19208512042746</v>
      </c>
      <c r="CV74" s="47">
        <v>177.80406478420329</v>
      </c>
      <c r="CW74" s="47">
        <v>118.95393211517521</v>
      </c>
      <c r="CX74" s="47">
        <v>34.906632954660132</v>
      </c>
      <c r="CY74" s="47">
        <v>302.61855878536107</v>
      </c>
      <c r="CZ74" s="47">
        <v>164.2722567002825</v>
      </c>
      <c r="DA74" s="47">
        <v>10.45917105204011</v>
      </c>
      <c r="DB74" s="47">
        <v>17.379196130997411</v>
      </c>
      <c r="DC74" s="47">
        <v>0</v>
      </c>
      <c r="DD74" s="48">
        <v>13582</v>
      </c>
      <c r="DE74" s="47">
        <v>93101</v>
      </c>
      <c r="DF74" s="47">
        <v>0</v>
      </c>
      <c r="DG74" s="47">
        <v>93101</v>
      </c>
      <c r="DH74" s="47">
        <v>0</v>
      </c>
      <c r="DI74" s="47">
        <v>0</v>
      </c>
      <c r="DJ74" s="47">
        <v>0</v>
      </c>
      <c r="DK74" s="47">
        <v>0</v>
      </c>
      <c r="DL74" s="47">
        <v>0</v>
      </c>
      <c r="DM74" s="47">
        <v>0</v>
      </c>
      <c r="DN74" s="47">
        <v>7310</v>
      </c>
      <c r="DO74" s="48">
        <v>113993</v>
      </c>
      <c r="DP74" s="47"/>
      <c r="DQ74" s="47"/>
      <c r="DR74" s="47"/>
      <c r="DS74" s="47"/>
    </row>
    <row r="75" spans="1:123" x14ac:dyDescent="0.45">
      <c r="A75" s="6" t="s">
        <v>262</v>
      </c>
      <c r="B75" t="s">
        <v>263</v>
      </c>
      <c r="C75" s="47">
        <v>0</v>
      </c>
      <c r="D75" s="47">
        <v>0</v>
      </c>
      <c r="E75" s="47">
        <v>0</v>
      </c>
      <c r="F75" s="47">
        <v>0</v>
      </c>
      <c r="G75" s="47">
        <v>0.15383329153080841</v>
      </c>
      <c r="H75" s="47">
        <v>0</v>
      </c>
      <c r="I75" s="47">
        <v>0</v>
      </c>
      <c r="J75" s="47">
        <v>2.0272380796263629</v>
      </c>
      <c r="K75" s="47">
        <v>4.2625245859580121E-2</v>
      </c>
      <c r="L75" s="47">
        <v>2.116614364934815</v>
      </c>
      <c r="M75" s="47">
        <v>2.8151300182944579</v>
      </c>
      <c r="N75" s="47">
        <v>5.077285054669603E-2</v>
      </c>
      <c r="O75" s="47">
        <v>3.114450889125394E-2</v>
      </c>
      <c r="P75" s="47">
        <v>0.83193580199074302</v>
      </c>
      <c r="Q75" s="47">
        <v>4.3739326448434284</v>
      </c>
      <c r="R75" s="47">
        <v>4.3301418811237484</v>
      </c>
      <c r="S75" s="47">
        <v>1.614980661059608E-2</v>
      </c>
      <c r="T75" s="47">
        <v>0.1921692146615428</v>
      </c>
      <c r="U75" s="47">
        <v>9.2945603355537649</v>
      </c>
      <c r="V75" s="47">
        <v>1.0399379185303561</v>
      </c>
      <c r="W75" s="47">
        <v>5.7688355192009447E-2</v>
      </c>
      <c r="X75" s="47">
        <v>3.7737494864149181</v>
      </c>
      <c r="Y75" s="47">
        <v>4.262809468270972E-2</v>
      </c>
      <c r="Z75" s="47">
        <v>1.231743797290164E-2</v>
      </c>
      <c r="AA75" s="47">
        <v>0.1115275844826725</v>
      </c>
      <c r="AB75" s="47">
        <v>1.9324768323423009</v>
      </c>
      <c r="AC75" s="47">
        <v>5.1738888392235474</v>
      </c>
      <c r="AD75" s="47">
        <v>5.5727778702736992E-2</v>
      </c>
      <c r="AE75" s="47">
        <v>3.5932702240824348</v>
      </c>
      <c r="AF75" s="47">
        <v>0</v>
      </c>
      <c r="AG75" s="47">
        <v>0.4092874490164099</v>
      </c>
      <c r="AH75" s="47">
        <v>0.55937921746793884</v>
      </c>
      <c r="AI75" s="47">
        <v>1.015835408902124E-2</v>
      </c>
      <c r="AJ75" s="47">
        <v>0.25830189774971718</v>
      </c>
      <c r="AK75" s="47">
        <v>9.867114327124602</v>
      </c>
      <c r="AL75" s="47">
        <v>8.5869368103349171</v>
      </c>
      <c r="AM75" s="47">
        <v>3.3050958087721409</v>
      </c>
      <c r="AN75" s="47">
        <v>1.83840016882758</v>
      </c>
      <c r="AO75" s="47">
        <v>0.23611998250577931</v>
      </c>
      <c r="AP75" s="47">
        <v>26.030993426691879</v>
      </c>
      <c r="AQ75" s="47">
        <v>3.9765405227299682</v>
      </c>
      <c r="AR75" s="47">
        <v>0.10544765282452299</v>
      </c>
      <c r="AS75" s="47">
        <v>2.3316737368906292E-2</v>
      </c>
      <c r="AT75" s="47">
        <v>47.371390585329763</v>
      </c>
      <c r="AU75" s="47">
        <v>1.0675291348322791</v>
      </c>
      <c r="AV75" s="47">
        <v>0.19196108595858041</v>
      </c>
      <c r="AW75" s="47">
        <v>4.6196130680893672</v>
      </c>
      <c r="AX75" s="47">
        <v>0</v>
      </c>
      <c r="AY75" s="47">
        <v>1.0323576934537619</v>
      </c>
      <c r="AZ75" s="47">
        <v>26.878754315200599</v>
      </c>
      <c r="BA75" s="47">
        <v>7.6080595267954187E-2</v>
      </c>
      <c r="BB75" s="47">
        <v>1.2540757461750689E-2</v>
      </c>
      <c r="BC75" s="47">
        <v>9.0979015132514025</v>
      </c>
      <c r="BD75" s="47">
        <v>0</v>
      </c>
      <c r="BE75" s="47">
        <v>3.643181234483349</v>
      </c>
      <c r="BF75" s="47">
        <v>0</v>
      </c>
      <c r="BG75" s="47">
        <v>0.84374415615735154</v>
      </c>
      <c r="BH75" s="47">
        <v>1.2559129428009561E-3</v>
      </c>
      <c r="BI75" s="47">
        <v>13.37495480701809</v>
      </c>
      <c r="BJ75" s="47">
        <v>2.2785040754899488</v>
      </c>
      <c r="BK75" s="47">
        <v>0</v>
      </c>
      <c r="BL75" s="47">
        <v>1.136689495694063</v>
      </c>
      <c r="BM75" s="47">
        <v>0</v>
      </c>
      <c r="BN75" s="47">
        <v>0</v>
      </c>
      <c r="BO75" s="47">
        <v>0</v>
      </c>
      <c r="BP75" s="47">
        <v>5.1254492096516815E-4</v>
      </c>
      <c r="BQ75" s="47">
        <v>10.468161805821079</v>
      </c>
      <c r="BR75" s="47">
        <v>22.023370392232319</v>
      </c>
      <c r="BS75" s="47">
        <v>610.42430746943626</v>
      </c>
      <c r="BT75" s="47">
        <v>0.39409933685207738</v>
      </c>
      <c r="BU75" s="47">
        <v>0</v>
      </c>
      <c r="BV75" s="47">
        <v>12.66330351511361</v>
      </c>
      <c r="BW75" s="47">
        <v>0.17834683001510229</v>
      </c>
      <c r="BX75" s="47">
        <v>49.165404737649737</v>
      </c>
      <c r="BY75" s="47">
        <v>23.326917578366011</v>
      </c>
      <c r="BZ75" s="47">
        <v>0.25790549319095102</v>
      </c>
      <c r="CA75" s="47">
        <v>0</v>
      </c>
      <c r="CB75" s="47">
        <v>0</v>
      </c>
      <c r="CC75" s="47">
        <v>11.34691185343816</v>
      </c>
      <c r="CD75" s="47">
        <v>0.1398189311704757</v>
      </c>
      <c r="CE75" s="47">
        <v>0.1682142854920653</v>
      </c>
      <c r="CF75" s="47">
        <v>0.64168057927025235</v>
      </c>
      <c r="CG75" s="47">
        <v>0.98879959366537462</v>
      </c>
      <c r="CH75" s="47">
        <v>34.660303200524872</v>
      </c>
      <c r="CI75" s="47">
        <v>95.029669657685787</v>
      </c>
      <c r="CJ75" s="47">
        <v>1.1982524981604581</v>
      </c>
      <c r="CK75" s="47">
        <v>0</v>
      </c>
      <c r="CL75" s="47">
        <v>4.0472759880112088</v>
      </c>
      <c r="CM75" s="47">
        <v>0.31668696711327649</v>
      </c>
      <c r="CN75" s="47">
        <v>0</v>
      </c>
      <c r="CO75" s="47">
        <v>0.13802160539027461</v>
      </c>
      <c r="CP75" s="47">
        <v>0.23450032127490769</v>
      </c>
      <c r="CQ75" s="47">
        <v>1.8321514736449569</v>
      </c>
      <c r="CR75" s="47">
        <v>188.4975979359177</v>
      </c>
      <c r="CS75" s="47">
        <v>322.19214985941687</v>
      </c>
      <c r="CT75" s="47">
        <v>0</v>
      </c>
      <c r="CU75" s="47">
        <v>118.497171852658</v>
      </c>
      <c r="CV75" s="47">
        <v>0.1055623223710922</v>
      </c>
      <c r="CW75" s="47">
        <v>10.47911607576493</v>
      </c>
      <c r="CX75" s="47">
        <v>1.189335498714305</v>
      </c>
      <c r="CY75" s="47">
        <v>63.26701854107457</v>
      </c>
      <c r="CZ75" s="47">
        <v>188.16862170087981</v>
      </c>
      <c r="DA75" s="47">
        <v>0</v>
      </c>
      <c r="DB75" s="47">
        <v>5.5798172533773172E-2</v>
      </c>
      <c r="DC75" s="47">
        <v>0</v>
      </c>
      <c r="DD75" s="48">
        <v>1981</v>
      </c>
      <c r="DE75" s="47">
        <v>2957</v>
      </c>
      <c r="DF75" s="47">
        <v>0</v>
      </c>
      <c r="DG75" s="47">
        <v>2957</v>
      </c>
      <c r="DH75" s="47">
        <v>0</v>
      </c>
      <c r="DI75" s="47">
        <v>11938</v>
      </c>
      <c r="DJ75" s="47">
        <v>-359</v>
      </c>
      <c r="DK75" s="47">
        <v>0</v>
      </c>
      <c r="DL75" s="47">
        <v>1216</v>
      </c>
      <c r="DM75" s="47">
        <v>1194</v>
      </c>
      <c r="DN75" s="47">
        <v>4337</v>
      </c>
      <c r="DO75" s="48">
        <v>23264</v>
      </c>
      <c r="DP75" s="47"/>
      <c r="DQ75" s="47"/>
      <c r="DR75" s="47"/>
      <c r="DS75" s="47"/>
    </row>
    <row r="76" spans="1:123" x14ac:dyDescent="0.45">
      <c r="A76" s="6" t="s">
        <v>264</v>
      </c>
      <c r="B76" t="s">
        <v>265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0</v>
      </c>
      <c r="AK76" s="47">
        <v>0.46691207944525298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24.5914733327626</v>
      </c>
      <c r="BF76" s="47">
        <v>0</v>
      </c>
      <c r="BG76" s="47">
        <v>7.7886628894311132</v>
      </c>
      <c r="BH76" s="47">
        <v>1.196958040093259E-2</v>
      </c>
      <c r="BI76" s="47">
        <v>16.98408554651941</v>
      </c>
      <c r="BJ76" s="47">
        <v>133.6022458651517</v>
      </c>
      <c r="BK76" s="47">
        <v>0</v>
      </c>
      <c r="BL76" s="47">
        <v>0.39419507005036869</v>
      </c>
      <c r="BM76" s="47">
        <v>0</v>
      </c>
      <c r="BN76" s="47">
        <v>0.97918694317586275</v>
      </c>
      <c r="BO76" s="47">
        <v>0</v>
      </c>
      <c r="BP76" s="47">
        <v>8.1548874118771088E-4</v>
      </c>
      <c r="BQ76" s="47">
        <v>23.72623590633517</v>
      </c>
      <c r="BR76" s="47">
        <v>65.539494441283679</v>
      </c>
      <c r="BS76" s="47">
        <v>82.563743386762155</v>
      </c>
      <c r="BT76" s="47">
        <v>7170.5620335136418</v>
      </c>
      <c r="BU76" s="47">
        <v>9.2694442739849601E-4</v>
      </c>
      <c r="BV76" s="47">
        <v>118.6759586214975</v>
      </c>
      <c r="BW76" s="47">
        <v>1.4551812251568439</v>
      </c>
      <c r="BX76" s="47">
        <v>3.4342555568390651E-2</v>
      </c>
      <c r="BY76" s="47">
        <v>0</v>
      </c>
      <c r="BZ76" s="47">
        <v>2.5279927890553069E-2</v>
      </c>
      <c r="CA76" s="47">
        <v>0</v>
      </c>
      <c r="CB76" s="47">
        <v>0</v>
      </c>
      <c r="CC76" s="47">
        <v>38.494373157353543</v>
      </c>
      <c r="CD76" s="47">
        <v>4.322625017478475E-2</v>
      </c>
      <c r="CE76" s="47">
        <v>4.3983937497133377E-2</v>
      </c>
      <c r="CF76" s="47">
        <v>0.1025670223837348</v>
      </c>
      <c r="CG76" s="47">
        <v>0.20301929464130261</v>
      </c>
      <c r="CH76" s="47">
        <v>19.07230071218633</v>
      </c>
      <c r="CI76" s="47">
        <v>1454.4599744766069</v>
      </c>
      <c r="CJ76" s="47">
        <v>3.2013208540524158</v>
      </c>
      <c r="CK76" s="47">
        <v>0</v>
      </c>
      <c r="CL76" s="47">
        <v>1.4891966640293</v>
      </c>
      <c r="CM76" s="47">
        <v>0.74155886934573156</v>
      </c>
      <c r="CN76" s="47">
        <v>0</v>
      </c>
      <c r="CO76" s="47">
        <v>0.1085228537784429</v>
      </c>
      <c r="CP76" s="47">
        <v>0.37585793984264643</v>
      </c>
      <c r="CQ76" s="47">
        <v>3.7787568873486599</v>
      </c>
      <c r="CR76" s="47">
        <v>215.9868309682391</v>
      </c>
      <c r="CS76" s="47">
        <v>96.359047816640285</v>
      </c>
      <c r="CT76" s="47">
        <v>28.726515099481841</v>
      </c>
      <c r="CU76" s="47">
        <v>55.36343275083199</v>
      </c>
      <c r="CV76" s="47">
        <v>109.73419292948169</v>
      </c>
      <c r="CW76" s="47">
        <v>146.96309024302181</v>
      </c>
      <c r="CX76" s="47">
        <v>140.08082284476919</v>
      </c>
      <c r="CY76" s="47">
        <v>68.13371227500339</v>
      </c>
      <c r="CZ76" s="47">
        <v>123.8456744868035</v>
      </c>
      <c r="DA76" s="47">
        <v>0</v>
      </c>
      <c r="DB76" s="47">
        <v>0.28927834824409521</v>
      </c>
      <c r="DC76" s="47">
        <v>0</v>
      </c>
      <c r="DD76" s="48">
        <v>10155</v>
      </c>
      <c r="DE76" s="47">
        <v>11984</v>
      </c>
      <c r="DF76" s="47">
        <v>3604</v>
      </c>
      <c r="DG76" s="47">
        <v>8380</v>
      </c>
      <c r="DH76" s="47">
        <v>0</v>
      </c>
      <c r="DI76" s="47">
        <v>5675</v>
      </c>
      <c r="DJ76" s="47">
        <v>-534</v>
      </c>
      <c r="DK76" s="47">
        <v>0</v>
      </c>
      <c r="DL76" s="47">
        <v>207</v>
      </c>
      <c r="DM76" s="47">
        <v>133</v>
      </c>
      <c r="DN76" s="47">
        <v>10831</v>
      </c>
      <c r="DO76" s="48">
        <v>38451</v>
      </c>
      <c r="DP76" s="47"/>
      <c r="DQ76" s="47"/>
      <c r="DR76" s="47"/>
      <c r="DS76" s="47"/>
    </row>
    <row r="77" spans="1:123" x14ac:dyDescent="0.45">
      <c r="A77" s="6" t="s">
        <v>266</v>
      </c>
      <c r="B77" t="s">
        <v>267</v>
      </c>
      <c r="C77" s="47">
        <v>184.11811207462591</v>
      </c>
      <c r="D77" s="47">
        <v>3.8674321503131521</v>
      </c>
      <c r="E77" s="47">
        <v>4.7732478240952814</v>
      </c>
      <c r="F77" s="47">
        <v>0</v>
      </c>
      <c r="G77" s="47">
        <v>42.710591679964111</v>
      </c>
      <c r="H77" s="47">
        <v>5.4191070305487319</v>
      </c>
      <c r="I77" s="47">
        <v>16.154664067332121</v>
      </c>
      <c r="J77" s="47">
        <v>8.2666231560197545</v>
      </c>
      <c r="K77" s="47">
        <v>10.620710075915181</v>
      </c>
      <c r="L77" s="47">
        <v>0.74183608369375442</v>
      </c>
      <c r="M77" s="47">
        <v>3.0329067666872711</v>
      </c>
      <c r="N77" s="47">
        <v>4.4647595956426249</v>
      </c>
      <c r="O77" s="47">
        <v>17.905257413033748</v>
      </c>
      <c r="P77" s="47">
        <v>10.57428513374167</v>
      </c>
      <c r="Q77" s="47">
        <v>5.3803879957105476</v>
      </c>
      <c r="R77" s="47">
        <v>13.8521031489473</v>
      </c>
      <c r="S77" s="47">
        <v>4.1796817165755584</v>
      </c>
      <c r="T77" s="47">
        <v>10.56599330278172</v>
      </c>
      <c r="U77" s="47">
        <v>8.0931145976765091</v>
      </c>
      <c r="V77" s="47">
        <v>1.3443673503172</v>
      </c>
      <c r="W77" s="47">
        <v>21.40981908859122</v>
      </c>
      <c r="X77" s="47">
        <v>23.875059906753201</v>
      </c>
      <c r="Y77" s="47">
        <v>8.3353095831589528</v>
      </c>
      <c r="Z77" s="47">
        <v>11.99384745626725</v>
      </c>
      <c r="AA77" s="47">
        <v>5.4914990094584057</v>
      </c>
      <c r="AB77" s="47">
        <v>12.089647344552629</v>
      </c>
      <c r="AC77" s="47">
        <v>8.8974124926851985</v>
      </c>
      <c r="AD77" s="47">
        <v>2.9065617534964452</v>
      </c>
      <c r="AE77" s="47">
        <v>4.8023893548611118</v>
      </c>
      <c r="AF77" s="47">
        <v>2.3398768699102419</v>
      </c>
      <c r="AG77" s="47">
        <v>39.532880195576361</v>
      </c>
      <c r="AH77" s="47">
        <v>58.624527724832653</v>
      </c>
      <c r="AI77" s="47">
        <v>14.40830617270343</v>
      </c>
      <c r="AJ77" s="47">
        <v>15.792629745603341</v>
      </c>
      <c r="AK77" s="47">
        <v>8.0570650408541216</v>
      </c>
      <c r="AL77" s="47">
        <v>3.790916520066586</v>
      </c>
      <c r="AM77" s="47">
        <v>7.1004750935627863</v>
      </c>
      <c r="AN77" s="47">
        <v>65.371417531910822</v>
      </c>
      <c r="AO77" s="47">
        <v>47.625298424569287</v>
      </c>
      <c r="AP77" s="47">
        <v>23.451091873703909</v>
      </c>
      <c r="AQ77" s="47">
        <v>47.787767527930512</v>
      </c>
      <c r="AR77" s="47">
        <v>53.542173028125283</v>
      </c>
      <c r="AS77" s="47">
        <v>6.1830253743168351</v>
      </c>
      <c r="AT77" s="47">
        <v>49.166539336718998</v>
      </c>
      <c r="AU77" s="47">
        <v>11.21266987412227</v>
      </c>
      <c r="AV77" s="47">
        <v>20.27029033422172</v>
      </c>
      <c r="AW77" s="47">
        <v>29.75344763186272</v>
      </c>
      <c r="AX77" s="47">
        <v>2.3655307141552768</v>
      </c>
      <c r="AY77" s="47">
        <v>4.1493624683664763</v>
      </c>
      <c r="AZ77" s="47">
        <v>76.077840623113246</v>
      </c>
      <c r="BA77" s="47">
        <v>153.45812826453579</v>
      </c>
      <c r="BB77" s="47">
        <v>89.880927349606935</v>
      </c>
      <c r="BC77" s="47">
        <v>37.30139620433075</v>
      </c>
      <c r="BD77" s="47">
        <v>9.6672643952978685</v>
      </c>
      <c r="BE77" s="47">
        <v>28.23478368280438</v>
      </c>
      <c r="BF77" s="47">
        <v>2.9268292682926829</v>
      </c>
      <c r="BG77" s="47">
        <v>897.94714875185264</v>
      </c>
      <c r="BH77" s="47">
        <v>317.6594989952012</v>
      </c>
      <c r="BI77" s="47">
        <v>944.16845713417194</v>
      </c>
      <c r="BJ77" s="47">
        <v>706.00695017303497</v>
      </c>
      <c r="BK77" s="47">
        <v>45.384377814953048</v>
      </c>
      <c r="BL77" s="47">
        <v>167.09144187409399</v>
      </c>
      <c r="BM77" s="47">
        <v>104.9407053578127</v>
      </c>
      <c r="BN77" s="47">
        <v>50.917721045144873</v>
      </c>
      <c r="BO77" s="47">
        <v>222.6256614520195</v>
      </c>
      <c r="BP77" s="47">
        <v>109.4787553794752</v>
      </c>
      <c r="BQ77" s="47">
        <v>143.15851941526091</v>
      </c>
      <c r="BR77" s="47">
        <v>355.59129756318799</v>
      </c>
      <c r="BS77" s="47">
        <v>108.3402160803173</v>
      </c>
      <c r="BT77" s="47">
        <v>81.003364505056965</v>
      </c>
      <c r="BU77" s="47">
        <v>1004.657242164865</v>
      </c>
      <c r="BV77" s="47">
        <v>368.85812814582101</v>
      </c>
      <c r="BW77" s="47">
        <v>193.6454937590139</v>
      </c>
      <c r="BX77" s="47">
        <v>2483.1277471021881</v>
      </c>
      <c r="BY77" s="47">
        <v>292.88240959503997</v>
      </c>
      <c r="BZ77" s="47">
        <v>2953.384305140979</v>
      </c>
      <c r="CA77" s="47">
        <v>93.295508274231679</v>
      </c>
      <c r="CB77" s="47">
        <v>444.00000000000011</v>
      </c>
      <c r="CC77" s="47">
        <v>615.06300970830409</v>
      </c>
      <c r="CD77" s="47">
        <v>373.05431717849012</v>
      </c>
      <c r="CE77" s="47">
        <v>101.3029332432093</v>
      </c>
      <c r="CF77" s="47">
        <v>587.56735195812212</v>
      </c>
      <c r="CG77" s="47">
        <v>7.7285846253266817</v>
      </c>
      <c r="CH77" s="47">
        <v>137.3408005129312</v>
      </c>
      <c r="CI77" s="47">
        <v>362.17335159857839</v>
      </c>
      <c r="CJ77" s="47">
        <v>264.54980492312899</v>
      </c>
      <c r="CK77" s="47">
        <v>21.34042930636863</v>
      </c>
      <c r="CL77" s="47">
        <v>242.97848422319581</v>
      </c>
      <c r="CM77" s="47">
        <v>237.521112594263</v>
      </c>
      <c r="CN77" s="47">
        <v>172.6836604835911</v>
      </c>
      <c r="CO77" s="47">
        <v>66.201608035193402</v>
      </c>
      <c r="CP77" s="47">
        <v>82.509386644487805</v>
      </c>
      <c r="CQ77" s="47">
        <v>514.18982610281819</v>
      </c>
      <c r="CR77" s="47">
        <v>1904.6111458108351</v>
      </c>
      <c r="CS77" s="47">
        <v>291.62592337231342</v>
      </c>
      <c r="CT77" s="47">
        <v>1081.787578120872</v>
      </c>
      <c r="CU77" s="47">
        <v>446.88679055290731</v>
      </c>
      <c r="CV77" s="47">
        <v>44.9611228478634</v>
      </c>
      <c r="CW77" s="47">
        <v>29.86681482707229</v>
      </c>
      <c r="CX77" s="47">
        <v>239.30355497341839</v>
      </c>
      <c r="CY77" s="47">
        <v>96.246293641816692</v>
      </c>
      <c r="CZ77" s="47">
        <v>82.82159149864259</v>
      </c>
      <c r="DA77" s="47">
        <v>342.45292460381398</v>
      </c>
      <c r="DB77" s="47">
        <v>102.1274604641721</v>
      </c>
      <c r="DC77" s="47">
        <v>0</v>
      </c>
      <c r="DD77" s="48">
        <v>21901</v>
      </c>
      <c r="DE77" s="47">
        <v>17961</v>
      </c>
      <c r="DF77" s="47">
        <v>0</v>
      </c>
      <c r="DG77" s="47">
        <v>17961</v>
      </c>
      <c r="DH77" s="47">
        <v>0</v>
      </c>
      <c r="DI77" s="47">
        <v>0</v>
      </c>
      <c r="DJ77" s="47">
        <v>0</v>
      </c>
      <c r="DK77" s="47">
        <v>0</v>
      </c>
      <c r="DL77" s="47">
        <v>0</v>
      </c>
      <c r="DM77" s="47">
        <v>0</v>
      </c>
      <c r="DN77" s="47">
        <v>7576</v>
      </c>
      <c r="DO77" s="48">
        <v>47438</v>
      </c>
      <c r="DP77" s="47"/>
      <c r="DQ77" s="47"/>
      <c r="DR77" s="47"/>
      <c r="DS77" s="47"/>
    </row>
    <row r="78" spans="1:123" x14ac:dyDescent="0.45">
      <c r="A78" s="6" t="s">
        <v>268</v>
      </c>
      <c r="B78" t="s">
        <v>269</v>
      </c>
      <c r="C78" s="47">
        <v>72.265847832813151</v>
      </c>
      <c r="D78" s="47">
        <v>3.0939457202505221</v>
      </c>
      <c r="E78" s="47">
        <v>7.6371965185524511</v>
      </c>
      <c r="F78" s="47">
        <v>0.98360655737704916</v>
      </c>
      <c r="G78" s="47">
        <v>233.30808614441111</v>
      </c>
      <c r="H78" s="47">
        <v>12.872096812467881</v>
      </c>
      <c r="I78" s="47">
        <v>72.962672592563109</v>
      </c>
      <c r="J78" s="47">
        <v>55.393933790981812</v>
      </c>
      <c r="K78" s="47">
        <v>45.005306653958698</v>
      </c>
      <c r="L78" s="47">
        <v>6.5158155917359801</v>
      </c>
      <c r="M78" s="47">
        <v>14.070960101678549</v>
      </c>
      <c r="N78" s="47">
        <v>19.835813829320909</v>
      </c>
      <c r="O78" s="47">
        <v>53.265427737825661</v>
      </c>
      <c r="P78" s="47">
        <v>61.050994343840713</v>
      </c>
      <c r="Q78" s="47">
        <v>32.446875339372838</v>
      </c>
      <c r="R78" s="47">
        <v>59.76959068577775</v>
      </c>
      <c r="S78" s="47">
        <v>37.429959631567989</v>
      </c>
      <c r="T78" s="47">
        <v>20.49031980934069</v>
      </c>
      <c r="U78" s="47">
        <v>20.12046738776133</v>
      </c>
      <c r="V78" s="47">
        <v>4.945416140851866</v>
      </c>
      <c r="W78" s="47">
        <v>22.04836569420754</v>
      </c>
      <c r="X78" s="47">
        <v>58.233347113753112</v>
      </c>
      <c r="Y78" s="47">
        <v>60.661178353762693</v>
      </c>
      <c r="Z78" s="47">
        <v>0.18109286895315321</v>
      </c>
      <c r="AA78" s="47">
        <v>28.351377409106071</v>
      </c>
      <c r="AB78" s="47">
        <v>41.630053963348907</v>
      </c>
      <c r="AC78" s="47">
        <v>45.873008779374452</v>
      </c>
      <c r="AD78" s="47">
        <v>12.708626091624589</v>
      </c>
      <c r="AE78" s="47">
        <v>34.008174025716798</v>
      </c>
      <c r="AF78" s="47">
        <v>9.1389987699693584</v>
      </c>
      <c r="AG78" s="47">
        <v>280.85717671218572</v>
      </c>
      <c r="AH78" s="47">
        <v>114.7107657363005</v>
      </c>
      <c r="AI78" s="47">
        <v>29.247972913746199</v>
      </c>
      <c r="AJ78" s="47">
        <v>50.73142392686659</v>
      </c>
      <c r="AK78" s="47">
        <v>64.219670879043065</v>
      </c>
      <c r="AL78" s="47">
        <v>37.771828016540219</v>
      </c>
      <c r="AM78" s="47">
        <v>45.955882980044272</v>
      </c>
      <c r="AN78" s="47">
        <v>200.44528791731221</v>
      </c>
      <c r="AO78" s="47">
        <v>1049.040088517939</v>
      </c>
      <c r="AP78" s="47">
        <v>50.664318727661282</v>
      </c>
      <c r="AQ78" s="47">
        <v>124.30813010323619</v>
      </c>
      <c r="AR78" s="47">
        <v>395.8147146580236</v>
      </c>
      <c r="AS78" s="47">
        <v>106.6377580426205</v>
      </c>
      <c r="AT78" s="47">
        <v>569.21871771059295</v>
      </c>
      <c r="AU78" s="47">
        <v>37.829414937130309</v>
      </c>
      <c r="AV78" s="47">
        <v>37.36673110895785</v>
      </c>
      <c r="AW78" s="47">
        <v>60.272350046331837</v>
      </c>
      <c r="AX78" s="47">
        <v>3.1552622926895659</v>
      </c>
      <c r="AY78" s="47">
        <v>45.011092997009619</v>
      </c>
      <c r="AZ78" s="47">
        <v>152.6603868970538</v>
      </c>
      <c r="BA78" s="47">
        <v>669.28796895111964</v>
      </c>
      <c r="BB78" s="47">
        <v>527.41763296455872</v>
      </c>
      <c r="BC78" s="47">
        <v>69.14405150071066</v>
      </c>
      <c r="BD78" s="47">
        <v>107.3066347878063</v>
      </c>
      <c r="BE78" s="47">
        <v>63.863353979184893</v>
      </c>
      <c r="BF78" s="47">
        <v>2.9268292682926829</v>
      </c>
      <c r="BG78" s="47">
        <v>2146.5352896307668</v>
      </c>
      <c r="BH78" s="47">
        <v>825.69230846440439</v>
      </c>
      <c r="BI78" s="47">
        <v>3033.83662572905</v>
      </c>
      <c r="BJ78" s="47">
        <v>2290.3838384711162</v>
      </c>
      <c r="BK78" s="47">
        <v>165.7516407154807</v>
      </c>
      <c r="BL78" s="47">
        <v>236.40587331548511</v>
      </c>
      <c r="BM78" s="47">
        <v>151.5860068890602</v>
      </c>
      <c r="BN78" s="47">
        <v>140.02373287414841</v>
      </c>
      <c r="BO78" s="47">
        <v>483.34316611826279</v>
      </c>
      <c r="BP78" s="47">
        <v>288.15961163190758</v>
      </c>
      <c r="BQ78" s="47">
        <v>276.48075041941769</v>
      </c>
      <c r="BR78" s="47">
        <v>951.75203496321399</v>
      </c>
      <c r="BS78" s="47">
        <v>890.45852856600175</v>
      </c>
      <c r="BT78" s="47">
        <v>323.88096435017081</v>
      </c>
      <c r="BU78" s="47">
        <v>1610.5237468722869</v>
      </c>
      <c r="BV78" s="47">
        <v>11147.347138231209</v>
      </c>
      <c r="BW78" s="47">
        <v>455.0961526505933</v>
      </c>
      <c r="BX78" s="47">
        <v>3697.8201925563189</v>
      </c>
      <c r="BY78" s="47">
        <v>621.18717551278382</v>
      </c>
      <c r="BZ78" s="47">
        <v>3530.4985531414682</v>
      </c>
      <c r="CA78" s="47">
        <v>249.06568726781501</v>
      </c>
      <c r="CB78" s="47">
        <v>0</v>
      </c>
      <c r="CC78" s="47">
        <v>1444.7534511489721</v>
      </c>
      <c r="CD78" s="47">
        <v>1076.9348082016299</v>
      </c>
      <c r="CE78" s="47">
        <v>648.00173398839115</v>
      </c>
      <c r="CF78" s="47">
        <v>1810.764017506461</v>
      </c>
      <c r="CG78" s="47">
        <v>712.59689831677633</v>
      </c>
      <c r="CH78" s="47">
        <v>743.92774844945916</v>
      </c>
      <c r="CI78" s="47">
        <v>557.30441518834061</v>
      </c>
      <c r="CJ78" s="47">
        <v>345.25640089605702</v>
      </c>
      <c r="CK78" s="47">
        <v>27.16054638992372</v>
      </c>
      <c r="CL78" s="47">
        <v>473.79892463191948</v>
      </c>
      <c r="CM78" s="47">
        <v>236.0150473944891</v>
      </c>
      <c r="CN78" s="47">
        <v>102.6508426208014</v>
      </c>
      <c r="CO78" s="47">
        <v>74.115420135918768</v>
      </c>
      <c r="CP78" s="47">
        <v>161.5687434696724</v>
      </c>
      <c r="CQ78" s="47">
        <v>1160.7869279898509</v>
      </c>
      <c r="CR78" s="47">
        <v>2107.8351185854958</v>
      </c>
      <c r="CS78" s="47">
        <v>851.58361297234433</v>
      </c>
      <c r="CT78" s="47">
        <v>1215.8894867699539</v>
      </c>
      <c r="CU78" s="47">
        <v>654.69154360443463</v>
      </c>
      <c r="CV78" s="47">
        <v>28.968829748896091</v>
      </c>
      <c r="CW78" s="47">
        <v>75.496696820919823</v>
      </c>
      <c r="CX78" s="47">
        <v>190.9562718951023</v>
      </c>
      <c r="CY78" s="47">
        <v>223.14646258256479</v>
      </c>
      <c r="CZ78" s="47">
        <v>237.23025294963179</v>
      </c>
      <c r="DA78" s="47">
        <v>0.5921162122971968</v>
      </c>
      <c r="DB78" s="47">
        <v>106.9806602935129</v>
      </c>
      <c r="DC78" s="47">
        <v>0</v>
      </c>
      <c r="DD78" s="48">
        <v>54827</v>
      </c>
      <c r="DE78" s="47">
        <v>169</v>
      </c>
      <c r="DF78" s="47">
        <v>0</v>
      </c>
      <c r="DG78" s="47">
        <v>169</v>
      </c>
      <c r="DH78" s="47">
        <v>0</v>
      </c>
      <c r="DI78" s="47">
        <v>28170</v>
      </c>
      <c r="DJ78" s="47">
        <v>-161</v>
      </c>
      <c r="DK78" s="47">
        <v>0</v>
      </c>
      <c r="DL78" s="47">
        <v>0</v>
      </c>
      <c r="DM78" s="47">
        <v>0</v>
      </c>
      <c r="DN78" s="47">
        <v>14344</v>
      </c>
      <c r="DO78" s="48">
        <v>97349</v>
      </c>
      <c r="DP78" s="47"/>
      <c r="DQ78" s="47"/>
      <c r="DR78" s="47"/>
      <c r="DS78" s="47"/>
    </row>
    <row r="79" spans="1:123" x14ac:dyDescent="0.45">
      <c r="A79" s="6" t="s">
        <v>270</v>
      </c>
      <c r="B79" t="s">
        <v>271</v>
      </c>
      <c r="C79" s="47">
        <v>5.5696980337078643E-2</v>
      </c>
      <c r="D79" s="47">
        <v>0</v>
      </c>
      <c r="E79" s="47">
        <v>0</v>
      </c>
      <c r="F79" s="47">
        <v>0</v>
      </c>
      <c r="G79" s="47">
        <v>3.940376222107417</v>
      </c>
      <c r="H79" s="47">
        <v>0</v>
      </c>
      <c r="I79" s="47">
        <v>0</v>
      </c>
      <c r="J79" s="47">
        <v>0.93672295536447858</v>
      </c>
      <c r="K79" s="47">
        <v>0.1308023130088351</v>
      </c>
      <c r="L79" s="47">
        <v>4.1941049505435653E-2</v>
      </c>
      <c r="M79" s="47">
        <v>6.2892280691497285E-2</v>
      </c>
      <c r="N79" s="47">
        <v>0.1189440961762777</v>
      </c>
      <c r="O79" s="47">
        <v>3.132454428204281</v>
      </c>
      <c r="P79" s="47">
        <v>10.137149002046989</v>
      </c>
      <c r="Q79" s="47">
        <v>2.542651947296393E-2</v>
      </c>
      <c r="R79" s="47">
        <v>0.86500453309156844</v>
      </c>
      <c r="S79" s="47">
        <v>2.0809326636009591E-3</v>
      </c>
      <c r="T79" s="47">
        <v>7.8335060404008674</v>
      </c>
      <c r="U79" s="47">
        <v>1.331412212444024</v>
      </c>
      <c r="V79" s="47">
        <v>6.2063521447143763E-2</v>
      </c>
      <c r="W79" s="47">
        <v>5.305647710057404E-2</v>
      </c>
      <c r="X79" s="47">
        <v>2.9389549648817681</v>
      </c>
      <c r="Y79" s="47">
        <v>21.025396836927371</v>
      </c>
      <c r="Z79" s="47">
        <v>3.0180002155714429E-3</v>
      </c>
      <c r="AA79" s="47">
        <v>3.320894317746135E-3</v>
      </c>
      <c r="AB79" s="47">
        <v>2.68270290203851</v>
      </c>
      <c r="AC79" s="47">
        <v>0.32695151279521328</v>
      </c>
      <c r="AD79" s="47">
        <v>1.2926308584227809E-2</v>
      </c>
      <c r="AE79" s="47">
        <v>0.10377669420555539</v>
      </c>
      <c r="AF79" s="47">
        <v>5.9963046983723123E-2</v>
      </c>
      <c r="AG79" s="47">
        <v>10.76968203837075</v>
      </c>
      <c r="AH79" s="47">
        <v>0.1410769688522375</v>
      </c>
      <c r="AI79" s="47">
        <v>2.695929028282792E-3</v>
      </c>
      <c r="AJ79" s="47">
        <v>6.0080211527192569E-2</v>
      </c>
      <c r="AK79" s="47">
        <v>1.812292081461675E-2</v>
      </c>
      <c r="AL79" s="47">
        <v>7.4022145409689835E-2</v>
      </c>
      <c r="AM79" s="47">
        <v>2.4321432581503599E-2</v>
      </c>
      <c r="AN79" s="47">
        <v>1.3564561124498831</v>
      </c>
      <c r="AO79" s="47">
        <v>41.365258366590297</v>
      </c>
      <c r="AP79" s="47">
        <v>0.19505575016317031</v>
      </c>
      <c r="AQ79" s="47">
        <v>0.96047141583187079</v>
      </c>
      <c r="AR79" s="47">
        <v>37.472489787587499</v>
      </c>
      <c r="AS79" s="47">
        <v>1.2150325406363941E-2</v>
      </c>
      <c r="AT79" s="47">
        <v>9.333198282333079</v>
      </c>
      <c r="AU79" s="47">
        <v>0.55520747845243301</v>
      </c>
      <c r="AV79" s="47">
        <v>4.6570415948211083E-2</v>
      </c>
      <c r="AW79" s="47">
        <v>6.0149220947726887</v>
      </c>
      <c r="AX79" s="47">
        <v>0</v>
      </c>
      <c r="AY79" s="47">
        <v>3.0598464792972159E-2</v>
      </c>
      <c r="AZ79" s="47">
        <v>13.043066875864961</v>
      </c>
      <c r="BA79" s="47">
        <v>6.847253574115876E-2</v>
      </c>
      <c r="BB79" s="47">
        <v>265.45736700779872</v>
      </c>
      <c r="BC79" s="47">
        <v>8.1881113619262624</v>
      </c>
      <c r="BD79" s="47">
        <v>0</v>
      </c>
      <c r="BE79" s="47">
        <v>0</v>
      </c>
      <c r="BF79" s="47">
        <v>0</v>
      </c>
      <c r="BG79" s="47">
        <v>28.68887327253174</v>
      </c>
      <c r="BH79" s="47">
        <v>363.23984148352542</v>
      </c>
      <c r="BI79" s="47">
        <v>629.79310240513985</v>
      </c>
      <c r="BJ79" s="47">
        <v>1081.329218727524</v>
      </c>
      <c r="BK79" s="47">
        <v>44.397760905932323</v>
      </c>
      <c r="BL79" s="47">
        <v>46.543353209269391</v>
      </c>
      <c r="BM79" s="47">
        <v>0</v>
      </c>
      <c r="BN79" s="47">
        <v>16.646178033989671</v>
      </c>
      <c r="BO79" s="47">
        <v>88.034482095095157</v>
      </c>
      <c r="BP79" s="47">
        <v>115.2305716250862</v>
      </c>
      <c r="BQ79" s="47">
        <v>0.13236701216519259</v>
      </c>
      <c r="BR79" s="47">
        <v>125.54726485148591</v>
      </c>
      <c r="BS79" s="47">
        <v>69.155511910635425</v>
      </c>
      <c r="BT79" s="47">
        <v>51.241964637819301</v>
      </c>
      <c r="BU79" s="47">
        <v>1608.99898432654</v>
      </c>
      <c r="BV79" s="47">
        <v>555.31852751239546</v>
      </c>
      <c r="BW79" s="47">
        <v>141.36332918375541</v>
      </c>
      <c r="BX79" s="47">
        <v>791.87228607336999</v>
      </c>
      <c r="BY79" s="47">
        <v>224.6295766805616</v>
      </c>
      <c r="BZ79" s="47">
        <v>4.0918553186678182</v>
      </c>
      <c r="CA79" s="47">
        <v>109.1224248564674</v>
      </c>
      <c r="CB79" s="47">
        <v>0</v>
      </c>
      <c r="CC79" s="47">
        <v>101.97078315794511</v>
      </c>
      <c r="CD79" s="47">
        <v>8.3380027346943582</v>
      </c>
      <c r="CE79" s="47">
        <v>164.96887201319859</v>
      </c>
      <c r="CF79" s="47">
        <v>279.68949830544921</v>
      </c>
      <c r="CG79" s="47">
        <v>1.261287059403968</v>
      </c>
      <c r="CH79" s="47">
        <v>78.828373930383137</v>
      </c>
      <c r="CI79" s="47">
        <v>113.6096798931046</v>
      </c>
      <c r="CJ79" s="47">
        <v>190.3229431691841</v>
      </c>
      <c r="CK79" s="47">
        <v>0</v>
      </c>
      <c r="CL79" s="47">
        <v>149.31073377338191</v>
      </c>
      <c r="CM79" s="47">
        <v>7.9532564277937414</v>
      </c>
      <c r="CN79" s="47">
        <v>22.065134395125529</v>
      </c>
      <c r="CO79" s="47">
        <v>35.428633462368119</v>
      </c>
      <c r="CP79" s="47">
        <v>2.8767553988224779</v>
      </c>
      <c r="CQ79" s="47">
        <v>410.66617742960659</v>
      </c>
      <c r="CR79" s="47">
        <v>0</v>
      </c>
      <c r="CS79" s="47">
        <v>22.598642977246801</v>
      </c>
      <c r="CT79" s="47">
        <v>0.1144633736239332</v>
      </c>
      <c r="CU79" s="47">
        <v>0.97128829387424553</v>
      </c>
      <c r="CV79" s="47">
        <v>35.270561066179233</v>
      </c>
      <c r="CW79" s="47">
        <v>7.0058800919647526</v>
      </c>
      <c r="CX79" s="47">
        <v>98.630958342682916</v>
      </c>
      <c r="CY79" s="47">
        <v>0.60031711758552908</v>
      </c>
      <c r="CZ79" s="47">
        <v>3.077516603318327</v>
      </c>
      <c r="DA79" s="47">
        <v>7.1022838553968386</v>
      </c>
      <c r="DB79" s="47">
        <v>87.884544358451876</v>
      </c>
      <c r="DC79" s="47">
        <v>0</v>
      </c>
      <c r="DD79" s="48">
        <v>8377</v>
      </c>
      <c r="DE79" s="47">
        <v>0</v>
      </c>
      <c r="DF79" s="47">
        <v>0</v>
      </c>
      <c r="DG79" s="47">
        <v>0</v>
      </c>
      <c r="DH79" s="47">
        <v>0</v>
      </c>
      <c r="DI79" s="47">
        <v>0</v>
      </c>
      <c r="DJ79" s="47">
        <v>0</v>
      </c>
      <c r="DK79" s="47">
        <v>0</v>
      </c>
      <c r="DL79" s="47">
        <v>0</v>
      </c>
      <c r="DM79" s="47">
        <v>0</v>
      </c>
      <c r="DN79" s="47">
        <v>4271</v>
      </c>
      <c r="DO79" s="48">
        <v>12648</v>
      </c>
      <c r="DP79" s="47"/>
      <c r="DQ79" s="47"/>
      <c r="DR79" s="47"/>
      <c r="DS79" s="47"/>
    </row>
    <row r="80" spans="1:123" x14ac:dyDescent="0.45">
      <c r="A80" s="6" t="s">
        <v>272</v>
      </c>
      <c r="B80" t="s">
        <v>273</v>
      </c>
      <c r="C80" s="47">
        <v>971.4525786401307</v>
      </c>
      <c r="D80" s="47">
        <v>15.46972860125261</v>
      </c>
      <c r="E80" s="47">
        <v>30.548786074209801</v>
      </c>
      <c r="F80" s="47">
        <v>16.721311475409841</v>
      </c>
      <c r="G80" s="47">
        <v>1124.4228789041019</v>
      </c>
      <c r="H80" s="47">
        <v>217.31019699357989</v>
      </c>
      <c r="I80" s="47">
        <v>198.06659901847269</v>
      </c>
      <c r="J80" s="47">
        <v>179.38101492276289</v>
      </c>
      <c r="K80" s="47">
        <v>216.68200012282981</v>
      </c>
      <c r="L80" s="47">
        <v>39.002101327137147</v>
      </c>
      <c r="M80" s="47">
        <v>129.07005121504471</v>
      </c>
      <c r="N80" s="47">
        <v>111.7432582432894</v>
      </c>
      <c r="O80" s="47">
        <v>276.61148560817628</v>
      </c>
      <c r="P80" s="47">
        <v>632.80894550147593</v>
      </c>
      <c r="Q80" s="47">
        <v>79.613331571049216</v>
      </c>
      <c r="R80" s="47">
        <v>413.87722051621728</v>
      </c>
      <c r="S80" s="47">
        <v>37.674397177640223</v>
      </c>
      <c r="T80" s="47">
        <v>122.3428499058265</v>
      </c>
      <c r="U80" s="47">
        <v>185.82021828194189</v>
      </c>
      <c r="V80" s="47">
        <v>23.124834300818801</v>
      </c>
      <c r="W80" s="47">
        <v>159.9727549239</v>
      </c>
      <c r="X80" s="47">
        <v>228.5380814097698</v>
      </c>
      <c r="Y80" s="47">
        <v>98.026179521983551</v>
      </c>
      <c r="Z80" s="47">
        <v>430.31937646965162</v>
      </c>
      <c r="AA80" s="47">
        <v>78.716863970423304</v>
      </c>
      <c r="AB80" s="47">
        <v>141.65029983659139</v>
      </c>
      <c r="AC80" s="47">
        <v>249.41213383233179</v>
      </c>
      <c r="AD80" s="47">
        <v>95.344940366922444</v>
      </c>
      <c r="AE80" s="47">
        <v>344.16816650696552</v>
      </c>
      <c r="AF80" s="47">
        <v>80.904446986007713</v>
      </c>
      <c r="AG80" s="47">
        <v>862.50605682318758</v>
      </c>
      <c r="AH80" s="47">
        <v>493.18076123814518</v>
      </c>
      <c r="AI80" s="47">
        <v>286.01296993635532</v>
      </c>
      <c r="AJ80" s="47">
        <v>327.59101861603551</v>
      </c>
      <c r="AK80" s="47">
        <v>121.0029780552141</v>
      </c>
      <c r="AL80" s="47">
        <v>156.55445010358869</v>
      </c>
      <c r="AM80" s="47">
        <v>3.0938590117269911</v>
      </c>
      <c r="AN80" s="47">
        <v>724.22412129981649</v>
      </c>
      <c r="AO80" s="47">
        <v>58.618228170724997</v>
      </c>
      <c r="AP80" s="47">
        <v>277.082832287006</v>
      </c>
      <c r="AQ80" s="47">
        <v>371.00784546018258</v>
      </c>
      <c r="AR80" s="47">
        <v>1185.55665282106</v>
      </c>
      <c r="AS80" s="47">
        <v>88.497315287241221</v>
      </c>
      <c r="AT80" s="47">
        <v>867.9866654462661</v>
      </c>
      <c r="AU80" s="47">
        <v>171.71118911881089</v>
      </c>
      <c r="AV80" s="47">
        <v>154.62192913821821</v>
      </c>
      <c r="AW80" s="47">
        <v>218.99677595007111</v>
      </c>
      <c r="AX80" s="47">
        <v>14.760372291330169</v>
      </c>
      <c r="AY80" s="47">
        <v>76.670461180682352</v>
      </c>
      <c r="AZ80" s="47">
        <v>274.13259410298252</v>
      </c>
      <c r="BA80" s="47">
        <v>1088.1609174776979</v>
      </c>
      <c r="BB80" s="47">
        <v>466.17263390083377</v>
      </c>
      <c r="BC80" s="47">
        <v>204.7027840481565</v>
      </c>
      <c r="BD80" s="47">
        <v>58.003586371787208</v>
      </c>
      <c r="BE80" s="47">
        <v>402.67481885714989</v>
      </c>
      <c r="BF80" s="47">
        <v>2.9268292682926829</v>
      </c>
      <c r="BG80" s="47">
        <v>2597.967070858158</v>
      </c>
      <c r="BH80" s="47">
        <v>553.36207924273913</v>
      </c>
      <c r="BI80" s="47">
        <v>1128.8147022219221</v>
      </c>
      <c r="BJ80" s="47">
        <v>854.37428517273815</v>
      </c>
      <c r="BK80" s="47">
        <v>74.98288508557458</v>
      </c>
      <c r="BL80" s="47">
        <v>786.94651657068789</v>
      </c>
      <c r="BM80" s="47">
        <v>116.7703770530387</v>
      </c>
      <c r="BN80" s="47">
        <v>209.54600583963469</v>
      </c>
      <c r="BO80" s="47">
        <v>985.30901114125732</v>
      </c>
      <c r="BP80" s="47">
        <v>568.37179761779851</v>
      </c>
      <c r="BQ80" s="47">
        <v>328.35318184649111</v>
      </c>
      <c r="BR80" s="47">
        <v>1233.464583869955</v>
      </c>
      <c r="BS80" s="47">
        <v>109.68638650768921</v>
      </c>
      <c r="BT80" s="47">
        <v>151.68690571255479</v>
      </c>
      <c r="BU80" s="47">
        <v>558.87290084760423</v>
      </c>
      <c r="BV80" s="47">
        <v>684.38853049531633</v>
      </c>
      <c r="BW80" s="47">
        <v>48.318585376983627</v>
      </c>
      <c r="BX80" s="47">
        <v>12995.41784989068</v>
      </c>
      <c r="BY80" s="47">
        <v>1295.075905554469</v>
      </c>
      <c r="BZ80" s="47">
        <v>546.03228249997471</v>
      </c>
      <c r="CA80" s="47">
        <v>956.27895981087477</v>
      </c>
      <c r="CB80" s="47">
        <v>15204</v>
      </c>
      <c r="CC80" s="47">
        <v>7367.1891004190984</v>
      </c>
      <c r="CD80" s="47">
        <v>506.9216180643013</v>
      </c>
      <c r="CE80" s="47">
        <v>329.83321537180262</v>
      </c>
      <c r="CF80" s="47">
        <v>639.08749447484138</v>
      </c>
      <c r="CG80" s="47">
        <v>740.81437068760863</v>
      </c>
      <c r="CH80" s="47">
        <v>567.86752707790129</v>
      </c>
      <c r="CI80" s="47">
        <v>594.26375362860051</v>
      </c>
      <c r="CJ80" s="47">
        <v>499.86043795613261</v>
      </c>
      <c r="CK80" s="47">
        <v>62.081248891254212</v>
      </c>
      <c r="CL80" s="47">
        <v>677.86583835287911</v>
      </c>
      <c r="CM80" s="47">
        <v>4.5350534044057014</v>
      </c>
      <c r="CN80" s="47">
        <v>254.2287223786202</v>
      </c>
      <c r="CO80" s="47">
        <v>48.607351413965937</v>
      </c>
      <c r="CP80" s="47">
        <v>304.92639968801137</v>
      </c>
      <c r="CQ80" s="47">
        <v>218.13959873261709</v>
      </c>
      <c r="CR80" s="47">
        <v>2996.3264005230249</v>
      </c>
      <c r="CS80" s="47">
        <v>1341.3202861005111</v>
      </c>
      <c r="CT80" s="47">
        <v>701.62354710706893</v>
      </c>
      <c r="CU80" s="47">
        <v>787.22050456909631</v>
      </c>
      <c r="CV80" s="47">
        <v>220.22130994889261</v>
      </c>
      <c r="CW80" s="47">
        <v>6.8751042081218943</v>
      </c>
      <c r="CX80" s="47">
        <v>112.864913297759</v>
      </c>
      <c r="CY80" s="47">
        <v>18.99590546301123</v>
      </c>
      <c r="CZ80" s="47">
        <v>1.902656343598218</v>
      </c>
      <c r="DA80" s="47">
        <v>43.375836939651833</v>
      </c>
      <c r="DB80" s="47">
        <v>433.78332325260061</v>
      </c>
      <c r="DC80" s="47">
        <v>0</v>
      </c>
      <c r="DD80" s="48">
        <v>77354</v>
      </c>
      <c r="DE80" s="47">
        <v>29420</v>
      </c>
      <c r="DF80" s="47">
        <v>0</v>
      </c>
      <c r="DG80" s="47">
        <v>29420</v>
      </c>
      <c r="DH80" s="47">
        <v>0</v>
      </c>
      <c r="DI80" s="47">
        <v>0</v>
      </c>
      <c r="DJ80" s="47">
        <v>0</v>
      </c>
      <c r="DK80" s="47">
        <v>0</v>
      </c>
      <c r="DL80" s="47">
        <v>0</v>
      </c>
      <c r="DM80" s="47">
        <v>0</v>
      </c>
      <c r="DN80" s="47">
        <v>50463</v>
      </c>
      <c r="DO80" s="48">
        <v>157237</v>
      </c>
      <c r="DP80" s="47"/>
      <c r="DQ80" s="47"/>
      <c r="DR80" s="47"/>
      <c r="DS80" s="47"/>
    </row>
    <row r="81" spans="1:123" x14ac:dyDescent="0.45">
      <c r="A81" s="6" t="s">
        <v>274</v>
      </c>
      <c r="B81" t="s">
        <v>275</v>
      </c>
      <c r="C81" s="47">
        <v>126.7108367788957</v>
      </c>
      <c r="D81" s="47">
        <v>4.6409185803757822</v>
      </c>
      <c r="E81" s="47">
        <v>11.455794777828681</v>
      </c>
      <c r="F81" s="47">
        <v>0.98360655737704916</v>
      </c>
      <c r="G81" s="47">
        <v>92.058418025804386</v>
      </c>
      <c r="H81" s="47">
        <v>17.541320727350719</v>
      </c>
      <c r="I81" s="47">
        <v>15.82121196698129</v>
      </c>
      <c r="J81" s="47">
        <v>108.8715842968613</v>
      </c>
      <c r="K81" s="47">
        <v>47.750456522746312</v>
      </c>
      <c r="L81" s="47">
        <v>9.3369362272337639</v>
      </c>
      <c r="M81" s="47">
        <v>50.753825854703962</v>
      </c>
      <c r="N81" s="47">
        <v>25.7878492351179</v>
      </c>
      <c r="O81" s="47">
        <v>41.744889448738057</v>
      </c>
      <c r="P81" s="47">
        <v>63.879576496093023</v>
      </c>
      <c r="Q81" s="47">
        <v>34.96150389038494</v>
      </c>
      <c r="R81" s="47">
        <v>43.404193774406743</v>
      </c>
      <c r="S81" s="47">
        <v>22.5876946214863</v>
      </c>
      <c r="T81" s="47">
        <v>21.128145130301611</v>
      </c>
      <c r="U81" s="47">
        <v>10.54253229763712</v>
      </c>
      <c r="V81" s="47">
        <v>4.7769173788816239</v>
      </c>
      <c r="W81" s="47">
        <v>37.128697028300188</v>
      </c>
      <c r="X81" s="47">
        <v>55.45313990728215</v>
      </c>
      <c r="Y81" s="47">
        <v>31.76860166597811</v>
      </c>
      <c r="Z81" s="47">
        <v>189.68603362760041</v>
      </c>
      <c r="AA81" s="47">
        <v>13.150447463706829</v>
      </c>
      <c r="AB81" s="47">
        <v>25.886320522254959</v>
      </c>
      <c r="AC81" s="47">
        <v>27.879814424060282</v>
      </c>
      <c r="AD81" s="47">
        <v>14.66967934063651</v>
      </c>
      <c r="AE81" s="47">
        <v>40.722322825796567</v>
      </c>
      <c r="AF81" s="47">
        <v>10.05912187584843</v>
      </c>
      <c r="AG81" s="47">
        <v>73.872734462846822</v>
      </c>
      <c r="AH81" s="47">
        <v>90.765826989851817</v>
      </c>
      <c r="AI81" s="47">
        <v>40.261553064157013</v>
      </c>
      <c r="AJ81" s="47">
        <v>34.562295972847508</v>
      </c>
      <c r="AK81" s="47">
        <v>60.264938731268053</v>
      </c>
      <c r="AL81" s="47">
        <v>23.905163435455211</v>
      </c>
      <c r="AM81" s="47">
        <v>10.91984263497964</v>
      </c>
      <c r="AN81" s="47">
        <v>125.7574272371069</v>
      </c>
      <c r="AO81" s="47">
        <v>84.904026161721248</v>
      </c>
      <c r="AP81" s="47">
        <v>53.97116407065927</v>
      </c>
      <c r="AQ81" s="47">
        <v>126.0039986137883</v>
      </c>
      <c r="AR81" s="47">
        <v>299.4040383625445</v>
      </c>
      <c r="AS81" s="47">
        <v>21.81266926426607</v>
      </c>
      <c r="AT81" s="47">
        <v>151.50481680609241</v>
      </c>
      <c r="AU81" s="47">
        <v>16.141911692371419</v>
      </c>
      <c r="AV81" s="47">
        <v>32.248103408312417</v>
      </c>
      <c r="AW81" s="47">
        <v>35.126669703097463</v>
      </c>
      <c r="AX81" s="47">
        <v>3.0703527085631568</v>
      </c>
      <c r="AY81" s="47">
        <v>22.53606376868542</v>
      </c>
      <c r="AZ81" s="47">
        <v>72.761412957559173</v>
      </c>
      <c r="BA81" s="47">
        <v>152.58575478580781</v>
      </c>
      <c r="BB81" s="47">
        <v>68.10832754649789</v>
      </c>
      <c r="BC81" s="47">
        <v>29.113284842404489</v>
      </c>
      <c r="BD81" s="47">
        <v>8.7005379557680822</v>
      </c>
      <c r="BE81" s="47">
        <v>80.17710142590289</v>
      </c>
      <c r="BF81" s="47">
        <v>2.9268292682926829</v>
      </c>
      <c r="BG81" s="47">
        <v>1472.0332867405709</v>
      </c>
      <c r="BH81" s="47">
        <v>193.1110793529258</v>
      </c>
      <c r="BI81" s="47">
        <v>641.39499053707368</v>
      </c>
      <c r="BJ81" s="47">
        <v>422.37662216311742</v>
      </c>
      <c r="BK81" s="47">
        <v>74.98288508557458</v>
      </c>
      <c r="BL81" s="47">
        <v>236.06468866796641</v>
      </c>
      <c r="BM81" s="47">
        <v>66.130546080551525</v>
      </c>
      <c r="BN81" s="47">
        <v>203.67088418057949</v>
      </c>
      <c r="BO81" s="47">
        <v>145.5954896188112</v>
      </c>
      <c r="BP81" s="47">
        <v>85.001530132035398</v>
      </c>
      <c r="BQ81" s="47">
        <v>74.214958915832213</v>
      </c>
      <c r="BR81" s="47">
        <v>390.08821219433031</v>
      </c>
      <c r="BS81" s="47">
        <v>71.665070328953036</v>
      </c>
      <c r="BT81" s="47">
        <v>187.45028331979989</v>
      </c>
      <c r="BU81" s="47">
        <v>117.76141966336</v>
      </c>
      <c r="BV81" s="47">
        <v>361.39299753800083</v>
      </c>
      <c r="BW81" s="47">
        <v>68.221070125019025</v>
      </c>
      <c r="BX81" s="47">
        <v>161.10869260836449</v>
      </c>
      <c r="BY81" s="47">
        <v>4766.4668251794556</v>
      </c>
      <c r="BZ81" s="47">
        <v>12.210401746028509</v>
      </c>
      <c r="CA81" s="47">
        <v>45.814758527524489</v>
      </c>
      <c r="CB81" s="47">
        <v>1966</v>
      </c>
      <c r="CC81" s="47">
        <v>812.14172137477613</v>
      </c>
      <c r="CD81" s="47">
        <v>58.960951795254488</v>
      </c>
      <c r="CE81" s="47">
        <v>42.161259270747422</v>
      </c>
      <c r="CF81" s="47">
        <v>216.75531061169329</v>
      </c>
      <c r="CG81" s="47">
        <v>183.2616055443462</v>
      </c>
      <c r="CH81" s="47">
        <v>161.15702849660579</v>
      </c>
      <c r="CI81" s="47">
        <v>152.4307364888073</v>
      </c>
      <c r="CJ81" s="47">
        <v>104.692252588222</v>
      </c>
      <c r="CK81" s="47">
        <v>9.7001951392584704</v>
      </c>
      <c r="CL81" s="47">
        <v>122.81884465088319</v>
      </c>
      <c r="CM81" s="47">
        <v>166.1392476668407</v>
      </c>
      <c r="CN81" s="47">
        <v>151.57787975781881</v>
      </c>
      <c r="CO81" s="47">
        <v>21.179105711865851</v>
      </c>
      <c r="CP81" s="47">
        <v>78.056361591005867</v>
      </c>
      <c r="CQ81" s="47">
        <v>165.22778414543819</v>
      </c>
      <c r="CR81" s="47">
        <v>48.106157806562337</v>
      </c>
      <c r="CS81" s="47">
        <v>168.15616311229709</v>
      </c>
      <c r="CT81" s="47">
        <v>79.974662844925675</v>
      </c>
      <c r="CU81" s="47">
        <v>101.0868012483036</v>
      </c>
      <c r="CV81" s="47">
        <v>42.035142566166371</v>
      </c>
      <c r="CW81" s="47">
        <v>12.435398256367661</v>
      </c>
      <c r="CX81" s="47">
        <v>15.43078711519296</v>
      </c>
      <c r="CY81" s="47">
        <v>56.726938422478518</v>
      </c>
      <c r="CZ81" s="47">
        <v>43.653144360161207</v>
      </c>
      <c r="DA81" s="47">
        <v>9.5805764525991961</v>
      </c>
      <c r="DB81" s="47">
        <v>48.248013133989041</v>
      </c>
      <c r="DC81" s="47">
        <v>0</v>
      </c>
      <c r="DD81" s="48">
        <v>17757</v>
      </c>
      <c r="DE81" s="47">
        <v>29685</v>
      </c>
      <c r="DF81" s="47">
        <v>0</v>
      </c>
      <c r="DG81" s="47">
        <v>29685</v>
      </c>
      <c r="DH81" s="47">
        <v>0</v>
      </c>
      <c r="DI81" s="47">
        <v>0</v>
      </c>
      <c r="DJ81" s="47">
        <v>0</v>
      </c>
      <c r="DK81" s="47">
        <v>0</v>
      </c>
      <c r="DL81" s="47">
        <v>0</v>
      </c>
      <c r="DM81" s="47">
        <v>0</v>
      </c>
      <c r="DN81" s="47">
        <v>9969</v>
      </c>
      <c r="DO81" s="48">
        <v>57411</v>
      </c>
      <c r="DP81" s="47"/>
      <c r="DQ81" s="47"/>
      <c r="DR81" s="47"/>
      <c r="DS81" s="47"/>
    </row>
    <row r="82" spans="1:123" x14ac:dyDescent="0.45">
      <c r="A82" s="6" t="s">
        <v>276</v>
      </c>
      <c r="B82" t="s">
        <v>277</v>
      </c>
      <c r="C82" s="47">
        <v>0.40173796141196039</v>
      </c>
      <c r="D82" s="47">
        <v>0</v>
      </c>
      <c r="E82" s="47">
        <v>0</v>
      </c>
      <c r="F82" s="47">
        <v>3.9344262295081971</v>
      </c>
      <c r="G82" s="47">
        <v>0.2067126870780846</v>
      </c>
      <c r="H82" s="47">
        <v>1.703648036421481</v>
      </c>
      <c r="I82" s="47">
        <v>9.6213730396319086</v>
      </c>
      <c r="J82" s="47">
        <v>14.5855234620741</v>
      </c>
      <c r="K82" s="47">
        <v>0.18219382761258079</v>
      </c>
      <c r="L82" s="47">
        <v>1.0367613649635941</v>
      </c>
      <c r="M82" s="47">
        <v>7.7958284751108424</v>
      </c>
      <c r="N82" s="47">
        <v>6.2109116862528788</v>
      </c>
      <c r="O82" s="47">
        <v>9.9660158601873583</v>
      </c>
      <c r="P82" s="47">
        <v>5.0790933697946086</v>
      </c>
      <c r="Q82" s="47">
        <v>0.1407309734447352</v>
      </c>
      <c r="R82" s="47">
        <v>22.572150900979061</v>
      </c>
      <c r="S82" s="47">
        <v>7.5234217183799051E-2</v>
      </c>
      <c r="T82" s="47">
        <v>3.4860661272744018</v>
      </c>
      <c r="U82" s="47">
        <v>3.9521421757632331</v>
      </c>
      <c r="V82" s="47">
        <v>9.1646440148392475E-2</v>
      </c>
      <c r="W82" s="47">
        <v>7.3459560839382709E-2</v>
      </c>
      <c r="X82" s="47">
        <v>6.0037498895152037</v>
      </c>
      <c r="Y82" s="47">
        <v>11.406302967068511</v>
      </c>
      <c r="Z82" s="47">
        <v>73.107920305165777</v>
      </c>
      <c r="AA82" s="47">
        <v>2.797133566570368</v>
      </c>
      <c r="AB82" s="47">
        <v>37.574128561193596</v>
      </c>
      <c r="AC82" s="47">
        <v>49.110994855562403</v>
      </c>
      <c r="AD82" s="47">
        <v>15.74035699215352</v>
      </c>
      <c r="AE82" s="47">
        <v>83.384632722220516</v>
      </c>
      <c r="AF82" s="47">
        <v>0.75899249795813906</v>
      </c>
      <c r="AG82" s="47">
        <v>11.98388226359407</v>
      </c>
      <c r="AH82" s="47">
        <v>27.80641647056494</v>
      </c>
      <c r="AI82" s="47">
        <v>69.390681341866312</v>
      </c>
      <c r="AJ82" s="47">
        <v>15.384110883015641</v>
      </c>
      <c r="AK82" s="47">
        <v>26.149089102419492</v>
      </c>
      <c r="AL82" s="47">
        <v>4.6883673340369549</v>
      </c>
      <c r="AM82" s="47">
        <v>1.6319792700050451</v>
      </c>
      <c r="AN82" s="47">
        <v>30.953736612779281</v>
      </c>
      <c r="AO82" s="47">
        <v>109.0895826613921</v>
      </c>
      <c r="AP82" s="47">
        <v>31.636884852204119</v>
      </c>
      <c r="AQ82" s="47">
        <v>23.31129382708539</v>
      </c>
      <c r="AR82" s="47">
        <v>99.325039924289499</v>
      </c>
      <c r="AS82" s="47">
        <v>5.7853730993774244</v>
      </c>
      <c r="AT82" s="47">
        <v>37.200794445772402</v>
      </c>
      <c r="AU82" s="47">
        <v>12.04127844600867</v>
      </c>
      <c r="AV82" s="47">
        <v>3.2087333747393858</v>
      </c>
      <c r="AW82" s="47">
        <v>10.928235881256869</v>
      </c>
      <c r="AX82" s="47">
        <v>8.6449029767653895E-2</v>
      </c>
      <c r="AY82" s="47">
        <v>2.8724228060732</v>
      </c>
      <c r="AZ82" s="47">
        <v>26.43226143421014</v>
      </c>
      <c r="BA82" s="47">
        <v>0.16199174706118311</v>
      </c>
      <c r="BB82" s="47">
        <v>8.8594893592516808</v>
      </c>
      <c r="BC82" s="47">
        <v>8.1881113619262624</v>
      </c>
      <c r="BD82" s="47">
        <v>16.434349472006371</v>
      </c>
      <c r="BE82" s="47">
        <v>146.86386779963979</v>
      </c>
      <c r="BF82" s="47">
        <v>0</v>
      </c>
      <c r="BG82" s="47">
        <v>741.31268573241448</v>
      </c>
      <c r="BH82" s="47">
        <v>107.1124197065088</v>
      </c>
      <c r="BI82" s="47">
        <v>3223.754040629241</v>
      </c>
      <c r="BJ82" s="47">
        <v>559.27078636926024</v>
      </c>
      <c r="BK82" s="47">
        <v>35.518208724745861</v>
      </c>
      <c r="BL82" s="47">
        <v>113.2285917568357</v>
      </c>
      <c r="BM82" s="47">
        <v>534.25695987452639</v>
      </c>
      <c r="BN82" s="47">
        <v>403.42502058845548</v>
      </c>
      <c r="BO82" s="47">
        <v>102.4247339760242</v>
      </c>
      <c r="BP82" s="47">
        <v>94.660863149713165</v>
      </c>
      <c r="BQ82" s="47">
        <v>20.77295712396991</v>
      </c>
      <c r="BR82" s="47">
        <v>265.65590957042468</v>
      </c>
      <c r="BS82" s="47">
        <v>105.0238426564656</v>
      </c>
      <c r="BT82" s="47">
        <v>14.881289214588159</v>
      </c>
      <c r="BU82" s="47">
        <v>268.16010300225253</v>
      </c>
      <c r="BV82" s="47">
        <v>1541.1964903570679</v>
      </c>
      <c r="BW82" s="47">
        <v>89.643016403730087</v>
      </c>
      <c r="BX82" s="47">
        <v>10899.291261275939</v>
      </c>
      <c r="BY82" s="47">
        <v>8241.313584445681</v>
      </c>
      <c r="BZ82" s="47">
        <v>12306.398870560641</v>
      </c>
      <c r="CA82" s="47">
        <v>196.58696386355959</v>
      </c>
      <c r="CB82" s="47">
        <v>0</v>
      </c>
      <c r="CC82" s="47">
        <v>1660.2380644374821</v>
      </c>
      <c r="CD82" s="47">
        <v>402.56098470100272</v>
      </c>
      <c r="CE82" s="47">
        <v>76.991479031877532</v>
      </c>
      <c r="CF82" s="47">
        <v>1538.6741001136529</v>
      </c>
      <c r="CG82" s="47">
        <v>1436.127785234818</v>
      </c>
      <c r="CH82" s="47">
        <v>188.13104464249639</v>
      </c>
      <c r="CI82" s="47">
        <v>169.96859138614269</v>
      </c>
      <c r="CJ82" s="47">
        <v>339.85511883368122</v>
      </c>
      <c r="CK82" s="47">
        <v>0</v>
      </c>
      <c r="CL82" s="47">
        <v>664.86617408693735</v>
      </c>
      <c r="CM82" s="47">
        <v>577.44068783170746</v>
      </c>
      <c r="CN82" s="47">
        <v>11.5122440322394</v>
      </c>
      <c r="CO82" s="47">
        <v>44.850533087901702</v>
      </c>
      <c r="CP82" s="47">
        <v>182.7987404016763</v>
      </c>
      <c r="CQ82" s="47">
        <v>1132.8853235535321</v>
      </c>
      <c r="CR82" s="47">
        <v>26.507474709738428</v>
      </c>
      <c r="CS82" s="47">
        <v>83.692421477152337</v>
      </c>
      <c r="CT82" s="47">
        <v>8.3753688017512123E-2</v>
      </c>
      <c r="CU82" s="47">
        <v>0</v>
      </c>
      <c r="CV82" s="47">
        <v>1.2180267965895251E-2</v>
      </c>
      <c r="CW82" s="47">
        <v>3.543288091552117</v>
      </c>
      <c r="CX82" s="47">
        <v>27.50859034001143</v>
      </c>
      <c r="CY82" s="47">
        <v>6.6980000713673764</v>
      </c>
      <c r="CZ82" s="47">
        <v>0.53575830452427486</v>
      </c>
      <c r="DA82" s="47">
        <v>25.219840971871889</v>
      </c>
      <c r="DB82" s="47">
        <v>34.994930167178047</v>
      </c>
      <c r="DC82" s="47">
        <v>0</v>
      </c>
      <c r="DD82" s="48">
        <v>49601</v>
      </c>
      <c r="DE82" s="47">
        <v>10125</v>
      </c>
      <c r="DF82" s="47">
        <v>0</v>
      </c>
      <c r="DG82" s="47">
        <v>10125</v>
      </c>
      <c r="DH82" s="47">
        <v>0</v>
      </c>
      <c r="DI82" s="47">
        <v>0</v>
      </c>
      <c r="DJ82" s="47">
        <v>0</v>
      </c>
      <c r="DK82" s="47">
        <v>0</v>
      </c>
      <c r="DL82" s="47">
        <v>0</v>
      </c>
      <c r="DM82" s="47">
        <v>0</v>
      </c>
      <c r="DN82" s="47">
        <v>24175</v>
      </c>
      <c r="DO82" s="48">
        <v>83901</v>
      </c>
      <c r="DP82" s="47"/>
      <c r="DQ82" s="47"/>
      <c r="DR82" s="47"/>
      <c r="DS82" s="47"/>
    </row>
    <row r="83" spans="1:123" x14ac:dyDescent="0.45">
      <c r="A83" s="6" t="s">
        <v>278</v>
      </c>
      <c r="B83" t="s">
        <v>279</v>
      </c>
      <c r="C83" s="47">
        <v>1.9920686156967632E-3</v>
      </c>
      <c r="D83" s="47">
        <v>0</v>
      </c>
      <c r="E83" s="47">
        <v>0</v>
      </c>
      <c r="F83" s="47">
        <v>0</v>
      </c>
      <c r="G83" s="47">
        <v>0</v>
      </c>
      <c r="H83" s="47">
        <v>0</v>
      </c>
      <c r="I83" s="47">
        <v>2.7224937747855761E-2</v>
      </c>
      <c r="J83" s="47">
        <v>0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4.6382189239332092E-4</v>
      </c>
      <c r="Q83" s="47">
        <v>0</v>
      </c>
      <c r="R83" s="47">
        <v>0</v>
      </c>
      <c r="S83" s="47">
        <v>0</v>
      </c>
      <c r="T83" s="47">
        <v>5.7736882935232239E-3</v>
      </c>
      <c r="U83" s="47">
        <v>3.0568030798247018E-3</v>
      </c>
      <c r="V83" s="47">
        <v>0</v>
      </c>
      <c r="W83" s="47">
        <v>3.1667501357233712E-3</v>
      </c>
      <c r="X83" s="47">
        <v>1.7663701263780809E-3</v>
      </c>
      <c r="Y83" s="47">
        <v>3.9993496626240044E-3</v>
      </c>
      <c r="Z83" s="47">
        <v>0</v>
      </c>
      <c r="AA83" s="47">
        <v>5.4782446466084868E-4</v>
      </c>
      <c r="AB83" s="47">
        <v>8.3923503852182584E-4</v>
      </c>
      <c r="AC83" s="47">
        <v>1.447124304267162E-2</v>
      </c>
      <c r="AD83" s="47">
        <v>6.9399887470345587E-7</v>
      </c>
      <c r="AE83" s="47">
        <v>4.3599257884972169E-3</v>
      </c>
      <c r="AF83" s="47">
        <v>0</v>
      </c>
      <c r="AG83" s="47">
        <v>5.1484230055658629E-2</v>
      </c>
      <c r="AH83" s="47">
        <v>1.5064154886901869E-2</v>
      </c>
      <c r="AI83" s="47">
        <v>4.5649906946025202E-4</v>
      </c>
      <c r="AJ83" s="47">
        <v>2.6907049386846599E-3</v>
      </c>
      <c r="AK83" s="47">
        <v>2.667392157163498E-5</v>
      </c>
      <c r="AL83" s="47">
        <v>4.4474444322176702E-4</v>
      </c>
      <c r="AM83" s="47">
        <v>0</v>
      </c>
      <c r="AN83" s="47">
        <v>0.220129750410859</v>
      </c>
      <c r="AO83" s="47">
        <v>0</v>
      </c>
      <c r="AP83" s="47">
        <v>2.3979958497692402E-3</v>
      </c>
      <c r="AQ83" s="47">
        <v>2.021858414187527E-2</v>
      </c>
      <c r="AR83" s="47">
        <v>1.393272729015209E-3</v>
      </c>
      <c r="AS83" s="47">
        <v>1.4741950507494709E-6</v>
      </c>
      <c r="AT83" s="47">
        <v>0</v>
      </c>
      <c r="AU83" s="47">
        <v>1.1131725417439699E-3</v>
      </c>
      <c r="AV83" s="47">
        <v>7.6444343319998741E-3</v>
      </c>
      <c r="AW83" s="47">
        <v>0.73413150268612404</v>
      </c>
      <c r="AX83" s="47">
        <v>0</v>
      </c>
      <c r="AY83" s="47">
        <v>2.7829313543599249E-4</v>
      </c>
      <c r="AZ83" s="47">
        <v>2.3562152133580701E-2</v>
      </c>
      <c r="BA83" s="47">
        <v>0</v>
      </c>
      <c r="BB83" s="47">
        <v>0</v>
      </c>
      <c r="BC83" s="47">
        <v>0</v>
      </c>
      <c r="BD83" s="47">
        <v>0</v>
      </c>
      <c r="BE83" s="47">
        <v>1.549386701097482E-3</v>
      </c>
      <c r="BF83" s="47">
        <v>0</v>
      </c>
      <c r="BG83" s="47">
        <v>74.407921919480344</v>
      </c>
      <c r="BH83" s="47">
        <v>7.1823102615856018E-4</v>
      </c>
      <c r="BI83" s="47">
        <v>20.2638266504153</v>
      </c>
      <c r="BJ83" s="47">
        <v>9.4030822069457169</v>
      </c>
      <c r="BK83" s="47">
        <v>0.9866169090207183</v>
      </c>
      <c r="BL83" s="47">
        <v>1.6602116966534339E-2</v>
      </c>
      <c r="BM83" s="47">
        <v>0</v>
      </c>
      <c r="BN83" s="47">
        <v>0</v>
      </c>
      <c r="BO83" s="47">
        <v>0</v>
      </c>
      <c r="BP83" s="47">
        <v>1.655878682490828</v>
      </c>
      <c r="BQ83" s="47">
        <v>0.39576632116579058</v>
      </c>
      <c r="BR83" s="47">
        <v>3.9913022116324659</v>
      </c>
      <c r="BS83" s="47">
        <v>0.56552652797837433</v>
      </c>
      <c r="BT83" s="47">
        <v>3.173713940595702</v>
      </c>
      <c r="BU83" s="47">
        <v>440.46035146016789</v>
      </c>
      <c r="BV83" s="47">
        <v>11.527246395031019</v>
      </c>
      <c r="BW83" s="47">
        <v>0.27334136408194631</v>
      </c>
      <c r="BX83" s="47">
        <v>53.154119071877709</v>
      </c>
      <c r="BY83" s="47">
        <v>40.606115784563073</v>
      </c>
      <c r="BZ83" s="47">
        <v>3.0911007670376192</v>
      </c>
      <c r="CA83" s="47">
        <v>311.54035798716649</v>
      </c>
      <c r="CB83" s="47">
        <v>30</v>
      </c>
      <c r="CC83" s="47">
        <v>81.120067135978374</v>
      </c>
      <c r="CD83" s="47">
        <v>4.9769081215598732</v>
      </c>
      <c r="CE83" s="47">
        <v>0.14310448765872311</v>
      </c>
      <c r="CF83" s="47">
        <v>7.5714004044836436</v>
      </c>
      <c r="CG83" s="47">
        <v>9.8978582750766986</v>
      </c>
      <c r="CH83" s="47">
        <v>7.8911394210792638</v>
      </c>
      <c r="CI83" s="47">
        <v>4.3270287177668374</v>
      </c>
      <c r="CJ83" s="47">
        <v>0.32482779583306448</v>
      </c>
      <c r="CK83" s="47">
        <v>0</v>
      </c>
      <c r="CL83" s="47">
        <v>2.7042834355176759</v>
      </c>
      <c r="CM83" s="47">
        <v>1.784440865496798</v>
      </c>
      <c r="CN83" s="47">
        <v>0</v>
      </c>
      <c r="CO83" s="47">
        <v>0.27901903263778072</v>
      </c>
      <c r="CP83" s="47">
        <v>2.1660793270723868</v>
      </c>
      <c r="CQ83" s="47">
        <v>4.4466898349754072</v>
      </c>
      <c r="CR83" s="47">
        <v>3.927033290331619</v>
      </c>
      <c r="CS83" s="47">
        <v>9.7359693948074142</v>
      </c>
      <c r="CT83" s="47">
        <v>0</v>
      </c>
      <c r="CU83" s="47">
        <v>0</v>
      </c>
      <c r="CV83" s="47">
        <v>0</v>
      </c>
      <c r="CW83" s="47">
        <v>3.9345346338237733E-2</v>
      </c>
      <c r="CX83" s="47">
        <v>0</v>
      </c>
      <c r="CY83" s="47">
        <v>0</v>
      </c>
      <c r="CZ83" s="47">
        <v>0</v>
      </c>
      <c r="DA83" s="47">
        <v>1.5697971037243439E-4</v>
      </c>
      <c r="DB83" s="47">
        <v>8.098479729468259E-4</v>
      </c>
      <c r="DC83" s="47">
        <v>0</v>
      </c>
      <c r="DD83" s="48">
        <v>1148</v>
      </c>
      <c r="DE83" s="47">
        <v>40</v>
      </c>
      <c r="DF83" s="47">
        <v>0</v>
      </c>
      <c r="DG83" s="47">
        <v>40</v>
      </c>
      <c r="DH83" s="47">
        <v>0</v>
      </c>
      <c r="DI83" s="47">
        <v>8151</v>
      </c>
      <c r="DJ83" s="47">
        <v>0</v>
      </c>
      <c r="DK83" s="47">
        <v>0</v>
      </c>
      <c r="DL83" s="47">
        <v>0</v>
      </c>
      <c r="DM83" s="47">
        <v>0</v>
      </c>
      <c r="DN83" s="47">
        <v>527</v>
      </c>
      <c r="DO83" s="48">
        <v>9866</v>
      </c>
      <c r="DP83" s="47"/>
      <c r="DQ83" s="47"/>
      <c r="DR83" s="47"/>
      <c r="DS83" s="47"/>
    </row>
    <row r="84" spans="1:123" x14ac:dyDescent="0.45">
      <c r="A84" s="6" t="s">
        <v>280</v>
      </c>
      <c r="B84" t="s">
        <v>281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0</v>
      </c>
      <c r="AR84" s="47">
        <v>0</v>
      </c>
      <c r="AS84" s="47">
        <v>0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47">
        <v>0</v>
      </c>
      <c r="BD84" s="47">
        <v>0</v>
      </c>
      <c r="BE84" s="47">
        <v>0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0</v>
      </c>
      <c r="DC84" s="47">
        <v>0</v>
      </c>
      <c r="DD84" s="48">
        <v>0</v>
      </c>
      <c r="DE84" s="47">
        <v>216115</v>
      </c>
      <c r="DF84" s="47">
        <v>0</v>
      </c>
      <c r="DG84" s="47">
        <v>216115</v>
      </c>
      <c r="DH84" s="47">
        <v>0</v>
      </c>
      <c r="DI84" s="47">
        <v>0</v>
      </c>
      <c r="DJ84" s="47">
        <v>0</v>
      </c>
      <c r="DK84" s="47">
        <v>0</v>
      </c>
      <c r="DL84" s="47">
        <v>0</v>
      </c>
      <c r="DM84" s="47">
        <v>0</v>
      </c>
      <c r="DN84" s="47">
        <v>569</v>
      </c>
      <c r="DO84" s="48">
        <v>216684</v>
      </c>
      <c r="DP84" s="47"/>
      <c r="DQ84" s="47"/>
      <c r="DR84" s="47"/>
      <c r="DS84" s="47"/>
    </row>
    <row r="85" spans="1:123" x14ac:dyDescent="0.45">
      <c r="A85" s="6" t="s">
        <v>282</v>
      </c>
      <c r="B85" t="s">
        <v>283</v>
      </c>
      <c r="C85" s="47">
        <v>0.1919187413279628</v>
      </c>
      <c r="D85" s="47">
        <v>0</v>
      </c>
      <c r="E85" s="47">
        <v>0</v>
      </c>
      <c r="F85" s="47">
        <v>0</v>
      </c>
      <c r="G85" s="47">
        <v>0.47224625629115152</v>
      </c>
      <c r="H85" s="47">
        <v>0</v>
      </c>
      <c r="I85" s="47">
        <v>1.0141289311076269</v>
      </c>
      <c r="J85" s="47">
        <v>3.9160280832619829</v>
      </c>
      <c r="K85" s="47">
        <v>3.1426907997697692E-2</v>
      </c>
      <c r="L85" s="47">
        <v>4.4875428410109892E-2</v>
      </c>
      <c r="M85" s="47">
        <v>0.97410873331005254</v>
      </c>
      <c r="N85" s="47">
        <v>2.451750256167955E-2</v>
      </c>
      <c r="O85" s="47">
        <v>6.2513770734427257E-3</v>
      </c>
      <c r="P85" s="47">
        <v>0.19999758505800799</v>
      </c>
      <c r="Q85" s="47">
        <v>9.0552071480153221E-2</v>
      </c>
      <c r="R85" s="47">
        <v>2.220394250548598E-2</v>
      </c>
      <c r="S85" s="47">
        <v>3.9183532181961923E-3</v>
      </c>
      <c r="T85" s="47">
        <v>14.509817260352319</v>
      </c>
      <c r="U85" s="47">
        <v>0.71569387190979894</v>
      </c>
      <c r="V85" s="47">
        <v>7.3103311444451089</v>
      </c>
      <c r="W85" s="47">
        <v>28.31492641390421</v>
      </c>
      <c r="X85" s="47">
        <v>169.43943519120819</v>
      </c>
      <c r="Y85" s="47">
        <v>16.952168200575759</v>
      </c>
      <c r="Z85" s="47">
        <v>8.4025987833635254E-2</v>
      </c>
      <c r="AA85" s="47">
        <v>2.0445970746013029</v>
      </c>
      <c r="AB85" s="47">
        <v>3.9586621113137159</v>
      </c>
      <c r="AC85" s="47">
        <v>10.91866361286389</v>
      </c>
      <c r="AD85" s="47">
        <v>0.30201851288342457</v>
      </c>
      <c r="AE85" s="47">
        <v>22.350866263928591</v>
      </c>
      <c r="AF85" s="47">
        <v>0.13991377629535401</v>
      </c>
      <c r="AG85" s="47">
        <v>25.055185053598471</v>
      </c>
      <c r="AH85" s="47">
        <v>208.99924370893251</v>
      </c>
      <c r="AI85" s="47">
        <v>1.7617389200537379E-2</v>
      </c>
      <c r="AJ85" s="47">
        <v>4.7023860469818463E-2</v>
      </c>
      <c r="AK85" s="47">
        <v>19.13447688609013</v>
      </c>
      <c r="AL85" s="47">
        <v>9.2114542791740384</v>
      </c>
      <c r="AM85" s="47">
        <v>0.25824106280350628</v>
      </c>
      <c r="AN85" s="47">
        <v>356.34284378476627</v>
      </c>
      <c r="AO85" s="47">
        <v>132.4949211057336</v>
      </c>
      <c r="AP85" s="47">
        <v>37.194065408238949</v>
      </c>
      <c r="AQ85" s="47">
        <v>16.971066227567881</v>
      </c>
      <c r="AR85" s="47">
        <v>3.4890206722176962</v>
      </c>
      <c r="AS85" s="47">
        <v>0.53790063182923253</v>
      </c>
      <c r="AT85" s="47">
        <v>0.47206566285009571</v>
      </c>
      <c r="AU85" s="47">
        <v>11.072828319612549</v>
      </c>
      <c r="AV85" s="47">
        <v>86.893492751375646</v>
      </c>
      <c r="AW85" s="47">
        <v>7.6336515167945906</v>
      </c>
      <c r="AX85" s="47">
        <v>0.71489443005397058</v>
      </c>
      <c r="AY85" s="47">
        <v>0.24064932018467999</v>
      </c>
      <c r="AZ85" s="47">
        <v>46.01551573572447</v>
      </c>
      <c r="BA85" s="47">
        <v>81.441132955438789</v>
      </c>
      <c r="BB85" s="47">
        <v>85.494834128157649</v>
      </c>
      <c r="BC85" s="47">
        <v>25.474124237103929</v>
      </c>
      <c r="BD85" s="47">
        <v>5.8003586371787206</v>
      </c>
      <c r="BE85" s="47">
        <v>68.367362801178686</v>
      </c>
      <c r="BF85" s="47">
        <v>59.512195121951223</v>
      </c>
      <c r="BG85" s="47">
        <v>385.00975579328838</v>
      </c>
      <c r="BH85" s="47">
        <v>887.64286514718162</v>
      </c>
      <c r="BI85" s="47">
        <v>3974.5189261897908</v>
      </c>
      <c r="BJ85" s="47">
        <v>7936.1475701205591</v>
      </c>
      <c r="BK85" s="47">
        <v>0</v>
      </c>
      <c r="BL85" s="47">
        <v>483.23524538598332</v>
      </c>
      <c r="BM85" s="47">
        <v>176.79048490393421</v>
      </c>
      <c r="BN85" s="47">
        <v>652.13850415512456</v>
      </c>
      <c r="BO85" s="47">
        <v>1102.12399699821</v>
      </c>
      <c r="BP85" s="47">
        <v>121.0937746686093</v>
      </c>
      <c r="BQ85" s="47">
        <v>820.81873386467544</v>
      </c>
      <c r="BR85" s="47">
        <v>3178.337500960376</v>
      </c>
      <c r="BS85" s="47">
        <v>343.76153786565021</v>
      </c>
      <c r="BT85" s="47">
        <v>472.44472867031112</v>
      </c>
      <c r="BU85" s="47">
        <v>869.20672645980289</v>
      </c>
      <c r="BV85" s="47">
        <v>1740.05594279296</v>
      </c>
      <c r="BW85" s="47">
        <v>8.2179993604890669</v>
      </c>
      <c r="BX85" s="47">
        <v>1780.7889405968399</v>
      </c>
      <c r="BY85" s="47">
        <v>339.53624475177202</v>
      </c>
      <c r="BZ85" s="47">
        <v>111.81057257876719</v>
      </c>
      <c r="CA85" s="47">
        <v>274.88855116514691</v>
      </c>
      <c r="CB85" s="47">
        <v>95</v>
      </c>
      <c r="CC85" s="47">
        <v>4082.5678288993131</v>
      </c>
      <c r="CD85" s="47">
        <v>1356.430917941253</v>
      </c>
      <c r="CE85" s="47">
        <v>237.18378144515839</v>
      </c>
      <c r="CF85" s="47">
        <v>755.22072057212051</v>
      </c>
      <c r="CG85" s="47">
        <v>368.64273179266991</v>
      </c>
      <c r="CH85" s="47">
        <v>404.65616376739399</v>
      </c>
      <c r="CI85" s="47">
        <v>1351.5891477866589</v>
      </c>
      <c r="CJ85" s="47">
        <v>295.73764647475411</v>
      </c>
      <c r="CK85" s="47">
        <v>76.631541600141915</v>
      </c>
      <c r="CL85" s="47">
        <v>435.98097603504527</v>
      </c>
      <c r="CM85" s="47">
        <v>204.63025659467289</v>
      </c>
      <c r="CN85" s="47">
        <v>203.38297790289619</v>
      </c>
      <c r="CO85" s="47">
        <v>7.1916206543988936</v>
      </c>
      <c r="CP85" s="47">
        <v>32.903638071597328</v>
      </c>
      <c r="CQ85" s="47">
        <v>871.71853014609997</v>
      </c>
      <c r="CR85" s="47">
        <v>3142.6083905878781</v>
      </c>
      <c r="CS85" s="47">
        <v>2535.3596377983781</v>
      </c>
      <c r="CT85" s="47">
        <v>2736.138642457769</v>
      </c>
      <c r="CU85" s="47">
        <v>719.72462576081591</v>
      </c>
      <c r="CV85" s="47">
        <v>11.1472346874206</v>
      </c>
      <c r="CW85" s="47">
        <v>76.615172312947465</v>
      </c>
      <c r="CX85" s="47">
        <v>228.29630067467031</v>
      </c>
      <c r="CY85" s="47">
        <v>396.0301260095967</v>
      </c>
      <c r="CZ85" s="47">
        <v>0.50353224109424322</v>
      </c>
      <c r="DA85" s="47">
        <v>24.28825792689824</v>
      </c>
      <c r="DB85" s="47">
        <v>479.33153840494151</v>
      </c>
      <c r="DC85" s="47">
        <v>0</v>
      </c>
      <c r="DD85" s="48">
        <v>48361</v>
      </c>
      <c r="DE85" s="47">
        <v>89612</v>
      </c>
      <c r="DF85" s="47">
        <v>0</v>
      </c>
      <c r="DG85" s="47">
        <v>88356</v>
      </c>
      <c r="DH85" s="47">
        <v>1256</v>
      </c>
      <c r="DI85" s="47">
        <v>0</v>
      </c>
      <c r="DJ85" s="47">
        <v>0</v>
      </c>
      <c r="DK85" s="47">
        <v>0</v>
      </c>
      <c r="DL85" s="47">
        <v>0</v>
      </c>
      <c r="DM85" s="47">
        <v>0</v>
      </c>
      <c r="DN85" s="47">
        <v>850</v>
      </c>
      <c r="DO85" s="48">
        <v>138823</v>
      </c>
      <c r="DP85" s="47"/>
      <c r="DQ85" s="47"/>
      <c r="DR85" s="47"/>
      <c r="DS85" s="47"/>
    </row>
    <row r="86" spans="1:123" x14ac:dyDescent="0.45">
      <c r="A86" s="6" t="s">
        <v>284</v>
      </c>
      <c r="B86" t="s">
        <v>285</v>
      </c>
      <c r="C86" s="47">
        <v>2.8052918117033241</v>
      </c>
      <c r="D86" s="47">
        <v>2.3204592901878911</v>
      </c>
      <c r="E86" s="47">
        <v>5.7278973889143376</v>
      </c>
      <c r="F86" s="47">
        <v>0</v>
      </c>
      <c r="G86" s="47">
        <v>98.804916643624523</v>
      </c>
      <c r="H86" s="47">
        <v>24.585562483161599</v>
      </c>
      <c r="I86" s="47">
        <v>111.85082681235519</v>
      </c>
      <c r="J86" s="47">
        <v>50.980926202251908</v>
      </c>
      <c r="K86" s="47">
        <v>59.16227879023392</v>
      </c>
      <c r="L86" s="47">
        <v>9.3554630164513739</v>
      </c>
      <c r="M86" s="47">
        <v>44.121637023521153</v>
      </c>
      <c r="N86" s="47">
        <v>55.839692527086001</v>
      </c>
      <c r="O86" s="47">
        <v>96.00320315505401</v>
      </c>
      <c r="P86" s="47">
        <v>77.807454435156615</v>
      </c>
      <c r="Q86" s="47">
        <v>14.647260426603751</v>
      </c>
      <c r="R86" s="47">
        <v>82.293364844491578</v>
      </c>
      <c r="S86" s="47">
        <v>99.583540422238244</v>
      </c>
      <c r="T86" s="47">
        <v>47.389996912980067</v>
      </c>
      <c r="U86" s="47">
        <v>23.15945829540038</v>
      </c>
      <c r="V86" s="47">
        <v>6.8639546284974999</v>
      </c>
      <c r="W86" s="47">
        <v>3.9098540143982259</v>
      </c>
      <c r="X86" s="47">
        <v>28.34766723671196</v>
      </c>
      <c r="Y86" s="47">
        <v>7.8292462084351513</v>
      </c>
      <c r="Z86" s="47">
        <v>14.297239769435119</v>
      </c>
      <c r="AA86" s="47">
        <v>33.293416277548467</v>
      </c>
      <c r="AB86" s="47">
        <v>42.290422634420302</v>
      </c>
      <c r="AC86" s="47">
        <v>76.266237666117988</v>
      </c>
      <c r="AD86" s="47">
        <v>15.69402011977343</v>
      </c>
      <c r="AE86" s="47">
        <v>82.518971421255344</v>
      </c>
      <c r="AF86" s="47">
        <v>58.82473734121119</v>
      </c>
      <c r="AG86" s="47">
        <v>202.78183261336611</v>
      </c>
      <c r="AH86" s="47">
        <v>46.120458355887983</v>
      </c>
      <c r="AI86" s="47">
        <v>120.0861783767073</v>
      </c>
      <c r="AJ86" s="47">
        <v>39.061556110392956</v>
      </c>
      <c r="AK86" s="47">
        <v>55.207321838170706</v>
      </c>
      <c r="AL86" s="47">
        <v>8.1836028811857275</v>
      </c>
      <c r="AM86" s="47">
        <v>24.868962716939119</v>
      </c>
      <c r="AN86" s="47">
        <v>31.131253825903979</v>
      </c>
      <c r="AO86" s="47">
        <v>304.5666822862247</v>
      </c>
      <c r="AP86" s="47">
        <v>92.023929435674987</v>
      </c>
      <c r="AQ86" s="47">
        <v>99.651162937628442</v>
      </c>
      <c r="AR86" s="47">
        <v>56.852759025747687</v>
      </c>
      <c r="AS86" s="47">
        <v>17.924613471159319</v>
      </c>
      <c r="AT86" s="47">
        <v>22.770367893115051</v>
      </c>
      <c r="AU86" s="47">
        <v>10.78541143416577</v>
      </c>
      <c r="AV86" s="47">
        <v>18.858460377780411</v>
      </c>
      <c r="AW86" s="47">
        <v>22.430423592405351</v>
      </c>
      <c r="AX86" s="47">
        <v>16.97998205498298</v>
      </c>
      <c r="AY86" s="47">
        <v>4.8615233956456443</v>
      </c>
      <c r="AZ86" s="47">
        <v>95.795475190119348</v>
      </c>
      <c r="BA86" s="47">
        <v>508.72184630946208</v>
      </c>
      <c r="BB86" s="47">
        <v>269.35628911054368</v>
      </c>
      <c r="BC86" s="47">
        <v>40.03076665830617</v>
      </c>
      <c r="BD86" s="47">
        <v>5.8003586371787206</v>
      </c>
      <c r="BE86" s="47">
        <v>31.900560140012061</v>
      </c>
      <c r="BF86" s="47">
        <v>8.7804878048780495</v>
      </c>
      <c r="BG86" s="47">
        <v>1052.0820881213081</v>
      </c>
      <c r="BH86" s="47">
        <v>97.893809815027424</v>
      </c>
      <c r="BI86" s="47">
        <v>1118.021087392799</v>
      </c>
      <c r="BJ86" s="47">
        <v>408.98911673162593</v>
      </c>
      <c r="BK86" s="47">
        <v>19.73233818041437</v>
      </c>
      <c r="BL86" s="47">
        <v>76.3346266679915</v>
      </c>
      <c r="BM86" s="47">
        <v>50.550046272532981</v>
      </c>
      <c r="BN86" s="47">
        <v>66.584712135958668</v>
      </c>
      <c r="BO86" s="47">
        <v>69.411803190363486</v>
      </c>
      <c r="BP86" s="47">
        <v>8.2242554187124099</v>
      </c>
      <c r="BQ86" s="47">
        <v>90.103663129821001</v>
      </c>
      <c r="BR86" s="47">
        <v>263.26935269216477</v>
      </c>
      <c r="BS86" s="47">
        <v>184.3065448806598</v>
      </c>
      <c r="BT86" s="47">
        <v>345.57992583221608</v>
      </c>
      <c r="BU86" s="47">
        <v>218.730215475558</v>
      </c>
      <c r="BV86" s="47">
        <v>1248.9287451246739</v>
      </c>
      <c r="BW86" s="47">
        <v>610.58539562478836</v>
      </c>
      <c r="BX86" s="47">
        <v>2123.005490670093</v>
      </c>
      <c r="BY86" s="47">
        <v>253.14025372078669</v>
      </c>
      <c r="BZ86" s="47">
        <v>357.75791037951001</v>
      </c>
      <c r="CA86" s="47">
        <v>63.307666328942929</v>
      </c>
      <c r="CB86" s="47">
        <v>535</v>
      </c>
      <c r="CC86" s="47">
        <v>714.72886664102577</v>
      </c>
      <c r="CD86" s="47">
        <v>682.61836146400753</v>
      </c>
      <c r="CE86" s="47">
        <v>433.28753192549323</v>
      </c>
      <c r="CF86" s="47">
        <v>1487.279439579921</v>
      </c>
      <c r="CG86" s="47">
        <v>157.25338584103511</v>
      </c>
      <c r="CH86" s="47">
        <v>306.59191419207031</v>
      </c>
      <c r="CI86" s="47">
        <v>346.68618799329352</v>
      </c>
      <c r="CJ86" s="47">
        <v>90.847848138551143</v>
      </c>
      <c r="CK86" s="47">
        <v>14.550292708887699</v>
      </c>
      <c r="CL86" s="47">
        <v>1050.877844035814</v>
      </c>
      <c r="CM86" s="47">
        <v>354.37258755298592</v>
      </c>
      <c r="CN86" s="47">
        <v>62.357988507963448</v>
      </c>
      <c r="CO86" s="47">
        <v>17.54815798106203</v>
      </c>
      <c r="CP86" s="47">
        <v>52.223216733938287</v>
      </c>
      <c r="CQ86" s="47">
        <v>358.31761361023462</v>
      </c>
      <c r="CR86" s="47">
        <v>2852.9896854259209</v>
      </c>
      <c r="CS86" s="47">
        <v>475.28195937879161</v>
      </c>
      <c r="CT86" s="47">
        <v>1972.7086478570779</v>
      </c>
      <c r="CU86" s="47">
        <v>673.11334833208582</v>
      </c>
      <c r="CV86" s="47">
        <v>28.10628324727389</v>
      </c>
      <c r="CW86" s="47">
        <v>21.81146636455254</v>
      </c>
      <c r="CX86" s="47">
        <v>109.27423765978391</v>
      </c>
      <c r="CY86" s="47">
        <v>276.20908622394637</v>
      </c>
      <c r="CZ86" s="47">
        <v>299.15374949364673</v>
      </c>
      <c r="DA86" s="47">
        <v>11.17008641578164</v>
      </c>
      <c r="DB86" s="47">
        <v>37.993900636102019</v>
      </c>
      <c r="DC86" s="47">
        <v>0</v>
      </c>
      <c r="DD86" s="48">
        <v>25581</v>
      </c>
      <c r="DE86" s="47">
        <v>1114</v>
      </c>
      <c r="DF86" s="47">
        <v>0</v>
      </c>
      <c r="DG86" s="47">
        <v>628</v>
      </c>
      <c r="DH86" s="47">
        <v>486</v>
      </c>
      <c r="DI86" s="47">
        <v>4278</v>
      </c>
      <c r="DJ86" s="47">
        <v>266</v>
      </c>
      <c r="DK86" s="47">
        <v>0</v>
      </c>
      <c r="DL86" s="47">
        <v>0</v>
      </c>
      <c r="DM86" s="47">
        <v>0</v>
      </c>
      <c r="DN86" s="47">
        <v>7103</v>
      </c>
      <c r="DO86" s="48">
        <v>38342</v>
      </c>
      <c r="DP86" s="47"/>
      <c r="DQ86" s="47"/>
      <c r="DR86" s="47"/>
      <c r="DS86" s="47"/>
    </row>
    <row r="87" spans="1:123" x14ac:dyDescent="0.45">
      <c r="A87" s="6" t="s">
        <v>286</v>
      </c>
      <c r="B87" t="s">
        <v>287</v>
      </c>
      <c r="C87" s="47">
        <v>21.147948759659609</v>
      </c>
      <c r="D87" s="47">
        <v>14.696242171189979</v>
      </c>
      <c r="E87" s="47">
        <v>13.36509390746679</v>
      </c>
      <c r="F87" s="47">
        <v>0</v>
      </c>
      <c r="G87" s="47">
        <v>20.097070263178821</v>
      </c>
      <c r="H87" s="47">
        <v>3.4930080164197981</v>
      </c>
      <c r="I87" s="47">
        <v>16.751343952972629</v>
      </c>
      <c r="J87" s="47">
        <v>32.807730189153993</v>
      </c>
      <c r="K87" s="47">
        <v>18.86496230562015</v>
      </c>
      <c r="L87" s="47">
        <v>6.6565406217294383</v>
      </c>
      <c r="M87" s="47">
        <v>24.792713537375221</v>
      </c>
      <c r="N87" s="47">
        <v>43.961015703982888</v>
      </c>
      <c r="O87" s="47">
        <v>62.263551126758848</v>
      </c>
      <c r="P87" s="47">
        <v>63.777398512944778</v>
      </c>
      <c r="Q87" s="47">
        <v>22.99374991802155</v>
      </c>
      <c r="R87" s="47">
        <v>126.3508133865556</v>
      </c>
      <c r="S87" s="47">
        <v>0.35910459317046389</v>
      </c>
      <c r="T87" s="47">
        <v>56.533755332433017</v>
      </c>
      <c r="U87" s="47">
        <v>40.132139114632132</v>
      </c>
      <c r="V87" s="47">
        <v>8.0554600691647558</v>
      </c>
      <c r="W87" s="47">
        <v>23.432878954565499</v>
      </c>
      <c r="X87" s="47">
        <v>45.341835744690663</v>
      </c>
      <c r="Y87" s="47">
        <v>22.403099641906731</v>
      </c>
      <c r="Z87" s="47">
        <v>1.1372102888195079</v>
      </c>
      <c r="AA87" s="47">
        <v>22.17380238496505</v>
      </c>
      <c r="AB87" s="47">
        <v>68.185044561183204</v>
      </c>
      <c r="AC87" s="47">
        <v>43.91652927538312</v>
      </c>
      <c r="AD87" s="47">
        <v>4.0854218056590366</v>
      </c>
      <c r="AE87" s="47">
        <v>36.121167892642532</v>
      </c>
      <c r="AF87" s="47">
        <v>29.60942600216838</v>
      </c>
      <c r="AG87" s="47">
        <v>83.169658262907646</v>
      </c>
      <c r="AH87" s="47">
        <v>116.3460325304537</v>
      </c>
      <c r="AI87" s="47">
        <v>25.79064271218796</v>
      </c>
      <c r="AJ87" s="47">
        <v>20.49456390626294</v>
      </c>
      <c r="AK87" s="47">
        <v>21.96351895486325</v>
      </c>
      <c r="AL87" s="47">
        <v>1.7632093217719069</v>
      </c>
      <c r="AM87" s="47">
        <v>1.976952727239214</v>
      </c>
      <c r="AN87" s="47">
        <v>105.7975173174478</v>
      </c>
      <c r="AO87" s="47">
        <v>278.68813355145062</v>
      </c>
      <c r="AP87" s="47">
        <v>53.118943394786221</v>
      </c>
      <c r="AQ87" s="47">
        <v>105.5968322898879</v>
      </c>
      <c r="AR87" s="47">
        <v>80.828958792991372</v>
      </c>
      <c r="AS87" s="47">
        <v>21.421536096740621</v>
      </c>
      <c r="AT87" s="47">
        <v>25.485128227113169</v>
      </c>
      <c r="AU87" s="47">
        <v>10.50552071494978</v>
      </c>
      <c r="AV87" s="47">
        <v>27.379995794403548</v>
      </c>
      <c r="AW87" s="47">
        <v>54.419188552187329</v>
      </c>
      <c r="AX87" s="47">
        <v>12.31414143177037</v>
      </c>
      <c r="AY87" s="47">
        <v>7.5601383863434872</v>
      </c>
      <c r="AZ87" s="47">
        <v>71.962520882183014</v>
      </c>
      <c r="BA87" s="47">
        <v>528.88725986596523</v>
      </c>
      <c r="BB87" s="47">
        <v>209.5938834320863</v>
      </c>
      <c r="BC87" s="47">
        <v>26.383914388429069</v>
      </c>
      <c r="BD87" s="47">
        <v>1.933452879059574</v>
      </c>
      <c r="BE87" s="47">
        <v>30.090331691911771</v>
      </c>
      <c r="BF87" s="47">
        <v>40.975609756097562</v>
      </c>
      <c r="BG87" s="47">
        <v>204.31267988988751</v>
      </c>
      <c r="BH87" s="47">
        <v>288.18534749676638</v>
      </c>
      <c r="BI87" s="47">
        <v>1768.28810747835</v>
      </c>
      <c r="BJ87" s="47">
        <v>466.02815884356102</v>
      </c>
      <c r="BK87" s="47">
        <v>79.915969630678177</v>
      </c>
      <c r="BL87" s="47">
        <v>136.9732419487305</v>
      </c>
      <c r="BM87" s="47">
        <v>53.515480687406821</v>
      </c>
      <c r="BN87" s="47">
        <v>16.646178033989671</v>
      </c>
      <c r="BO87" s="47">
        <v>125.2798399045585</v>
      </c>
      <c r="BP87" s="47">
        <v>24.726241097078798</v>
      </c>
      <c r="BQ87" s="47">
        <v>129.99064978439321</v>
      </c>
      <c r="BR87" s="47">
        <v>420.47682659990568</v>
      </c>
      <c r="BS87" s="47">
        <v>266.51922536449291</v>
      </c>
      <c r="BT87" s="47">
        <v>205.1815339626946</v>
      </c>
      <c r="BU87" s="47">
        <v>441.21877771545218</v>
      </c>
      <c r="BV87" s="47">
        <v>2921.966036167642</v>
      </c>
      <c r="BW87" s="47">
        <v>83.083121230879243</v>
      </c>
      <c r="BX87" s="47">
        <v>1873.268048010327</v>
      </c>
      <c r="BY87" s="47">
        <v>63.069073452619229</v>
      </c>
      <c r="BZ87" s="47">
        <v>104.9792105089772</v>
      </c>
      <c r="CA87" s="47">
        <v>96.627490712597094</v>
      </c>
      <c r="CB87" s="47">
        <v>0</v>
      </c>
      <c r="CC87" s="47">
        <v>380.47954600073012</v>
      </c>
      <c r="CD87" s="47">
        <v>294.7909579183729</v>
      </c>
      <c r="CE87" s="47">
        <v>20.183352147762591</v>
      </c>
      <c r="CF87" s="47">
        <v>1058.9167405285241</v>
      </c>
      <c r="CG87" s="47">
        <v>221.62629332275631</v>
      </c>
      <c r="CH87" s="47">
        <v>219.19797559756779</v>
      </c>
      <c r="CI87" s="47">
        <v>499.18973457651327</v>
      </c>
      <c r="CJ87" s="47">
        <v>355.47136121529502</v>
      </c>
      <c r="CK87" s="47">
        <v>29.10058541777541</v>
      </c>
      <c r="CL87" s="47">
        <v>330.03509213488621</v>
      </c>
      <c r="CM87" s="47">
        <v>582.67117481467596</v>
      </c>
      <c r="CN87" s="47">
        <v>214.8952219351356</v>
      </c>
      <c r="CO87" s="47">
        <v>26.808303459813999</v>
      </c>
      <c r="CP87" s="47">
        <v>74.506005696912425</v>
      </c>
      <c r="CQ87" s="47">
        <v>1065.624494874249</v>
      </c>
      <c r="CR87" s="47">
        <v>360.30530438792613</v>
      </c>
      <c r="CS87" s="47">
        <v>732.97171353169233</v>
      </c>
      <c r="CT87" s="47">
        <v>809.82499471297183</v>
      </c>
      <c r="CU87" s="47">
        <v>438.11945963337598</v>
      </c>
      <c r="CV87" s="47">
        <v>172.6400668815869</v>
      </c>
      <c r="CW87" s="47">
        <v>63.545610349653408</v>
      </c>
      <c r="CX87" s="47">
        <v>12.33651262542185</v>
      </c>
      <c r="CY87" s="47">
        <v>65.773242080750393</v>
      </c>
      <c r="CZ87" s="47">
        <v>147.20093432372141</v>
      </c>
      <c r="DA87" s="47">
        <v>12.26914053981775</v>
      </c>
      <c r="DB87" s="47">
        <v>169.31129887521979</v>
      </c>
      <c r="DC87" s="47">
        <v>0</v>
      </c>
      <c r="DD87" s="48">
        <v>20986</v>
      </c>
      <c r="DE87" s="47">
        <v>37</v>
      </c>
      <c r="DF87" s="47">
        <v>0</v>
      </c>
      <c r="DG87" s="47">
        <v>37</v>
      </c>
      <c r="DH87" s="47">
        <v>0</v>
      </c>
      <c r="DI87" s="47">
        <v>0</v>
      </c>
      <c r="DJ87" s="47">
        <v>0</v>
      </c>
      <c r="DK87" s="47">
        <v>0</v>
      </c>
      <c r="DL87" s="47">
        <v>0</v>
      </c>
      <c r="DM87" s="47">
        <v>0</v>
      </c>
      <c r="DN87" s="47">
        <v>2779</v>
      </c>
      <c r="DO87" s="48">
        <v>23802</v>
      </c>
      <c r="DP87" s="47"/>
      <c r="DQ87" s="47"/>
      <c r="DR87" s="47"/>
      <c r="DS87" s="47"/>
    </row>
    <row r="88" spans="1:123" x14ac:dyDescent="0.45">
      <c r="A88" s="6" t="s">
        <v>288</v>
      </c>
      <c r="B88" t="s">
        <v>289</v>
      </c>
      <c r="C88" s="47">
        <v>53.783588032423729</v>
      </c>
      <c r="D88" s="47">
        <v>0</v>
      </c>
      <c r="E88" s="47">
        <v>0</v>
      </c>
      <c r="F88" s="47">
        <v>0</v>
      </c>
      <c r="G88" s="47">
        <v>44.135808645818727</v>
      </c>
      <c r="H88" s="47">
        <v>0</v>
      </c>
      <c r="I88" s="47">
        <v>0.32443050816194779</v>
      </c>
      <c r="J88" s="47">
        <v>16.033456599784859</v>
      </c>
      <c r="K88" s="47">
        <v>0.1261822043749925</v>
      </c>
      <c r="L88" s="47">
        <v>1.234147868439472E-6</v>
      </c>
      <c r="M88" s="47">
        <v>5.2176278961226168E-2</v>
      </c>
      <c r="N88" s="47">
        <v>1.731474010641457E-2</v>
      </c>
      <c r="O88" s="47">
        <v>9.8349183278809296</v>
      </c>
      <c r="P88" s="47">
        <v>3.8729614711312019E-2</v>
      </c>
      <c r="Q88" s="47">
        <v>0.12430510342064401</v>
      </c>
      <c r="R88" s="47">
        <v>0.88458684390440967</v>
      </c>
      <c r="S88" s="47">
        <v>1.2297790478996359E-2</v>
      </c>
      <c r="T88" s="47">
        <v>16.198721817046799</v>
      </c>
      <c r="U88" s="47">
        <v>13.07055396470756</v>
      </c>
      <c r="V88" s="47">
        <v>2.973458695795244</v>
      </c>
      <c r="W88" s="47">
        <v>0.28720203269867323</v>
      </c>
      <c r="X88" s="47">
        <v>20.1561905027717</v>
      </c>
      <c r="Y88" s="47">
        <v>0.47566233344538439</v>
      </c>
      <c r="Z88" s="47">
        <v>0</v>
      </c>
      <c r="AA88" s="47">
        <v>4.4457921357891589E-2</v>
      </c>
      <c r="AB88" s="47">
        <v>0.28480837169478018</v>
      </c>
      <c r="AC88" s="47">
        <v>1.2149573600404791</v>
      </c>
      <c r="AD88" s="47">
        <v>5.385721434353257E-5</v>
      </c>
      <c r="AE88" s="47">
        <v>0.46855415627183261</v>
      </c>
      <c r="AF88" s="47">
        <v>0</v>
      </c>
      <c r="AG88" s="47">
        <v>4.1712199146534079</v>
      </c>
      <c r="AH88" s="47">
        <v>12.67116669599692</v>
      </c>
      <c r="AI88" s="47">
        <v>3.7038205359654269E-2</v>
      </c>
      <c r="AJ88" s="47">
        <v>0.27260994139804112</v>
      </c>
      <c r="AK88" s="47">
        <v>0.79426822118387574</v>
      </c>
      <c r="AL88" s="47">
        <v>0.118177961790085</v>
      </c>
      <c r="AM88" s="47">
        <v>1.2341324646249741</v>
      </c>
      <c r="AN88" s="47">
        <v>1.355980567142268</v>
      </c>
      <c r="AO88" s="47">
        <v>45.492227452527949</v>
      </c>
      <c r="AP88" s="47">
        <v>0.3233584503009676</v>
      </c>
      <c r="AQ88" s="47">
        <v>1.660070125136079</v>
      </c>
      <c r="AR88" s="47">
        <v>25.871415871649031</v>
      </c>
      <c r="AS88" s="47">
        <v>1.67868450776852E-2</v>
      </c>
      <c r="AT88" s="47">
        <v>6.7697454609523842</v>
      </c>
      <c r="AU88" s="47">
        <v>8.8924463709866147E-2</v>
      </c>
      <c r="AV88" s="47">
        <v>3.3130522725326501</v>
      </c>
      <c r="AW88" s="47">
        <v>59.747719369793167</v>
      </c>
      <c r="AX88" s="47">
        <v>2.238388360380526E-2</v>
      </c>
      <c r="AY88" s="47">
        <v>0.95923992917268408</v>
      </c>
      <c r="AZ88" s="47">
        <v>2.498448026853374</v>
      </c>
      <c r="BA88" s="47">
        <v>224.1508220381526</v>
      </c>
      <c r="BB88" s="47">
        <v>1008.3812039165221</v>
      </c>
      <c r="BC88" s="47">
        <v>0</v>
      </c>
      <c r="BD88" s="47">
        <v>0</v>
      </c>
      <c r="BE88" s="47">
        <v>41.004252412792432</v>
      </c>
      <c r="BF88" s="47">
        <v>0</v>
      </c>
      <c r="BG88" s="47">
        <v>26.452981874899681</v>
      </c>
      <c r="BH88" s="47">
        <v>66.484383546974584</v>
      </c>
      <c r="BI88" s="47">
        <v>450.82057626783592</v>
      </c>
      <c r="BJ88" s="47">
        <v>1266.060440295312</v>
      </c>
      <c r="BK88" s="47">
        <v>332.48989833998212</v>
      </c>
      <c r="BL88" s="47">
        <v>82.999236451312541</v>
      </c>
      <c r="BM88" s="47">
        <v>16.513396941576271</v>
      </c>
      <c r="BN88" s="47">
        <v>107.7105637493449</v>
      </c>
      <c r="BO88" s="47">
        <v>0</v>
      </c>
      <c r="BP88" s="47">
        <v>2.4798860246259831</v>
      </c>
      <c r="BQ88" s="47">
        <v>18.71629562355114</v>
      </c>
      <c r="BR88" s="47">
        <v>122.24209443725221</v>
      </c>
      <c r="BS88" s="47">
        <v>29.30186320419245</v>
      </c>
      <c r="BT88" s="47">
        <v>114.7489718274619</v>
      </c>
      <c r="BU88" s="47">
        <v>548.64908479731844</v>
      </c>
      <c r="BV88" s="47">
        <v>714.97111551602723</v>
      </c>
      <c r="BW88" s="47">
        <v>234.92508245958709</v>
      </c>
      <c r="BX88" s="47">
        <v>10013.13252783335</v>
      </c>
      <c r="BY88" s="47">
        <v>199.57473928157589</v>
      </c>
      <c r="BZ88" s="47">
        <v>125.9202820370337</v>
      </c>
      <c r="CA88" s="47">
        <v>0.83299560959135432</v>
      </c>
      <c r="CB88" s="47">
        <v>0</v>
      </c>
      <c r="CC88" s="47">
        <v>1086.4278731165091</v>
      </c>
      <c r="CD88" s="47">
        <v>47.800294783766361</v>
      </c>
      <c r="CE88" s="47">
        <v>102.6557014339665</v>
      </c>
      <c r="CF88" s="47">
        <v>1393.6667705625759</v>
      </c>
      <c r="CG88" s="47">
        <v>121.1712975431119</v>
      </c>
      <c r="CH88" s="47">
        <v>229.11426785538481</v>
      </c>
      <c r="CI88" s="47">
        <v>164.91580145713621</v>
      </c>
      <c r="CJ88" s="47">
        <v>183.07927946026791</v>
      </c>
      <c r="CK88" s="47">
        <v>0</v>
      </c>
      <c r="CL88" s="47">
        <v>225.21654684498429</v>
      </c>
      <c r="CM88" s="47">
        <v>364.44050127190781</v>
      </c>
      <c r="CN88" s="47">
        <v>177.48042883035751</v>
      </c>
      <c r="CO88" s="47">
        <v>1.0462653634868899</v>
      </c>
      <c r="CP88" s="47">
        <v>1.7530226991270701</v>
      </c>
      <c r="CQ88" s="47">
        <v>135.1302827084742</v>
      </c>
      <c r="CR88" s="47">
        <v>1359.735276777323</v>
      </c>
      <c r="CS88" s="47">
        <v>263.9803747833999</v>
      </c>
      <c r="CT88" s="47">
        <v>53.303413545147713</v>
      </c>
      <c r="CU88" s="47">
        <v>26.247717337040491</v>
      </c>
      <c r="CV88" s="47">
        <v>0.11909595344430909</v>
      </c>
      <c r="CW88" s="47">
        <v>64.281187853480958</v>
      </c>
      <c r="CX88" s="47">
        <v>525.2312323578617</v>
      </c>
      <c r="CY88" s="47">
        <v>71.313300858940195</v>
      </c>
      <c r="CZ88" s="47">
        <v>0.72105816924695632</v>
      </c>
      <c r="DA88" s="47">
        <v>11.58825491484634</v>
      </c>
      <c r="DB88" s="47">
        <v>5.7675971258270543E-2</v>
      </c>
      <c r="DC88" s="47">
        <v>0</v>
      </c>
      <c r="DD88" s="48">
        <v>22706.999999999989</v>
      </c>
      <c r="DE88" s="47">
        <v>0</v>
      </c>
      <c r="DF88" s="47">
        <v>0</v>
      </c>
      <c r="DG88" s="47">
        <v>0</v>
      </c>
      <c r="DH88" s="47">
        <v>0</v>
      </c>
      <c r="DI88" s="47">
        <v>383</v>
      </c>
      <c r="DJ88" s="47">
        <v>0</v>
      </c>
      <c r="DK88" s="47">
        <v>0</v>
      </c>
      <c r="DL88" s="47">
        <v>0</v>
      </c>
      <c r="DM88" s="47">
        <v>0</v>
      </c>
      <c r="DN88" s="47">
        <v>32185</v>
      </c>
      <c r="DO88" s="48">
        <v>55275</v>
      </c>
      <c r="DP88" s="47"/>
      <c r="DQ88" s="47"/>
      <c r="DR88" s="47"/>
      <c r="DS88" s="47"/>
    </row>
    <row r="89" spans="1:123" x14ac:dyDescent="0.45">
      <c r="A89" s="6" t="s">
        <v>290</v>
      </c>
      <c r="B89" t="s">
        <v>291</v>
      </c>
      <c r="C89" s="47">
        <v>23.475793045822542</v>
      </c>
      <c r="D89" s="47">
        <v>0</v>
      </c>
      <c r="E89" s="47">
        <v>6.6825469537333948</v>
      </c>
      <c r="F89" s="47">
        <v>1.9672131147540981</v>
      </c>
      <c r="G89" s="47">
        <v>232.90935781338169</v>
      </c>
      <c r="H89" s="47">
        <v>9.7930466689809368</v>
      </c>
      <c r="I89" s="47">
        <v>91.423555904542425</v>
      </c>
      <c r="J89" s="47">
        <v>68.64797111955798</v>
      </c>
      <c r="K89" s="47">
        <v>12.03828625252415</v>
      </c>
      <c r="L89" s="47">
        <v>15.74519388763842</v>
      </c>
      <c r="M89" s="47">
        <v>15.08861366149838</v>
      </c>
      <c r="N89" s="47">
        <v>15.921071322181829</v>
      </c>
      <c r="O89" s="47">
        <v>14.57776889844201</v>
      </c>
      <c r="P89" s="47">
        <v>41.236507469437328</v>
      </c>
      <c r="Q89" s="47">
        <v>2.7357481200274418</v>
      </c>
      <c r="R89" s="47">
        <v>1.0242769401648579</v>
      </c>
      <c r="S89" s="47">
        <v>2.5493999712084312</v>
      </c>
      <c r="T89" s="47">
        <v>20.571205750380152</v>
      </c>
      <c r="U89" s="47">
        <v>3.1064955909855021</v>
      </c>
      <c r="V89" s="47">
        <v>3.8378037260308249</v>
      </c>
      <c r="W89" s="47">
        <v>0.10031096475628561</v>
      </c>
      <c r="X89" s="47">
        <v>4.8934481471587654</v>
      </c>
      <c r="Y89" s="47">
        <v>1.4575022261343049</v>
      </c>
      <c r="Z89" s="47">
        <v>46.309019663684602</v>
      </c>
      <c r="AA89" s="47">
        <v>4.2631051225776853</v>
      </c>
      <c r="AB89" s="47">
        <v>38.22240706182297</v>
      </c>
      <c r="AC89" s="47">
        <v>54.04779623246084</v>
      </c>
      <c r="AD89" s="47">
        <v>2.016053550475787</v>
      </c>
      <c r="AE89" s="47">
        <v>101.1181332998151</v>
      </c>
      <c r="AF89" s="47">
        <v>29.370156618252519</v>
      </c>
      <c r="AG89" s="47">
        <v>237.25150832481501</v>
      </c>
      <c r="AH89" s="47">
        <v>28.66911217927186</v>
      </c>
      <c r="AI89" s="47">
        <v>203.11500990476921</v>
      </c>
      <c r="AJ89" s="47">
        <v>72.842669832775215</v>
      </c>
      <c r="AK89" s="47">
        <v>33.588829580786722</v>
      </c>
      <c r="AL89" s="47">
        <v>70.703196749686768</v>
      </c>
      <c r="AM89" s="47">
        <v>2.5944683557766028</v>
      </c>
      <c r="AN89" s="47">
        <v>317.17998048671461</v>
      </c>
      <c r="AO89" s="47">
        <v>26.458465722000479</v>
      </c>
      <c r="AP89" s="47">
        <v>106.9069747436756</v>
      </c>
      <c r="AQ89" s="47">
        <v>191.01990913592491</v>
      </c>
      <c r="AR89" s="47">
        <v>5.9158130793981654</v>
      </c>
      <c r="AS89" s="47">
        <v>12.00821137037495</v>
      </c>
      <c r="AT89" s="47">
        <v>766.09576193464977</v>
      </c>
      <c r="AU89" s="47">
        <v>13.41734040709999</v>
      </c>
      <c r="AV89" s="47">
        <v>9.201320802377138</v>
      </c>
      <c r="AW89" s="47">
        <v>21.363346155949898</v>
      </c>
      <c r="AX89" s="47">
        <v>0.43288560427840411</v>
      </c>
      <c r="AY89" s="47">
        <v>1.624729328130196</v>
      </c>
      <c r="AZ89" s="47">
        <v>123.0957057280612</v>
      </c>
      <c r="BA89" s="47">
        <v>180.89782590337691</v>
      </c>
      <c r="BB89" s="47">
        <v>129.5817229385064</v>
      </c>
      <c r="BC89" s="47">
        <v>185.5971908703286</v>
      </c>
      <c r="BD89" s="47">
        <v>2.9001793185893598</v>
      </c>
      <c r="BE89" s="47">
        <v>249.89734520571579</v>
      </c>
      <c r="BF89" s="47">
        <v>5.8536585365853657</v>
      </c>
      <c r="BG89" s="47">
        <v>6664.8828549668506</v>
      </c>
      <c r="BH89" s="47">
        <v>457.33212147350201</v>
      </c>
      <c r="BI89" s="47">
        <v>658.31889759615774</v>
      </c>
      <c r="BJ89" s="47">
        <v>270.32668816609169</v>
      </c>
      <c r="BK89" s="47">
        <v>10.852785999227899</v>
      </c>
      <c r="BL89" s="47">
        <v>79.937833267698764</v>
      </c>
      <c r="BM89" s="47">
        <v>14.615536710191449</v>
      </c>
      <c r="BN89" s="47">
        <v>22.521299693044849</v>
      </c>
      <c r="BO89" s="47">
        <v>79.569628047489843</v>
      </c>
      <c r="BP89" s="47">
        <v>8.6605964816235552</v>
      </c>
      <c r="BQ89" s="47">
        <v>82.518747366086714</v>
      </c>
      <c r="BR89" s="47">
        <v>262.80909245521212</v>
      </c>
      <c r="BS89" s="47">
        <v>3.1330941201518319</v>
      </c>
      <c r="BT89" s="47">
        <v>144.6078141063073</v>
      </c>
      <c r="BU89" s="47">
        <v>5.4187481787764877E-2</v>
      </c>
      <c r="BV89" s="47">
        <v>519.13639854732082</v>
      </c>
      <c r="BW89" s="47">
        <v>2.307294758206381</v>
      </c>
      <c r="BX89" s="47">
        <v>1303.039256951186</v>
      </c>
      <c r="BY89" s="47">
        <v>154.64882394546359</v>
      </c>
      <c r="BZ89" s="47">
        <v>168.880376029389</v>
      </c>
      <c r="CA89" s="47">
        <v>33.319824383654172</v>
      </c>
      <c r="CB89" s="47">
        <v>1363</v>
      </c>
      <c r="CC89" s="47">
        <v>212.4116964045337</v>
      </c>
      <c r="CD89" s="47">
        <v>124.4359628778018</v>
      </c>
      <c r="CE89" s="47">
        <v>11.42454875448359</v>
      </c>
      <c r="CF89" s="47">
        <v>739.07753275375433</v>
      </c>
      <c r="CG89" s="47">
        <v>7969.3639580075733</v>
      </c>
      <c r="CH89" s="47">
        <v>132.12838538787781</v>
      </c>
      <c r="CI89" s="47">
        <v>62.11113652132417</v>
      </c>
      <c r="CJ89" s="47">
        <v>205.34873467667981</v>
      </c>
      <c r="CK89" s="47">
        <v>0</v>
      </c>
      <c r="CL89" s="47">
        <v>51.847190725081099</v>
      </c>
      <c r="CM89" s="47">
        <v>1.4059313382295291</v>
      </c>
      <c r="CN89" s="47">
        <v>141.98434306428601</v>
      </c>
      <c r="CO89" s="47">
        <v>10.55424143885957</v>
      </c>
      <c r="CP89" s="47">
        <v>15.1981849286566</v>
      </c>
      <c r="CQ89" s="47">
        <v>70.738543619040371</v>
      </c>
      <c r="CR89" s="47">
        <v>991.57590580873386</v>
      </c>
      <c r="CS89" s="47">
        <v>119.51696536926519</v>
      </c>
      <c r="CT89" s="47">
        <v>1825.620215421598</v>
      </c>
      <c r="CU89" s="47">
        <v>43.717302066009879</v>
      </c>
      <c r="CV89" s="47">
        <v>68.715880259172252</v>
      </c>
      <c r="CW89" s="47">
        <v>3.3649045192564779</v>
      </c>
      <c r="CX89" s="47">
        <v>1.4720965669920061</v>
      </c>
      <c r="CY89" s="47">
        <v>50.391395358697316</v>
      </c>
      <c r="CZ89" s="47">
        <v>7.6843801640871119</v>
      </c>
      <c r="DA89" s="47">
        <v>1.8484360896354149E-2</v>
      </c>
      <c r="DB89" s="47">
        <v>7.5975762413362555E-2</v>
      </c>
      <c r="DC89" s="47">
        <v>0</v>
      </c>
      <c r="DD89" s="48">
        <v>29028</v>
      </c>
      <c r="DE89" s="47">
        <v>686</v>
      </c>
      <c r="DF89" s="47">
        <v>0</v>
      </c>
      <c r="DG89" s="47">
        <v>686</v>
      </c>
      <c r="DH89" s="47">
        <v>0</v>
      </c>
      <c r="DI89" s="47">
        <v>5704</v>
      </c>
      <c r="DJ89" s="47">
        <v>-475</v>
      </c>
      <c r="DK89" s="47">
        <v>0</v>
      </c>
      <c r="DL89" s="47">
        <v>2</v>
      </c>
      <c r="DM89" s="47">
        <v>6</v>
      </c>
      <c r="DN89" s="47">
        <v>12148</v>
      </c>
      <c r="DO89" s="48">
        <v>47099</v>
      </c>
      <c r="DP89" s="47"/>
      <c r="DQ89" s="47"/>
      <c r="DR89" s="47"/>
      <c r="DS89" s="47"/>
    </row>
    <row r="90" spans="1:123" x14ac:dyDescent="0.45">
      <c r="A90" s="6" t="s">
        <v>292</v>
      </c>
      <c r="B90" t="s">
        <v>293</v>
      </c>
      <c r="C90" s="47">
        <v>0</v>
      </c>
      <c r="D90" s="47">
        <v>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v>0</v>
      </c>
      <c r="Q90" s="47">
        <v>0</v>
      </c>
      <c r="R90" s="47">
        <v>0</v>
      </c>
      <c r="S90" s="47">
        <v>0</v>
      </c>
      <c r="T90" s="47">
        <v>0</v>
      </c>
      <c r="U90" s="47">
        <v>0</v>
      </c>
      <c r="V90" s="47">
        <v>0</v>
      </c>
      <c r="W90" s="47">
        <v>0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0</v>
      </c>
      <c r="AE90" s="47">
        <v>0</v>
      </c>
      <c r="AF90" s="47">
        <v>0</v>
      </c>
      <c r="AG90" s="47">
        <v>0</v>
      </c>
      <c r="AH90" s="47">
        <v>0</v>
      </c>
      <c r="AI90" s="47">
        <v>0</v>
      </c>
      <c r="AJ90" s="47">
        <v>0</v>
      </c>
      <c r="AK90" s="47">
        <v>0</v>
      </c>
      <c r="AL90" s="47">
        <v>0</v>
      </c>
      <c r="AM90" s="47">
        <v>0</v>
      </c>
      <c r="AN90" s="47">
        <v>0</v>
      </c>
      <c r="AO90" s="47">
        <v>0</v>
      </c>
      <c r="AP90" s="47">
        <v>0</v>
      </c>
      <c r="AQ90" s="47">
        <v>0</v>
      </c>
      <c r="AR90" s="47">
        <v>0</v>
      </c>
      <c r="AS90" s="47">
        <v>0</v>
      </c>
      <c r="AT90" s="47">
        <v>0</v>
      </c>
      <c r="AU90" s="47">
        <v>0</v>
      </c>
      <c r="AV90" s="47">
        <v>0</v>
      </c>
      <c r="AW90" s="47">
        <v>0</v>
      </c>
      <c r="AX90" s="47">
        <v>0</v>
      </c>
      <c r="AY90" s="47">
        <v>0</v>
      </c>
      <c r="AZ90" s="47">
        <v>0.36082970088681798</v>
      </c>
      <c r="BA90" s="47">
        <v>0</v>
      </c>
      <c r="BB90" s="47">
        <v>0</v>
      </c>
      <c r="BC90" s="47">
        <v>0</v>
      </c>
      <c r="BD90" s="47">
        <v>0</v>
      </c>
      <c r="BE90" s="47">
        <v>0</v>
      </c>
      <c r="BF90" s="47">
        <v>0</v>
      </c>
      <c r="BG90" s="47">
        <v>8.9390643660585845</v>
      </c>
      <c r="BH90" s="47">
        <v>63.853754013762149</v>
      </c>
      <c r="BI90" s="47">
        <v>729.37780658468489</v>
      </c>
      <c r="BJ90" s="47">
        <v>145.09115669074271</v>
      </c>
      <c r="BK90" s="47">
        <v>0</v>
      </c>
      <c r="BL90" s="47">
        <v>1.6581345548864711E-6</v>
      </c>
      <c r="BM90" s="47">
        <v>0</v>
      </c>
      <c r="BN90" s="47">
        <v>0</v>
      </c>
      <c r="BO90" s="47">
        <v>0</v>
      </c>
      <c r="BP90" s="47">
        <v>1.0855974430892811E-6</v>
      </c>
      <c r="BQ90" s="47">
        <v>1.4433195585830669</v>
      </c>
      <c r="BR90" s="47">
        <v>1.190742488867343E-6</v>
      </c>
      <c r="BS90" s="47">
        <v>25.618916708609259</v>
      </c>
      <c r="BT90" s="47">
        <v>0</v>
      </c>
      <c r="BU90" s="47">
        <v>0</v>
      </c>
      <c r="BV90" s="47">
        <v>414.25920989001992</v>
      </c>
      <c r="BW90" s="47">
        <v>0.36694707378369018</v>
      </c>
      <c r="BX90" s="47">
        <v>3.4418010369830811E-2</v>
      </c>
      <c r="BY90" s="47">
        <v>55.293434259830548</v>
      </c>
      <c r="BZ90" s="47">
        <v>0</v>
      </c>
      <c r="CA90" s="47">
        <v>0</v>
      </c>
      <c r="CB90" s="47">
        <v>0</v>
      </c>
      <c r="CC90" s="47">
        <v>223.59782455614791</v>
      </c>
      <c r="CD90" s="47">
        <v>16.464646307247151</v>
      </c>
      <c r="CE90" s="47">
        <v>0</v>
      </c>
      <c r="CF90" s="47">
        <v>586.34826394107927</v>
      </c>
      <c r="CG90" s="47">
        <v>0</v>
      </c>
      <c r="CH90" s="47">
        <v>9747.5058022640005</v>
      </c>
      <c r="CI90" s="47">
        <v>0</v>
      </c>
      <c r="CJ90" s="47">
        <v>0</v>
      </c>
      <c r="CK90" s="47">
        <v>0</v>
      </c>
      <c r="CL90" s="47">
        <v>9.3422220884561549E-2</v>
      </c>
      <c r="CM90" s="47">
        <v>0</v>
      </c>
      <c r="CN90" s="47">
        <v>0</v>
      </c>
      <c r="CO90" s="47">
        <v>0</v>
      </c>
      <c r="CP90" s="47">
        <v>0</v>
      </c>
      <c r="CQ90" s="47">
        <v>0</v>
      </c>
      <c r="CR90" s="47">
        <v>0</v>
      </c>
      <c r="CS90" s="47">
        <v>0</v>
      </c>
      <c r="CT90" s="47">
        <v>0</v>
      </c>
      <c r="CU90" s="47">
        <v>0</v>
      </c>
      <c r="CV90" s="47">
        <v>0</v>
      </c>
      <c r="CW90" s="47">
        <v>0</v>
      </c>
      <c r="CX90" s="47">
        <v>0</v>
      </c>
      <c r="CY90" s="47">
        <v>0</v>
      </c>
      <c r="CZ90" s="47">
        <v>48.351179918833608</v>
      </c>
      <c r="DA90" s="47">
        <v>0</v>
      </c>
      <c r="DB90" s="47">
        <v>0</v>
      </c>
      <c r="DC90" s="47">
        <v>0</v>
      </c>
      <c r="DD90" s="48">
        <v>12067</v>
      </c>
      <c r="DE90" s="47">
        <v>662</v>
      </c>
      <c r="DF90" s="47">
        <v>0</v>
      </c>
      <c r="DG90" s="47">
        <v>0</v>
      </c>
      <c r="DH90" s="47">
        <v>662</v>
      </c>
      <c r="DI90" s="47">
        <v>31033</v>
      </c>
      <c r="DJ90" s="47">
        <v>0</v>
      </c>
      <c r="DK90" s="47">
        <v>0</v>
      </c>
      <c r="DL90" s="47">
        <v>0</v>
      </c>
      <c r="DM90" s="47">
        <v>0</v>
      </c>
      <c r="DN90" s="47">
        <v>9875</v>
      </c>
      <c r="DO90" s="48">
        <v>53637</v>
      </c>
      <c r="DP90" s="47"/>
      <c r="DQ90" s="47"/>
      <c r="DR90" s="47"/>
      <c r="DS90" s="47"/>
    </row>
    <row r="91" spans="1:123" x14ac:dyDescent="0.45">
      <c r="A91" s="6" t="s">
        <v>294</v>
      </c>
      <c r="B91" t="s">
        <v>295</v>
      </c>
      <c r="C91" s="47">
        <v>88.441334021610984</v>
      </c>
      <c r="D91" s="47">
        <v>2.3204592901878911</v>
      </c>
      <c r="E91" s="47">
        <v>1.909299129638113</v>
      </c>
      <c r="F91" s="47">
        <v>0</v>
      </c>
      <c r="G91" s="47">
        <v>52.425156924431072</v>
      </c>
      <c r="H91" s="47">
        <v>4.7934496515152398</v>
      </c>
      <c r="I91" s="47">
        <v>6.0163375328533411</v>
      </c>
      <c r="J91" s="47">
        <v>51.952513693545633</v>
      </c>
      <c r="K91" s="47">
        <v>66.319472829084944</v>
      </c>
      <c r="L91" s="47">
        <v>15.44641881358119</v>
      </c>
      <c r="M91" s="47">
        <v>54.59570073335744</v>
      </c>
      <c r="N91" s="47">
        <v>73.868605782494996</v>
      </c>
      <c r="O91" s="47">
        <v>157.96109529600949</v>
      </c>
      <c r="P91" s="47">
        <v>181.43552710937851</v>
      </c>
      <c r="Q91" s="47">
        <v>64.383955677909626</v>
      </c>
      <c r="R91" s="47">
        <v>437.74355255152568</v>
      </c>
      <c r="S91" s="47">
        <v>90.519653006950819</v>
      </c>
      <c r="T91" s="47">
        <v>54.559540158544131</v>
      </c>
      <c r="U91" s="47">
        <v>70.888159834799552</v>
      </c>
      <c r="V91" s="47">
        <v>33.767941327834883</v>
      </c>
      <c r="W91" s="47">
        <v>23.780810786020169</v>
      </c>
      <c r="X91" s="47">
        <v>33.311511350652758</v>
      </c>
      <c r="Y91" s="47">
        <v>34.101834515195527</v>
      </c>
      <c r="Z91" s="47">
        <v>11.052427630183431</v>
      </c>
      <c r="AA91" s="47">
        <v>50.112404261009331</v>
      </c>
      <c r="AB91" s="47">
        <v>194.11049787734351</v>
      </c>
      <c r="AC91" s="47">
        <v>10.63040175965684</v>
      </c>
      <c r="AD91" s="47">
        <v>6.0430813468639686</v>
      </c>
      <c r="AE91" s="47">
        <v>13.90969550406078</v>
      </c>
      <c r="AF91" s="47">
        <v>4.2424924888747046</v>
      </c>
      <c r="AG91" s="47">
        <v>185.62565833791331</v>
      </c>
      <c r="AH91" s="47">
        <v>103.9547248818828</v>
      </c>
      <c r="AI91" s="47">
        <v>16.737031164289061</v>
      </c>
      <c r="AJ91" s="47">
        <v>28.086779479274139</v>
      </c>
      <c r="AK91" s="47">
        <v>8.755176681804663</v>
      </c>
      <c r="AL91" s="47">
        <v>4.2037909050809024</v>
      </c>
      <c r="AM91" s="47">
        <v>9.9364705277315615</v>
      </c>
      <c r="AN91" s="47">
        <v>80.707109885945016</v>
      </c>
      <c r="AO91" s="47">
        <v>173.31199854332411</v>
      </c>
      <c r="AP91" s="47">
        <v>43.627981825801861</v>
      </c>
      <c r="AQ91" s="47">
        <v>234.33073142034019</v>
      </c>
      <c r="AR91" s="47">
        <v>679.18235061790415</v>
      </c>
      <c r="AS91" s="47">
        <v>13.45184150393326</v>
      </c>
      <c r="AT91" s="47">
        <v>17.42886204536212</v>
      </c>
      <c r="AU91" s="47">
        <v>17.84333807623193</v>
      </c>
      <c r="AV91" s="47">
        <v>47.792871477995767</v>
      </c>
      <c r="AW91" s="47">
        <v>81.616492734402954</v>
      </c>
      <c r="AX91" s="47">
        <v>1.529054540677135</v>
      </c>
      <c r="AY91" s="47">
        <v>2.9384607381024361</v>
      </c>
      <c r="AZ91" s="47">
        <v>98.055764432799421</v>
      </c>
      <c r="BA91" s="47">
        <v>131.17635440654749</v>
      </c>
      <c r="BB91" s="47">
        <v>54.936308270172873</v>
      </c>
      <c r="BC91" s="47">
        <v>6.3685310592759814</v>
      </c>
      <c r="BD91" s="47">
        <v>2.9001793185893598</v>
      </c>
      <c r="BE91" s="47">
        <v>41.006447377285653</v>
      </c>
      <c r="BF91" s="47">
        <v>1.9512195121951219</v>
      </c>
      <c r="BG91" s="47">
        <v>809.48065294754974</v>
      </c>
      <c r="BH91" s="47">
        <v>1306.622132695079</v>
      </c>
      <c r="BI91" s="47">
        <v>3636.696241777272</v>
      </c>
      <c r="BJ91" s="47">
        <v>4169.4315931115707</v>
      </c>
      <c r="BK91" s="47">
        <v>124.31373053661051</v>
      </c>
      <c r="BL91" s="47">
        <v>136.5674594961545</v>
      </c>
      <c r="BM91" s="47">
        <v>70.923295605417607</v>
      </c>
      <c r="BN91" s="47">
        <v>165.4825933967208</v>
      </c>
      <c r="BO91" s="47">
        <v>183.6873328330351</v>
      </c>
      <c r="BP91" s="47">
        <v>42.396908685408853</v>
      </c>
      <c r="BQ91" s="47">
        <v>399.92585050246572</v>
      </c>
      <c r="BR91" s="47">
        <v>1157.077030622577</v>
      </c>
      <c r="BS91" s="47">
        <v>612.72382343483275</v>
      </c>
      <c r="BT91" s="47">
        <v>2243.5477588874492</v>
      </c>
      <c r="BU91" s="47">
        <v>608.10597483959668</v>
      </c>
      <c r="BV91" s="47">
        <v>1383.778819336155</v>
      </c>
      <c r="BW91" s="47">
        <v>303.19978101495838</v>
      </c>
      <c r="BX91" s="47">
        <v>1863.7061152380061</v>
      </c>
      <c r="BY91" s="47">
        <v>0.86395991030985231</v>
      </c>
      <c r="BZ91" s="47">
        <v>170.84852938894301</v>
      </c>
      <c r="CA91" s="47">
        <v>215.7458628841608</v>
      </c>
      <c r="CB91" s="47">
        <v>296</v>
      </c>
      <c r="CC91" s="47">
        <v>506.12822219350738</v>
      </c>
      <c r="CD91" s="47">
        <v>246.5955411762875</v>
      </c>
      <c r="CE91" s="47">
        <v>114.29687756446491</v>
      </c>
      <c r="CF91" s="47">
        <v>429.97512836928149</v>
      </c>
      <c r="CG91" s="47">
        <v>140.23241298079469</v>
      </c>
      <c r="CH91" s="47">
        <v>649.77750803942047</v>
      </c>
      <c r="CI91" s="47">
        <v>3973.976294692065</v>
      </c>
      <c r="CJ91" s="47">
        <v>805.70158416740583</v>
      </c>
      <c r="CK91" s="47">
        <v>41.710839098811427</v>
      </c>
      <c r="CL91" s="47">
        <v>569.33781042879718</v>
      </c>
      <c r="CM91" s="47">
        <v>318.54810464261527</v>
      </c>
      <c r="CN91" s="47">
        <v>452.81493193474989</v>
      </c>
      <c r="CO91" s="47">
        <v>36.791471455028827</v>
      </c>
      <c r="CP91" s="47">
        <v>76.811112315587167</v>
      </c>
      <c r="CQ91" s="47">
        <v>266.21260574638018</v>
      </c>
      <c r="CR91" s="47">
        <v>1299.8480190997659</v>
      </c>
      <c r="CS91" s="47">
        <v>524.4199786119741</v>
      </c>
      <c r="CT91" s="47">
        <v>272.13021504454929</v>
      </c>
      <c r="CU91" s="47">
        <v>301.14646974145268</v>
      </c>
      <c r="CV91" s="47">
        <v>169.0870252789417</v>
      </c>
      <c r="CW91" s="47">
        <v>128.8931742682035</v>
      </c>
      <c r="CX91" s="47">
        <v>532.12291405437475</v>
      </c>
      <c r="CY91" s="47">
        <v>219.3866863950978</v>
      </c>
      <c r="CZ91" s="47">
        <v>472.85865029909559</v>
      </c>
      <c r="DA91" s="47">
        <v>23.751019216461181</v>
      </c>
      <c r="DB91" s="47">
        <v>189.2210953906374</v>
      </c>
      <c r="DC91" s="47">
        <v>0</v>
      </c>
      <c r="DD91" s="48">
        <v>36641</v>
      </c>
      <c r="DE91" s="47">
        <v>126</v>
      </c>
      <c r="DF91" s="47">
        <v>0</v>
      </c>
      <c r="DG91" s="47">
        <v>126</v>
      </c>
      <c r="DH91" s="47">
        <v>0</v>
      </c>
      <c r="DI91" s="47">
        <v>0</v>
      </c>
      <c r="DJ91" s="47">
        <v>0</v>
      </c>
      <c r="DK91" s="47">
        <v>0</v>
      </c>
      <c r="DL91" s="47">
        <v>0</v>
      </c>
      <c r="DM91" s="47">
        <v>0</v>
      </c>
      <c r="DN91" s="47">
        <v>8642</v>
      </c>
      <c r="DO91" s="48">
        <v>45409</v>
      </c>
      <c r="DP91" s="47"/>
      <c r="DQ91" s="47"/>
      <c r="DR91" s="47"/>
      <c r="DS91" s="47"/>
    </row>
    <row r="92" spans="1:123" x14ac:dyDescent="0.45">
      <c r="A92" s="6" t="s">
        <v>296</v>
      </c>
      <c r="B92" t="s">
        <v>297</v>
      </c>
      <c r="C92" s="47">
        <v>207.84274292752369</v>
      </c>
      <c r="D92" s="47">
        <v>0</v>
      </c>
      <c r="E92" s="47">
        <v>0</v>
      </c>
      <c r="F92" s="47">
        <v>0</v>
      </c>
      <c r="G92" s="47">
        <v>4.6964327014011777</v>
      </c>
      <c r="H92" s="47">
        <v>8.7546367195853472E-2</v>
      </c>
      <c r="I92" s="47">
        <v>4.0970861957503049</v>
      </c>
      <c r="J92" s="47">
        <v>65.25372017220289</v>
      </c>
      <c r="K92" s="47">
        <v>149.3139931088634</v>
      </c>
      <c r="L92" s="47">
        <v>21.553164088642159</v>
      </c>
      <c r="M92" s="47">
        <v>17.182684703768931</v>
      </c>
      <c r="N92" s="47">
        <v>24.29394131302891</v>
      </c>
      <c r="O92" s="47">
        <v>192.64435033799879</v>
      </c>
      <c r="P92" s="47">
        <v>156.0407632256603</v>
      </c>
      <c r="Q92" s="47">
        <v>332.83674711939102</v>
      </c>
      <c r="R92" s="47">
        <v>74.48260237839412</v>
      </c>
      <c r="S92" s="47">
        <v>70.56433746358023</v>
      </c>
      <c r="T92" s="47">
        <v>7.4404346901036256</v>
      </c>
      <c r="U92" s="47">
        <v>2.040370488102254</v>
      </c>
      <c r="V92" s="47">
        <v>19.912565896389069</v>
      </c>
      <c r="W92" s="47">
        <v>1.9729638216947889</v>
      </c>
      <c r="X92" s="47">
        <v>29.479254704448142</v>
      </c>
      <c r="Y92" s="47">
        <v>12.434877214581929</v>
      </c>
      <c r="Z92" s="47">
        <v>3.1483581207045339</v>
      </c>
      <c r="AA92" s="47">
        <v>3.8046617881947711</v>
      </c>
      <c r="AB92" s="47">
        <v>50.783281630702007</v>
      </c>
      <c r="AC92" s="47">
        <v>17.6983746223239</v>
      </c>
      <c r="AD92" s="47">
        <v>7.2295865485194106</v>
      </c>
      <c r="AE92" s="47">
        <v>38.377558437090428</v>
      </c>
      <c r="AF92" s="47">
        <v>12.90615762602056</v>
      </c>
      <c r="AG92" s="47">
        <v>112.3694500455821</v>
      </c>
      <c r="AH92" s="47">
        <v>15.409711552442969</v>
      </c>
      <c r="AI92" s="47">
        <v>6.5486031187220677</v>
      </c>
      <c r="AJ92" s="47">
        <v>24.709186398913499</v>
      </c>
      <c r="AK92" s="47">
        <v>3.105163634984192</v>
      </c>
      <c r="AL92" s="47">
        <v>4.0646885957346717</v>
      </c>
      <c r="AM92" s="47">
        <v>4.0246024705572818</v>
      </c>
      <c r="AN92" s="47">
        <v>12.734658796444659</v>
      </c>
      <c r="AO92" s="47">
        <v>90.084193585217378</v>
      </c>
      <c r="AP92" s="47">
        <v>93.357060670346129</v>
      </c>
      <c r="AQ92" s="47">
        <v>10.411636947907249</v>
      </c>
      <c r="AR92" s="47">
        <v>20.48053241372968</v>
      </c>
      <c r="AS92" s="47">
        <v>7.8464011114592758</v>
      </c>
      <c r="AT92" s="47">
        <v>14.41877975895701</v>
      </c>
      <c r="AU92" s="47">
        <v>24.120593377405829</v>
      </c>
      <c r="AV92" s="47">
        <v>57.389023442166447</v>
      </c>
      <c r="AW92" s="47">
        <v>128.38480427100711</v>
      </c>
      <c r="AX92" s="47">
        <v>3.2429579686097491E-2</v>
      </c>
      <c r="AY92" s="47">
        <v>0.1155800967539765</v>
      </c>
      <c r="AZ92" s="47">
        <v>31.553397559331319</v>
      </c>
      <c r="BA92" s="47">
        <v>116.7491369005122</v>
      </c>
      <c r="BB92" s="47">
        <v>18.268761605866651</v>
      </c>
      <c r="BC92" s="47">
        <v>0.90979015132514018</v>
      </c>
      <c r="BD92" s="47">
        <v>2.9001793185893598</v>
      </c>
      <c r="BE92" s="47">
        <v>106.566408113157</v>
      </c>
      <c r="BF92" s="47">
        <v>0</v>
      </c>
      <c r="BG92" s="47">
        <v>75.243168696584661</v>
      </c>
      <c r="BH92" s="47">
        <v>468.2523878549199</v>
      </c>
      <c r="BI92" s="47">
        <v>1458.588828214406</v>
      </c>
      <c r="BJ92" s="47">
        <v>905.21902559966884</v>
      </c>
      <c r="BK92" s="47">
        <v>40.451293269849451</v>
      </c>
      <c r="BL92" s="47">
        <v>333.01542899322141</v>
      </c>
      <c r="BM92" s="47">
        <v>33.026793883152543</v>
      </c>
      <c r="BN92" s="47">
        <v>4.8959347158793154</v>
      </c>
      <c r="BO92" s="47">
        <v>37.245357809463329</v>
      </c>
      <c r="BP92" s="47">
        <v>4.2262017629205308</v>
      </c>
      <c r="BQ92" s="47">
        <v>69.821860518260863</v>
      </c>
      <c r="BR92" s="47">
        <v>245.32680689027839</v>
      </c>
      <c r="BS92" s="47">
        <v>312.39307373527703</v>
      </c>
      <c r="BT92" s="47">
        <v>1139.369484249203</v>
      </c>
      <c r="BU92" s="47">
        <v>2.7565417117075359</v>
      </c>
      <c r="BV92" s="47">
        <v>134.10666096336649</v>
      </c>
      <c r="BW92" s="47">
        <v>182.25275594426711</v>
      </c>
      <c r="BX92" s="47">
        <v>590.48729233303823</v>
      </c>
      <c r="BY92" s="47">
        <v>198.71077937126611</v>
      </c>
      <c r="BZ92" s="47">
        <v>81.628759229023643</v>
      </c>
      <c r="CA92" s="47">
        <v>52.478723404255327</v>
      </c>
      <c r="CB92" s="47">
        <v>0</v>
      </c>
      <c r="CC92" s="47">
        <v>228.55359080495251</v>
      </c>
      <c r="CD92" s="47">
        <v>11.90449198011809</v>
      </c>
      <c r="CE92" s="47">
        <v>41.307302544311881</v>
      </c>
      <c r="CF92" s="47">
        <v>76.651803438628519</v>
      </c>
      <c r="CG92" s="47">
        <v>26.97113962099942</v>
      </c>
      <c r="CH92" s="47">
        <v>121.7391530863825</v>
      </c>
      <c r="CI92" s="47">
        <v>3171.029768182605</v>
      </c>
      <c r="CJ92" s="47">
        <v>6074.5022630072972</v>
      </c>
      <c r="CK92" s="47">
        <v>0.97001951392584707</v>
      </c>
      <c r="CL92" s="47">
        <v>302.15154611368348</v>
      </c>
      <c r="CM92" s="47">
        <v>3.0519004195915809</v>
      </c>
      <c r="CN92" s="47">
        <v>54.683159153137183</v>
      </c>
      <c r="CO92" s="47">
        <v>1.6869431517274009</v>
      </c>
      <c r="CP92" s="47">
        <v>12.932449729475779</v>
      </c>
      <c r="CQ92" s="47">
        <v>663.82314621298212</v>
      </c>
      <c r="CR92" s="47">
        <v>566.47455213033606</v>
      </c>
      <c r="CS92" s="47">
        <v>497.26299737891338</v>
      </c>
      <c r="CT92" s="47">
        <v>517.80009097038737</v>
      </c>
      <c r="CU92" s="47">
        <v>110.8154894975178</v>
      </c>
      <c r="CV92" s="47">
        <v>569.28455704295641</v>
      </c>
      <c r="CW92" s="47">
        <v>38.424391583681157</v>
      </c>
      <c r="CX92" s="47">
        <v>6.6863902981075416</v>
      </c>
      <c r="CY92" s="47">
        <v>126.3298136335054</v>
      </c>
      <c r="CZ92" s="47">
        <v>343.35744658882089</v>
      </c>
      <c r="DA92" s="47">
        <v>1.061012053506498</v>
      </c>
      <c r="DB92" s="47">
        <v>70.374091503360404</v>
      </c>
      <c r="DC92" s="47">
        <v>0</v>
      </c>
      <c r="DD92" s="48">
        <v>22444</v>
      </c>
      <c r="DE92" s="47">
        <v>1088</v>
      </c>
      <c r="DF92" s="47">
        <v>0</v>
      </c>
      <c r="DG92" s="47">
        <v>1088</v>
      </c>
      <c r="DH92" s="47">
        <v>0</v>
      </c>
      <c r="DI92" s="47">
        <v>0</v>
      </c>
      <c r="DJ92" s="47">
        <v>0</v>
      </c>
      <c r="DK92" s="47">
        <v>0</v>
      </c>
      <c r="DL92" s="47">
        <v>24</v>
      </c>
      <c r="DM92" s="47">
        <v>6</v>
      </c>
      <c r="DN92" s="47">
        <v>4935</v>
      </c>
      <c r="DO92" s="48">
        <v>28497</v>
      </c>
      <c r="DP92" s="47"/>
      <c r="DQ92" s="47"/>
      <c r="DR92" s="47"/>
      <c r="DS92" s="47"/>
    </row>
    <row r="93" spans="1:123" x14ac:dyDescent="0.45">
      <c r="A93" s="6" t="s">
        <v>298</v>
      </c>
      <c r="B93" t="s">
        <v>299</v>
      </c>
      <c r="C93" s="47">
        <v>272.44331433013741</v>
      </c>
      <c r="D93" s="47">
        <v>0</v>
      </c>
      <c r="E93" s="47">
        <v>6.6825469537333948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v>0</v>
      </c>
      <c r="X93" s="47">
        <v>0</v>
      </c>
      <c r="Y93" s="47">
        <v>0</v>
      </c>
      <c r="Z93" s="47">
        <v>0</v>
      </c>
      <c r="AA93" s="47">
        <v>0</v>
      </c>
      <c r="AB93" s="47">
        <v>0</v>
      </c>
      <c r="AC93" s="47">
        <v>0</v>
      </c>
      <c r="AD93" s="47">
        <v>0</v>
      </c>
      <c r="AE93" s="47">
        <v>0</v>
      </c>
      <c r="AF93" s="47">
        <v>0</v>
      </c>
      <c r="AG93" s="47">
        <v>0</v>
      </c>
      <c r="AH93" s="47">
        <v>0</v>
      </c>
      <c r="AI93" s="47">
        <v>0</v>
      </c>
      <c r="AJ93" s="47">
        <v>0</v>
      </c>
      <c r="AK93" s="47">
        <v>0</v>
      </c>
      <c r="AL93" s="47">
        <v>0</v>
      </c>
      <c r="AM93" s="47">
        <v>0</v>
      </c>
      <c r="AN93" s="47">
        <v>0</v>
      </c>
      <c r="AO93" s="47">
        <v>0</v>
      </c>
      <c r="AP93" s="47">
        <v>0</v>
      </c>
      <c r="AQ93" s="47">
        <v>0</v>
      </c>
      <c r="AR93" s="47">
        <v>0</v>
      </c>
      <c r="AS93" s="47">
        <v>0</v>
      </c>
      <c r="AT93" s="47">
        <v>0</v>
      </c>
      <c r="AU93" s="47">
        <v>0</v>
      </c>
      <c r="AV93" s="47">
        <v>0</v>
      </c>
      <c r="AW93" s="47">
        <v>0</v>
      </c>
      <c r="AX93" s="47">
        <v>0</v>
      </c>
      <c r="AY93" s="47">
        <v>0</v>
      </c>
      <c r="AZ93" s="47">
        <v>0</v>
      </c>
      <c r="BA93" s="47">
        <v>0</v>
      </c>
      <c r="BB93" s="47">
        <v>0</v>
      </c>
      <c r="BC93" s="47">
        <v>0</v>
      </c>
      <c r="BD93" s="47">
        <v>0</v>
      </c>
      <c r="BE93" s="47">
        <v>0</v>
      </c>
      <c r="BF93" s="47">
        <v>0</v>
      </c>
      <c r="BG93" s="47">
        <v>5.2563768563089646</v>
      </c>
      <c r="BH93" s="47">
        <v>0</v>
      </c>
      <c r="BI93" s="47">
        <v>3.4224585074070499</v>
      </c>
      <c r="BJ93" s="47">
        <v>8.700909806776766E-2</v>
      </c>
      <c r="BK93" s="47">
        <v>0</v>
      </c>
      <c r="BL93" s="47">
        <v>2.1888940197316979</v>
      </c>
      <c r="BM93" s="47">
        <v>4.489234997709575E-2</v>
      </c>
      <c r="BN93" s="47">
        <v>0</v>
      </c>
      <c r="BO93" s="47">
        <v>0</v>
      </c>
      <c r="BP93" s="47">
        <v>3.2578087026650533E-5</v>
      </c>
      <c r="BQ93" s="47">
        <v>3.4703828004803601</v>
      </c>
      <c r="BR93" s="47">
        <v>2.9567527606915092</v>
      </c>
      <c r="BS93" s="47">
        <v>8.4004617353628713E-2</v>
      </c>
      <c r="BT93" s="47">
        <v>4.7626286580082811</v>
      </c>
      <c r="BU93" s="47">
        <v>0</v>
      </c>
      <c r="BV93" s="47">
        <v>0.96017970800014063</v>
      </c>
      <c r="BW93" s="47">
        <v>8.7166364343094063E-2</v>
      </c>
      <c r="BX93" s="47">
        <v>1.149560011415762E-3</v>
      </c>
      <c r="BY93" s="47">
        <v>0</v>
      </c>
      <c r="BZ93" s="47">
        <v>0</v>
      </c>
      <c r="CA93" s="47">
        <v>0</v>
      </c>
      <c r="CB93" s="47">
        <v>0</v>
      </c>
      <c r="CC93" s="47">
        <v>11.851467915527889</v>
      </c>
      <c r="CD93" s="47">
        <v>0.33904027564829592</v>
      </c>
      <c r="CE93" s="47">
        <v>0.3002396994039907</v>
      </c>
      <c r="CF93" s="47">
        <v>0</v>
      </c>
      <c r="CG93" s="47">
        <v>2.2760106245141229</v>
      </c>
      <c r="CH93" s="47">
        <v>0.37848488758585402</v>
      </c>
      <c r="CI93" s="47">
        <v>0.89816498594809058</v>
      </c>
      <c r="CJ93" s="47">
        <v>1.0176848419517359</v>
      </c>
      <c r="CK93" s="47">
        <v>126.10253681036011</v>
      </c>
      <c r="CL93" s="47">
        <v>2.3620534563932551</v>
      </c>
      <c r="CM93" s="47">
        <v>0</v>
      </c>
      <c r="CN93" s="47">
        <v>0</v>
      </c>
      <c r="CO93" s="47">
        <v>0</v>
      </c>
      <c r="CP93" s="47">
        <v>0</v>
      </c>
      <c r="CQ93" s="47">
        <v>0.27267209385423719</v>
      </c>
      <c r="CR93" s="47">
        <v>3.927033290331619</v>
      </c>
      <c r="CS93" s="47">
        <v>0.22275848665457379</v>
      </c>
      <c r="CT93" s="47">
        <v>0</v>
      </c>
      <c r="CU93" s="47">
        <v>0.11622181912412539</v>
      </c>
      <c r="CV93" s="47">
        <v>0</v>
      </c>
      <c r="CW93" s="47">
        <v>5.9018019507356592E-2</v>
      </c>
      <c r="CX93" s="47">
        <v>0</v>
      </c>
      <c r="CY93" s="47">
        <v>0.42869964342001982</v>
      </c>
      <c r="CZ93" s="47">
        <v>0</v>
      </c>
      <c r="DA93" s="47">
        <v>0</v>
      </c>
      <c r="DB93" s="47">
        <v>1.2398743593982481E-4</v>
      </c>
      <c r="DC93" s="47">
        <v>0</v>
      </c>
      <c r="DD93" s="48">
        <v>453.00000000000011</v>
      </c>
      <c r="DE93" s="47">
        <v>5006</v>
      </c>
      <c r="DF93" s="47">
        <v>0</v>
      </c>
      <c r="DG93" s="47">
        <v>3789</v>
      </c>
      <c r="DH93" s="47">
        <v>1217</v>
      </c>
      <c r="DI93" s="47">
        <v>0</v>
      </c>
      <c r="DJ93" s="47">
        <v>0</v>
      </c>
      <c r="DK93" s="47">
        <v>0</v>
      </c>
      <c r="DL93" s="47">
        <v>0</v>
      </c>
      <c r="DM93" s="47">
        <v>0</v>
      </c>
      <c r="DN93" s="47">
        <v>9</v>
      </c>
      <c r="DO93" s="48">
        <v>5468</v>
      </c>
      <c r="DP93" s="47"/>
      <c r="DQ93" s="47"/>
      <c r="DR93" s="47"/>
      <c r="DS93" s="47"/>
    </row>
    <row r="94" spans="1:123" x14ac:dyDescent="0.45">
      <c r="A94" s="6" t="s">
        <v>300</v>
      </c>
      <c r="B94" t="s">
        <v>301</v>
      </c>
      <c r="C94" s="47">
        <v>463.87269565109642</v>
      </c>
      <c r="D94" s="47">
        <v>10.828810020876819</v>
      </c>
      <c r="E94" s="47">
        <v>57.27897388914338</v>
      </c>
      <c r="F94" s="47">
        <v>18.68852459016394</v>
      </c>
      <c r="G94" s="47">
        <v>346.22235934803041</v>
      </c>
      <c r="H94" s="47">
        <v>79.624911753552283</v>
      </c>
      <c r="I94" s="47">
        <v>9.1720014056110966</v>
      </c>
      <c r="J94" s="47">
        <v>98.026006720070328</v>
      </c>
      <c r="K94" s="47">
        <v>42.822047116238231</v>
      </c>
      <c r="L94" s="47">
        <v>4.1752604976092407</v>
      </c>
      <c r="M94" s="47">
        <v>73.904974268104965</v>
      </c>
      <c r="N94" s="47">
        <v>12.73129840971357</v>
      </c>
      <c r="O94" s="47">
        <v>68.147718873347301</v>
      </c>
      <c r="P94" s="47">
        <v>47.679318011106247</v>
      </c>
      <c r="Q94" s="47">
        <v>18.16546842624027</v>
      </c>
      <c r="R94" s="47">
        <v>31.28024393740807</v>
      </c>
      <c r="S94" s="47">
        <v>18.45246221878347</v>
      </c>
      <c r="T94" s="47">
        <v>14.03352077803248</v>
      </c>
      <c r="U94" s="47">
        <v>6.3550675496286404</v>
      </c>
      <c r="V94" s="47">
        <v>3.772555786790829</v>
      </c>
      <c r="W94" s="47">
        <v>41.79786904242831</v>
      </c>
      <c r="X94" s="47">
        <v>60.839003912144143</v>
      </c>
      <c r="Y94" s="47">
        <v>41.027713410117762</v>
      </c>
      <c r="Z94" s="47">
        <v>15.077582198169649</v>
      </c>
      <c r="AA94" s="47">
        <v>20.4803653703508</v>
      </c>
      <c r="AB94" s="47">
        <v>18.49748731553774</v>
      </c>
      <c r="AC94" s="47">
        <v>17.770289012302509</v>
      </c>
      <c r="AD94" s="47">
        <v>21.381320165901698</v>
      </c>
      <c r="AE94" s="47">
        <v>37.443374367715784</v>
      </c>
      <c r="AF94" s="47">
        <v>7.9016770513040324</v>
      </c>
      <c r="AG94" s="47">
        <v>3.3227220780890478</v>
      </c>
      <c r="AH94" s="47">
        <v>95.458356260063951</v>
      </c>
      <c r="AI94" s="47">
        <v>90.552626262547903</v>
      </c>
      <c r="AJ94" s="47">
        <v>67.666897345998763</v>
      </c>
      <c r="AK94" s="47">
        <v>138.2654159390456</v>
      </c>
      <c r="AL94" s="47">
        <v>18.974724632411029</v>
      </c>
      <c r="AM94" s="47">
        <v>2.5430424234917761</v>
      </c>
      <c r="AN94" s="47">
        <v>204.94914729483969</v>
      </c>
      <c r="AO94" s="47">
        <v>28.294658938220071</v>
      </c>
      <c r="AP94" s="47">
        <v>38.73212392184999</v>
      </c>
      <c r="AQ94" s="47">
        <v>109.5872416187125</v>
      </c>
      <c r="AR94" s="47">
        <v>66.636551359317806</v>
      </c>
      <c r="AS94" s="47">
        <v>29.62829006410346</v>
      </c>
      <c r="AT94" s="47">
        <v>26.453279123292919</v>
      </c>
      <c r="AU94" s="47">
        <v>12.12655292152153</v>
      </c>
      <c r="AV94" s="47">
        <v>38.883493614995892</v>
      </c>
      <c r="AW94" s="47">
        <v>30.131093027110602</v>
      </c>
      <c r="AX94" s="47">
        <v>8.5453833469995804</v>
      </c>
      <c r="AY94" s="47">
        <v>9.6124266538815313</v>
      </c>
      <c r="AZ94" s="47">
        <v>105.6078594402472</v>
      </c>
      <c r="BA94" s="47">
        <v>78.236460320461163</v>
      </c>
      <c r="BB94" s="47">
        <v>48.599429421257717</v>
      </c>
      <c r="BC94" s="47">
        <v>32.75244544770505</v>
      </c>
      <c r="BD94" s="47">
        <v>30.93524606495318</v>
      </c>
      <c r="BE94" s="47">
        <v>453.63842650789621</v>
      </c>
      <c r="BF94" s="47">
        <v>40</v>
      </c>
      <c r="BG94" s="47">
        <v>4768.4568133223765</v>
      </c>
      <c r="BH94" s="47">
        <v>347.12293784753598</v>
      </c>
      <c r="BI94" s="47">
        <v>106.06820086871301</v>
      </c>
      <c r="BJ94" s="47">
        <v>648.62726333482817</v>
      </c>
      <c r="BK94" s="47">
        <v>1691.061382061511</v>
      </c>
      <c r="BL94" s="47">
        <v>948.71109675015805</v>
      </c>
      <c r="BM94" s="47">
        <v>454.98889560992012</v>
      </c>
      <c r="BN94" s="47">
        <v>1829.121209852512</v>
      </c>
      <c r="BO94" s="47">
        <v>1062.339182974466</v>
      </c>
      <c r="BP94" s="47">
        <v>464.86373447209718</v>
      </c>
      <c r="BQ94" s="47">
        <v>145.236452568061</v>
      </c>
      <c r="BR94" s="47">
        <v>452.80181591856751</v>
      </c>
      <c r="BS94" s="47">
        <v>5.0984159983109114</v>
      </c>
      <c r="BT94" s="47">
        <v>0.56461255868855642</v>
      </c>
      <c r="BU94" s="47">
        <v>162.81605563649151</v>
      </c>
      <c r="BV94" s="47">
        <v>114.5946507356948</v>
      </c>
      <c r="BW94" s="47">
        <v>43.075601629176568</v>
      </c>
      <c r="BX94" s="47">
        <v>86.865157983738072</v>
      </c>
      <c r="BY94" s="47">
        <v>54.429474349520703</v>
      </c>
      <c r="BZ94" s="47">
        <v>91.214003959578704</v>
      </c>
      <c r="CA94" s="47">
        <v>71.637622424856474</v>
      </c>
      <c r="CB94" s="47">
        <v>612</v>
      </c>
      <c r="CC94" s="47">
        <v>414.84045128989851</v>
      </c>
      <c r="CD94" s="47">
        <v>139.27094767438069</v>
      </c>
      <c r="CE94" s="47">
        <v>71.963468291086897</v>
      </c>
      <c r="CF94" s="47">
        <v>45.825661034796653</v>
      </c>
      <c r="CG94" s="47">
        <v>414.00827631722939</v>
      </c>
      <c r="CH94" s="47">
        <v>109.9812812663112</v>
      </c>
      <c r="CI94" s="47">
        <v>64.049852376402811</v>
      </c>
      <c r="CJ94" s="47">
        <v>172.46614243783111</v>
      </c>
      <c r="CK94" s="47">
        <v>16.4903317367394</v>
      </c>
      <c r="CL94" s="47">
        <v>791.69952661460809</v>
      </c>
      <c r="CM94" s="47">
        <v>94.555565061841889</v>
      </c>
      <c r="CN94" s="47">
        <v>41.252207782191213</v>
      </c>
      <c r="CO94" s="47">
        <v>68.489036267397594</v>
      </c>
      <c r="CP94" s="47">
        <v>293.44950202927402</v>
      </c>
      <c r="CQ94" s="47">
        <v>28.474969710389111</v>
      </c>
      <c r="CR94" s="47">
        <v>176.71649806492289</v>
      </c>
      <c r="CS94" s="47">
        <v>1055.905865322949</v>
      </c>
      <c r="CT94" s="47">
        <v>1050.889937953262</v>
      </c>
      <c r="CU94" s="47">
        <v>307.16879138410479</v>
      </c>
      <c r="CV94" s="47">
        <v>65.028855708902142</v>
      </c>
      <c r="CW94" s="47">
        <v>20.868974234767709</v>
      </c>
      <c r="CX94" s="47">
        <v>111.9703649984144</v>
      </c>
      <c r="CY94" s="47">
        <v>127.2556777987536</v>
      </c>
      <c r="CZ94" s="47">
        <v>60.486799518925821</v>
      </c>
      <c r="DA94" s="47">
        <v>15.64360622072634</v>
      </c>
      <c r="DB94" s="47">
        <v>105.9680329205575</v>
      </c>
      <c r="DC94" s="47">
        <v>0</v>
      </c>
      <c r="DD94" s="48">
        <v>23544</v>
      </c>
      <c r="DE94" s="47">
        <v>13077</v>
      </c>
      <c r="DF94" s="47">
        <v>0</v>
      </c>
      <c r="DG94" s="47">
        <v>13077</v>
      </c>
      <c r="DH94" s="47">
        <v>0</v>
      </c>
      <c r="DI94" s="47">
        <v>0</v>
      </c>
      <c r="DJ94" s="47">
        <v>0</v>
      </c>
      <c r="DK94" s="47">
        <v>0</v>
      </c>
      <c r="DL94" s="47">
        <v>0</v>
      </c>
      <c r="DM94" s="47">
        <v>0</v>
      </c>
      <c r="DN94" s="47">
        <v>6538</v>
      </c>
      <c r="DO94" s="48">
        <v>43159</v>
      </c>
      <c r="DP94" s="47"/>
      <c r="DQ94" s="47"/>
      <c r="DR94" s="47"/>
      <c r="DS94" s="47"/>
    </row>
    <row r="95" spans="1:123" x14ac:dyDescent="0.45">
      <c r="A95" s="6" t="s">
        <v>302</v>
      </c>
      <c r="B95" t="s">
        <v>303</v>
      </c>
      <c r="C95" s="47">
        <v>340.94280792147919</v>
      </c>
      <c r="D95" s="47">
        <v>1.546972860125261</v>
      </c>
      <c r="E95" s="47">
        <v>4.7732478240952814</v>
      </c>
      <c r="F95" s="47">
        <v>0</v>
      </c>
      <c r="G95" s="47">
        <v>519.52054052037204</v>
      </c>
      <c r="H95" s="47">
        <v>25.521797247342011</v>
      </c>
      <c r="I95" s="47">
        <v>10.412951430890461</v>
      </c>
      <c r="J95" s="47">
        <v>419.22926596063343</v>
      </c>
      <c r="K95" s="47">
        <v>226.8410978956797</v>
      </c>
      <c r="L95" s="47">
        <v>9.7346808434076539</v>
      </c>
      <c r="M95" s="47">
        <v>61.614499340468853</v>
      </c>
      <c r="N95" s="47">
        <v>33.479592042882963</v>
      </c>
      <c r="O95" s="47">
        <v>249.98695643160119</v>
      </c>
      <c r="P95" s="47">
        <v>265.84950790743989</v>
      </c>
      <c r="Q95" s="47">
        <v>33.176816621121453</v>
      </c>
      <c r="R95" s="47">
        <v>62.81768108930013</v>
      </c>
      <c r="S95" s="47">
        <v>35.243918138276271</v>
      </c>
      <c r="T95" s="47">
        <v>32.050764858125348</v>
      </c>
      <c r="U95" s="47">
        <v>20.857666984895431</v>
      </c>
      <c r="V95" s="47">
        <v>6.8231954073450041</v>
      </c>
      <c r="W95" s="47">
        <v>51.16459060505818</v>
      </c>
      <c r="X95" s="47">
        <v>51.873706486964899</v>
      </c>
      <c r="Y95" s="47">
        <v>83.826969654031259</v>
      </c>
      <c r="Z95" s="47">
        <v>46.184704439513723</v>
      </c>
      <c r="AA95" s="47">
        <v>34.437596105092688</v>
      </c>
      <c r="AB95" s="47">
        <v>56.482828535460378</v>
      </c>
      <c r="AC95" s="47">
        <v>23.193312175942818</v>
      </c>
      <c r="AD95" s="47">
        <v>17.825145045377269</v>
      </c>
      <c r="AE95" s="47">
        <v>76.285275257217776</v>
      </c>
      <c r="AF95" s="47">
        <v>14.72636849950608</v>
      </c>
      <c r="AG95" s="47">
        <v>174.16609794519621</v>
      </c>
      <c r="AH95" s="47">
        <v>183.62723670893681</v>
      </c>
      <c r="AI95" s="47">
        <v>47.908512239936371</v>
      </c>
      <c r="AJ95" s="47">
        <v>24.181601523504131</v>
      </c>
      <c r="AK95" s="47">
        <v>20.804492446029389</v>
      </c>
      <c r="AL95" s="47">
        <v>21.34192291702298</v>
      </c>
      <c r="AM95" s="47">
        <v>139.13614494773071</v>
      </c>
      <c r="AN95" s="47">
        <v>133.4306544043298</v>
      </c>
      <c r="AO95" s="47">
        <v>163.61130751306399</v>
      </c>
      <c r="AP95" s="47">
        <v>87.993422921430792</v>
      </c>
      <c r="AQ95" s="47">
        <v>248.07172698962469</v>
      </c>
      <c r="AR95" s="47">
        <v>578.48978361331081</v>
      </c>
      <c r="AS95" s="47">
        <v>229.99912368064571</v>
      </c>
      <c r="AT95" s="47">
        <v>125.06898391891809</v>
      </c>
      <c r="AU95" s="47">
        <v>49.645827089360701</v>
      </c>
      <c r="AV95" s="47">
        <v>75.364639972293986</v>
      </c>
      <c r="AW95" s="47">
        <v>112.1197859485241</v>
      </c>
      <c r="AX95" s="47">
        <v>5.5149230145945483</v>
      </c>
      <c r="AY95" s="47">
        <v>26.428104812341939</v>
      </c>
      <c r="AZ95" s="47">
        <v>228.0999073557453</v>
      </c>
      <c r="BA95" s="47">
        <v>305.6402067073866</v>
      </c>
      <c r="BB95" s="47">
        <v>82.230836623427891</v>
      </c>
      <c r="BC95" s="47">
        <v>121.0020901262436</v>
      </c>
      <c r="BD95" s="47">
        <v>24.168160988244669</v>
      </c>
      <c r="BE95" s="47">
        <v>232.33982758469179</v>
      </c>
      <c r="BF95" s="47">
        <v>10.73170731707317</v>
      </c>
      <c r="BG95" s="47">
        <v>2294.98829655799</v>
      </c>
      <c r="BH95" s="47">
        <v>226.23070917424229</v>
      </c>
      <c r="BI95" s="47">
        <v>1661.361389522116</v>
      </c>
      <c r="BJ95" s="47">
        <v>2185.7083858889778</v>
      </c>
      <c r="BK95" s="47">
        <v>101.621541629134</v>
      </c>
      <c r="BL95" s="47">
        <v>1230.1765236982269</v>
      </c>
      <c r="BM95" s="47">
        <v>126.3109837527938</v>
      </c>
      <c r="BN95" s="47">
        <v>21.542112749868981</v>
      </c>
      <c r="BO95" s="47">
        <v>1163.070946140969</v>
      </c>
      <c r="BP95" s="47">
        <v>517.34748149832649</v>
      </c>
      <c r="BQ95" s="47">
        <v>272.90680249602599</v>
      </c>
      <c r="BR95" s="47">
        <v>770.22678423128343</v>
      </c>
      <c r="BS95" s="47">
        <v>199.06508703543159</v>
      </c>
      <c r="BT95" s="47">
        <v>66.85564177658047</v>
      </c>
      <c r="BU95" s="47">
        <v>218.18586797728051</v>
      </c>
      <c r="BV95" s="47">
        <v>695.15024222188117</v>
      </c>
      <c r="BW95" s="47">
        <v>126.5927898710318</v>
      </c>
      <c r="BX95" s="47">
        <v>1788.535198026517</v>
      </c>
      <c r="BY95" s="47">
        <v>272.14737174760347</v>
      </c>
      <c r="BZ95" s="47">
        <v>323.87734801307653</v>
      </c>
      <c r="CA95" s="47">
        <v>274.0555555555556</v>
      </c>
      <c r="CB95" s="47">
        <v>0</v>
      </c>
      <c r="CC95" s="47">
        <v>766.40522464794208</v>
      </c>
      <c r="CD95" s="47">
        <v>369.89031706083841</v>
      </c>
      <c r="CE95" s="47">
        <v>159.0382250918945</v>
      </c>
      <c r="CF95" s="47">
        <v>99.17599206152903</v>
      </c>
      <c r="CG95" s="47">
        <v>581.51907485848153</v>
      </c>
      <c r="CH95" s="47">
        <v>698.71756729466802</v>
      </c>
      <c r="CI95" s="47">
        <v>796.71160017300963</v>
      </c>
      <c r="CJ95" s="47">
        <v>208.56160828417919</v>
      </c>
      <c r="CK95" s="47">
        <v>10.67021465318432</v>
      </c>
      <c r="CL95" s="47">
        <v>265.87214483054271</v>
      </c>
      <c r="CM95" s="47">
        <v>12865.431456747659</v>
      </c>
      <c r="CN95" s="47">
        <v>158.2933554432918</v>
      </c>
      <c r="CO95" s="47">
        <v>44.661535603704223</v>
      </c>
      <c r="CP95" s="47">
        <v>114.67585831993991</v>
      </c>
      <c r="CQ95" s="47">
        <v>386.83218800875932</v>
      </c>
      <c r="CR95" s="47">
        <v>830.56754090513743</v>
      </c>
      <c r="CS95" s="47">
        <v>1168.925190965545</v>
      </c>
      <c r="CT95" s="47">
        <v>3346.7378720020311</v>
      </c>
      <c r="CU95" s="47">
        <v>1571.6960969858851</v>
      </c>
      <c r="CV95" s="47">
        <v>27.774709285980069</v>
      </c>
      <c r="CW95" s="47">
        <v>48.279746724617837</v>
      </c>
      <c r="CX95" s="47">
        <v>33.812493419177997</v>
      </c>
      <c r="CY95" s="47">
        <v>79.060952016062785</v>
      </c>
      <c r="CZ95" s="47">
        <v>113.5846727580396</v>
      </c>
      <c r="DA95" s="47">
        <v>85.050230339160947</v>
      </c>
      <c r="DB95" s="47">
        <v>61.555584514564309</v>
      </c>
      <c r="DC95" s="47">
        <v>0</v>
      </c>
      <c r="DD95" s="48">
        <v>45696.999999999993</v>
      </c>
      <c r="DE95" s="47">
        <v>47</v>
      </c>
      <c r="DF95" s="47">
        <v>0</v>
      </c>
      <c r="DG95" s="47">
        <v>47</v>
      </c>
      <c r="DH95" s="47">
        <v>0</v>
      </c>
      <c r="DI95" s="47">
        <v>0</v>
      </c>
      <c r="DJ95" s="47">
        <v>0</v>
      </c>
      <c r="DK95" s="47">
        <v>0</v>
      </c>
      <c r="DL95" s="47">
        <v>0</v>
      </c>
      <c r="DM95" s="47">
        <v>0</v>
      </c>
      <c r="DN95" s="47">
        <v>3643</v>
      </c>
      <c r="DO95" s="48">
        <v>49387</v>
      </c>
      <c r="DP95" s="47"/>
      <c r="DQ95" s="47"/>
      <c r="DR95" s="47"/>
      <c r="DS95" s="47"/>
    </row>
    <row r="96" spans="1:123" x14ac:dyDescent="0.45">
      <c r="A96" s="6" t="s">
        <v>304</v>
      </c>
      <c r="B96" t="s">
        <v>305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1.224678125695771E-2</v>
      </c>
      <c r="U96" s="47">
        <v>7.3061405117711591E-4</v>
      </c>
      <c r="V96" s="47">
        <v>2.4519820187985288E-3</v>
      </c>
      <c r="W96" s="47">
        <v>5.8635179435657736E-3</v>
      </c>
      <c r="X96" s="47">
        <v>1.5360769985570469E-4</v>
      </c>
      <c r="Y96" s="47">
        <v>4.9840195489814247E-3</v>
      </c>
      <c r="Z96" s="47">
        <v>0</v>
      </c>
      <c r="AA96" s="47">
        <v>2.902497179335881E-6</v>
      </c>
      <c r="AB96" s="47">
        <v>1.0829528541307571E-5</v>
      </c>
      <c r="AC96" s="47">
        <v>5.1491622394769107E-2</v>
      </c>
      <c r="AD96" s="47">
        <v>3.0059421126312021E-9</v>
      </c>
      <c r="AE96" s="47">
        <v>0</v>
      </c>
      <c r="AF96" s="47">
        <v>0</v>
      </c>
      <c r="AG96" s="47">
        <v>0</v>
      </c>
      <c r="AH96" s="47">
        <v>0.1236991018022494</v>
      </c>
      <c r="AI96" s="47">
        <v>9.5226696487045954E-7</v>
      </c>
      <c r="AJ96" s="47">
        <v>8.0607667067502553E-2</v>
      </c>
      <c r="AK96" s="47">
        <v>3.5961217190547692E-2</v>
      </c>
      <c r="AL96" s="47">
        <v>0.1219036632407009</v>
      </c>
      <c r="AM96" s="47">
        <v>5.1658567542843342E-2</v>
      </c>
      <c r="AN96" s="47">
        <v>0.33117794429828562</v>
      </c>
      <c r="AO96" s="47">
        <v>9.3299669948153183E-2</v>
      </c>
      <c r="AP96" s="47">
        <v>9.1081081018728652E-2</v>
      </c>
      <c r="AQ96" s="47">
        <v>0.37760631446252962</v>
      </c>
      <c r="AR96" s="47">
        <v>20.107505495556591</v>
      </c>
      <c r="AS96" s="47">
        <v>1.188022833498175E-2</v>
      </c>
      <c r="AT96" s="47">
        <v>18.625710680680431</v>
      </c>
      <c r="AU96" s="47">
        <v>9.9192520186995328E-2</v>
      </c>
      <c r="AV96" s="47">
        <v>1.6670271122235559E-2</v>
      </c>
      <c r="AW96" s="47">
        <v>2.598799726117686E-2</v>
      </c>
      <c r="AX96" s="47">
        <v>0</v>
      </c>
      <c r="AY96" s="47">
        <v>4.1333539593888073E-3</v>
      </c>
      <c r="AZ96" s="47">
        <v>2.3234481741059021</v>
      </c>
      <c r="BA96" s="47">
        <v>1.691704317269076</v>
      </c>
      <c r="BB96" s="47">
        <v>0.26474648594377509</v>
      </c>
      <c r="BC96" s="47">
        <v>0</v>
      </c>
      <c r="BD96" s="47">
        <v>0</v>
      </c>
      <c r="BE96" s="47">
        <v>0</v>
      </c>
      <c r="BF96" s="47">
        <v>0</v>
      </c>
      <c r="BG96" s="47">
        <v>2.8366698182477661</v>
      </c>
      <c r="BH96" s="47">
        <v>7.5076934328455884</v>
      </c>
      <c r="BI96" s="47">
        <v>43.803849311089763</v>
      </c>
      <c r="BJ96" s="47">
        <v>32.174020965095309</v>
      </c>
      <c r="BK96" s="47">
        <v>28.611890361600832</v>
      </c>
      <c r="BL96" s="47">
        <v>16.636191926425081</v>
      </c>
      <c r="BM96" s="47">
        <v>1027.7161155404531</v>
      </c>
      <c r="BN96" s="47">
        <v>110.6481245788725</v>
      </c>
      <c r="BO96" s="47">
        <v>66.8723469760819</v>
      </c>
      <c r="BP96" s="47">
        <v>7.3804270655365514</v>
      </c>
      <c r="BQ96" s="47">
        <v>480.83285458967953</v>
      </c>
      <c r="BR96" s="47">
        <v>184.47110029748561</v>
      </c>
      <c r="BS96" s="47">
        <v>0.25252923368112412</v>
      </c>
      <c r="BT96" s="47">
        <v>10.26024911621546</v>
      </c>
      <c r="BU96" s="47">
        <v>33.754781721531117</v>
      </c>
      <c r="BV96" s="47">
        <v>33.260564936524347</v>
      </c>
      <c r="BW96" s="47">
        <v>0.23716044834215469</v>
      </c>
      <c r="BX96" s="47">
        <v>547.41249628226262</v>
      </c>
      <c r="BY96" s="47">
        <v>0</v>
      </c>
      <c r="BZ96" s="47">
        <v>345.92064859462488</v>
      </c>
      <c r="CA96" s="47">
        <v>9.9959473150962523</v>
      </c>
      <c r="CB96" s="47">
        <v>0</v>
      </c>
      <c r="CC96" s="47">
        <v>59.745089619646578</v>
      </c>
      <c r="CD96" s="47">
        <v>0.1125218392775386</v>
      </c>
      <c r="CE96" s="47">
        <v>9.3198599171037255</v>
      </c>
      <c r="CF96" s="47">
        <v>148.8155199503617</v>
      </c>
      <c r="CG96" s="47">
        <v>0.39895759219085652</v>
      </c>
      <c r="CH96" s="47">
        <v>11.83290415938443</v>
      </c>
      <c r="CI96" s="47">
        <v>11.99522699528381</v>
      </c>
      <c r="CJ96" s="47">
        <v>2.5120164924638591</v>
      </c>
      <c r="CK96" s="47">
        <v>0</v>
      </c>
      <c r="CL96" s="47">
        <v>18.94015187077407</v>
      </c>
      <c r="CM96" s="47">
        <v>3.9768796110364448</v>
      </c>
      <c r="CN96" s="47">
        <v>2739.914079672978</v>
      </c>
      <c r="CO96" s="47">
        <v>1.551267002728089E-2</v>
      </c>
      <c r="CP96" s="47">
        <v>3.2776710506931837E-2</v>
      </c>
      <c r="CQ96" s="47">
        <v>14.42638321030463</v>
      </c>
      <c r="CR96" s="47">
        <v>190.46111458108351</v>
      </c>
      <c r="CS96" s="47">
        <v>46.963562878230007</v>
      </c>
      <c r="CT96" s="47">
        <v>62.102631518121299</v>
      </c>
      <c r="CU96" s="47">
        <v>0</v>
      </c>
      <c r="CV96" s="47">
        <v>0</v>
      </c>
      <c r="CW96" s="47">
        <v>0.24404722817866961</v>
      </c>
      <c r="CX96" s="47">
        <v>3.8811487062837637E-2</v>
      </c>
      <c r="CY96" s="47">
        <v>0</v>
      </c>
      <c r="CZ96" s="47">
        <v>0</v>
      </c>
      <c r="DA96" s="47">
        <v>6.6716376908284624E-3</v>
      </c>
      <c r="DB96" s="47">
        <v>3.706263397323046E-3</v>
      </c>
      <c r="DC96" s="47">
        <v>0</v>
      </c>
      <c r="DD96" s="48">
        <v>6357.0000000000009</v>
      </c>
      <c r="DE96" s="47">
        <v>18333</v>
      </c>
      <c r="DF96" s="47">
        <v>0</v>
      </c>
      <c r="DG96" s="47">
        <v>18333</v>
      </c>
      <c r="DH96" s="47">
        <v>0</v>
      </c>
      <c r="DI96" s="47">
        <v>0</v>
      </c>
      <c r="DJ96" s="47">
        <v>0</v>
      </c>
      <c r="DK96" s="47">
        <v>0</v>
      </c>
      <c r="DL96" s="47">
        <v>0</v>
      </c>
      <c r="DM96" s="47">
        <v>0</v>
      </c>
      <c r="DN96" s="47">
        <v>187</v>
      </c>
      <c r="DO96" s="48">
        <v>24877</v>
      </c>
      <c r="DP96" s="47"/>
      <c r="DQ96" s="47"/>
      <c r="DR96" s="47"/>
      <c r="DS96" s="47"/>
    </row>
    <row r="97" spans="1:123" x14ac:dyDescent="0.45">
      <c r="A97" s="6" t="s">
        <v>306</v>
      </c>
      <c r="B97" t="s">
        <v>307</v>
      </c>
      <c r="C97" s="47">
        <v>3.423455056179775E-3</v>
      </c>
      <c r="D97" s="47">
        <v>0</v>
      </c>
      <c r="E97" s="47">
        <v>0</v>
      </c>
      <c r="F97" s="47">
        <v>0</v>
      </c>
      <c r="G97" s="47">
        <v>1.165570830842797E-2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  <c r="O97" s="47">
        <v>0</v>
      </c>
      <c r="P97" s="47">
        <v>0</v>
      </c>
      <c r="Q97" s="47">
        <v>0</v>
      </c>
      <c r="R97" s="47">
        <v>0</v>
      </c>
      <c r="S97" s="47">
        <v>0</v>
      </c>
      <c r="T97" s="47">
        <v>0</v>
      </c>
      <c r="U97" s="47">
        <v>0</v>
      </c>
      <c r="V97" s="47">
        <v>7.0588235294117652E-4</v>
      </c>
      <c r="W97" s="47">
        <v>0</v>
      </c>
      <c r="X97" s="47">
        <v>0</v>
      </c>
      <c r="Y97" s="47">
        <v>0</v>
      </c>
      <c r="Z97" s="47">
        <v>0</v>
      </c>
      <c r="AA97" s="47">
        <v>0</v>
      </c>
      <c r="AB97" s="47">
        <v>0</v>
      </c>
      <c r="AC97" s="47">
        <v>0</v>
      </c>
      <c r="AD97" s="47">
        <v>0</v>
      </c>
      <c r="AE97" s="47">
        <v>0</v>
      </c>
      <c r="AF97" s="47">
        <v>0</v>
      </c>
      <c r="AG97" s="47">
        <v>0</v>
      </c>
      <c r="AH97" s="47">
        <v>0</v>
      </c>
      <c r="AI97" s="47">
        <v>0</v>
      </c>
      <c r="AJ97" s="47">
        <v>0</v>
      </c>
      <c r="AK97" s="47">
        <v>1.9541135176782809</v>
      </c>
      <c r="AL97" s="47">
        <v>0</v>
      </c>
      <c r="AM97" s="47">
        <v>0</v>
      </c>
      <c r="AN97" s="47">
        <v>2.2713687985654509E-2</v>
      </c>
      <c r="AO97" s="47">
        <v>0.95299055845057223</v>
      </c>
      <c r="AP97" s="47">
        <v>0</v>
      </c>
      <c r="AQ97" s="47">
        <v>0</v>
      </c>
      <c r="AR97" s="47">
        <v>0</v>
      </c>
      <c r="AS97" s="47">
        <v>0</v>
      </c>
      <c r="AT97" s="47">
        <v>0</v>
      </c>
      <c r="AU97" s="47">
        <v>0</v>
      </c>
      <c r="AV97" s="47">
        <v>0</v>
      </c>
      <c r="AW97" s="47">
        <v>4.4705882352941177E-3</v>
      </c>
      <c r="AX97" s="47">
        <v>0</v>
      </c>
      <c r="AY97" s="47">
        <v>7.0588235294117652E-4</v>
      </c>
      <c r="AZ97" s="47">
        <v>4.809860213437547E-4</v>
      </c>
      <c r="BA97" s="47">
        <v>1.3150029886431561E-2</v>
      </c>
      <c r="BB97" s="47">
        <v>0</v>
      </c>
      <c r="BC97" s="47">
        <v>0</v>
      </c>
      <c r="BD97" s="47">
        <v>2.9001793185893598</v>
      </c>
      <c r="BE97" s="47">
        <v>102.9198698741546</v>
      </c>
      <c r="BF97" s="47">
        <v>0</v>
      </c>
      <c r="BG97" s="47">
        <v>1399.9552917558519</v>
      </c>
      <c r="BH97" s="47">
        <v>9.6286838123350427E-2</v>
      </c>
      <c r="BI97" s="47">
        <v>14.06580494332575</v>
      </c>
      <c r="BJ97" s="47">
        <v>4.587191105577717</v>
      </c>
      <c r="BK97" s="47">
        <v>0</v>
      </c>
      <c r="BL97" s="47">
        <v>1.682005299900426</v>
      </c>
      <c r="BM97" s="47">
        <v>0</v>
      </c>
      <c r="BN97" s="47">
        <v>20.562925806693119</v>
      </c>
      <c r="BO97" s="47">
        <v>5.0789124285631821</v>
      </c>
      <c r="BP97" s="47">
        <v>19.065062071361329</v>
      </c>
      <c r="BQ97" s="47">
        <v>11.225453165896139</v>
      </c>
      <c r="BR97" s="47">
        <v>39.744369461309851</v>
      </c>
      <c r="BS97" s="47">
        <v>1.353170011856095</v>
      </c>
      <c r="BT97" s="47">
        <v>47.864993265730639</v>
      </c>
      <c r="BU97" s="47">
        <v>0.42922987289550057</v>
      </c>
      <c r="BV97" s="47">
        <v>5.7852233135260178</v>
      </c>
      <c r="BW97" s="47">
        <v>58.868116863098876</v>
      </c>
      <c r="BX97" s="47">
        <v>1139.822001179487</v>
      </c>
      <c r="BY97" s="47">
        <v>4.319799551549262</v>
      </c>
      <c r="BZ97" s="47">
        <v>29.460563454816128</v>
      </c>
      <c r="CA97" s="47">
        <v>0</v>
      </c>
      <c r="CB97" s="47">
        <v>11</v>
      </c>
      <c r="CC97" s="47">
        <v>166.49171366237789</v>
      </c>
      <c r="CD97" s="47">
        <v>0.26456443689094011</v>
      </c>
      <c r="CE97" s="47">
        <v>1.2776161273785549</v>
      </c>
      <c r="CF97" s="47">
        <v>18.371884552800768</v>
      </c>
      <c r="CG97" s="47">
        <v>0.76152635589034934</v>
      </c>
      <c r="CH97" s="47">
        <v>91.510632708656686</v>
      </c>
      <c r="CI97" s="47">
        <v>2.475388096248357</v>
      </c>
      <c r="CJ97" s="47">
        <v>45.65959828444506</v>
      </c>
      <c r="CK97" s="47">
        <v>0</v>
      </c>
      <c r="CL97" s="47">
        <v>20.48215496072552</v>
      </c>
      <c r="CM97" s="47">
        <v>0.27522375641081748</v>
      </c>
      <c r="CN97" s="47">
        <v>0</v>
      </c>
      <c r="CO97" s="47">
        <v>1667.611408191796</v>
      </c>
      <c r="CP97" s="47">
        <v>0.1176095310153315</v>
      </c>
      <c r="CQ97" s="47">
        <v>41.605852590349251</v>
      </c>
      <c r="CR97" s="47">
        <v>472.2257531623772</v>
      </c>
      <c r="CS97" s="47">
        <v>301.52282216956053</v>
      </c>
      <c r="CT97" s="47">
        <v>357.82944827107991</v>
      </c>
      <c r="CU97" s="47">
        <v>192.31508218710059</v>
      </c>
      <c r="CV97" s="47">
        <v>53.456210803524243</v>
      </c>
      <c r="CW97" s="47">
        <v>19.643118514646169</v>
      </c>
      <c r="CX97" s="47">
        <v>0.8538818965128343</v>
      </c>
      <c r="CY97" s="47">
        <v>45.422474850002253</v>
      </c>
      <c r="CZ97" s="47">
        <v>6.445212686006313E-2</v>
      </c>
      <c r="DA97" s="47">
        <v>0.93320974292748227</v>
      </c>
      <c r="DB97" s="47">
        <v>7.7513141789875784E-2</v>
      </c>
      <c r="DC97" s="47">
        <v>0</v>
      </c>
      <c r="DD97" s="48">
        <v>6425.0000000000009</v>
      </c>
      <c r="DE97" s="47">
        <v>144</v>
      </c>
      <c r="DF97" s="47">
        <v>0</v>
      </c>
      <c r="DG97" s="47">
        <v>144</v>
      </c>
      <c r="DH97" s="47">
        <v>0</v>
      </c>
      <c r="DI97" s="47">
        <v>0</v>
      </c>
      <c r="DJ97" s="47">
        <v>0</v>
      </c>
      <c r="DK97" s="47">
        <v>0</v>
      </c>
      <c r="DL97" s="47">
        <v>0</v>
      </c>
      <c r="DM97" s="47">
        <v>0</v>
      </c>
      <c r="DN97" s="47">
        <v>395</v>
      </c>
      <c r="DO97" s="48">
        <v>6964</v>
      </c>
      <c r="DP97" s="47"/>
      <c r="DQ97" s="47"/>
      <c r="DR97" s="47"/>
      <c r="DS97" s="47"/>
    </row>
    <row r="98" spans="1:123" x14ac:dyDescent="0.45">
      <c r="A98" s="6" t="s">
        <v>308</v>
      </c>
      <c r="B98" t="s">
        <v>309</v>
      </c>
      <c r="C98" s="47">
        <v>5.9762396058607677E-2</v>
      </c>
      <c r="D98" s="47">
        <v>0</v>
      </c>
      <c r="E98" s="47">
        <v>0</v>
      </c>
      <c r="F98" s="47">
        <v>0</v>
      </c>
      <c r="G98" s="47">
        <v>8.116940159527743E-3</v>
      </c>
      <c r="H98" s="47">
        <v>0</v>
      </c>
      <c r="I98" s="47">
        <v>0.76456700175228265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1.61160130132473E-3</v>
      </c>
      <c r="U98" s="47">
        <v>3.8903004759996841E-7</v>
      </c>
      <c r="V98" s="47">
        <v>7.058823529411765E-3</v>
      </c>
      <c r="W98" s="47">
        <v>1.8364993550457519E-2</v>
      </c>
      <c r="X98" s="47">
        <v>3.021837941842705E-5</v>
      </c>
      <c r="Y98" s="47">
        <v>1.013077711732693E-4</v>
      </c>
      <c r="Z98" s="47">
        <v>0</v>
      </c>
      <c r="AA98" s="47">
        <v>4.8002918699707263E-5</v>
      </c>
      <c r="AB98" s="47">
        <v>1.8973328596100959E-6</v>
      </c>
      <c r="AC98" s="47">
        <v>0</v>
      </c>
      <c r="AD98" s="47">
        <v>5.6877078036367291E-9</v>
      </c>
      <c r="AE98" s="47">
        <v>0</v>
      </c>
      <c r="AF98" s="47">
        <v>0</v>
      </c>
      <c r="AG98" s="47">
        <v>0</v>
      </c>
      <c r="AH98" s="47">
        <v>5.900395629190514E-3</v>
      </c>
      <c r="AI98" s="47">
        <v>1.5793192644266349E-5</v>
      </c>
      <c r="AJ98" s="47">
        <v>3.0591676550036778E-3</v>
      </c>
      <c r="AK98" s="47">
        <v>2.8130247518049889</v>
      </c>
      <c r="AL98" s="47">
        <v>2.1254886355349251E-3</v>
      </c>
      <c r="AM98" s="47">
        <v>4.0628742596332812E-3</v>
      </c>
      <c r="AN98" s="47">
        <v>0.19764756643851569</v>
      </c>
      <c r="AO98" s="47">
        <v>46.199648984175397</v>
      </c>
      <c r="AP98" s="47">
        <v>0.1236880081095908</v>
      </c>
      <c r="AQ98" s="47">
        <v>0.79714035628264979</v>
      </c>
      <c r="AR98" s="47">
        <v>8.1270132861562868E-3</v>
      </c>
      <c r="AS98" s="47">
        <v>3.8936131033727212E-5</v>
      </c>
      <c r="AT98" s="47">
        <v>4.3265046582462068E-3</v>
      </c>
      <c r="AU98" s="47">
        <v>0.58240700517179611</v>
      </c>
      <c r="AV98" s="47">
        <v>8.2544609331778913E-6</v>
      </c>
      <c r="AW98" s="47">
        <v>0.1319603032538699</v>
      </c>
      <c r="AX98" s="47">
        <v>0</v>
      </c>
      <c r="AY98" s="47">
        <v>3.1999850903341592E-2</v>
      </c>
      <c r="AZ98" s="47">
        <v>13.54185765053502</v>
      </c>
      <c r="BA98" s="47">
        <v>181.01236194779119</v>
      </c>
      <c r="BB98" s="47">
        <v>60.771283813616321</v>
      </c>
      <c r="BC98" s="47">
        <v>0</v>
      </c>
      <c r="BD98" s="47">
        <v>0</v>
      </c>
      <c r="BE98" s="47">
        <v>147.5923519397648</v>
      </c>
      <c r="BF98" s="47">
        <v>0.97560975609756095</v>
      </c>
      <c r="BG98" s="47">
        <v>1078.215738122816</v>
      </c>
      <c r="BH98" s="47">
        <v>0.92660359529271463</v>
      </c>
      <c r="BI98" s="47">
        <v>1111.78023322381</v>
      </c>
      <c r="BJ98" s="47">
        <v>8.0390324018097576</v>
      </c>
      <c r="BK98" s="47">
        <v>0</v>
      </c>
      <c r="BL98" s="47">
        <v>78.995568792123848</v>
      </c>
      <c r="BM98" s="47">
        <v>0</v>
      </c>
      <c r="BN98" s="47">
        <v>124.3567417833346</v>
      </c>
      <c r="BO98" s="47">
        <v>143.05603340452959</v>
      </c>
      <c r="BP98" s="47">
        <v>31.50343421936569</v>
      </c>
      <c r="BQ98" s="47">
        <v>432.18957047888472</v>
      </c>
      <c r="BR98" s="47">
        <v>673.8697913219014</v>
      </c>
      <c r="BS98" s="47">
        <v>27.105578849681741</v>
      </c>
      <c r="BT98" s="47">
        <v>41.780767373163137</v>
      </c>
      <c r="BU98" s="47">
        <v>1.6399510170659919</v>
      </c>
      <c r="BV98" s="47">
        <v>669.35670383290335</v>
      </c>
      <c r="BW98" s="47">
        <v>232.3846765812946</v>
      </c>
      <c r="BX98" s="47">
        <v>552.89003966239716</v>
      </c>
      <c r="BY98" s="47">
        <v>150.3290243939143</v>
      </c>
      <c r="BZ98" s="47">
        <v>144.52415052046629</v>
      </c>
      <c r="CA98" s="47">
        <v>118.2853765619723</v>
      </c>
      <c r="CB98" s="47">
        <v>610.00000000000011</v>
      </c>
      <c r="CC98" s="47">
        <v>1619.095101013635</v>
      </c>
      <c r="CD98" s="47">
        <v>354.74481491067928</v>
      </c>
      <c r="CE98" s="47">
        <v>10.496364356607479</v>
      </c>
      <c r="CF98" s="47">
        <v>626.2904003634319</v>
      </c>
      <c r="CG98" s="47">
        <v>278.35666157322129</v>
      </c>
      <c r="CH98" s="47">
        <v>197.84427283566481</v>
      </c>
      <c r="CI98" s="47">
        <v>88.02873766278941</v>
      </c>
      <c r="CJ98" s="47">
        <v>128.29651765548249</v>
      </c>
      <c r="CK98" s="47">
        <v>20.370409792442789</v>
      </c>
      <c r="CL98" s="47">
        <v>196.55460979768091</v>
      </c>
      <c r="CM98" s="47">
        <v>1.713361489544031</v>
      </c>
      <c r="CN98" s="47">
        <v>0</v>
      </c>
      <c r="CO98" s="47">
        <v>230.6351902194113</v>
      </c>
      <c r="CP98" s="47">
        <v>5936.2016074440671</v>
      </c>
      <c r="CQ98" s="47">
        <v>120.46050877796669</v>
      </c>
      <c r="CR98" s="47">
        <v>544.87586903351212</v>
      </c>
      <c r="CS98" s="47">
        <v>1173.300444177692</v>
      </c>
      <c r="CT98" s="47">
        <v>923.65342432507396</v>
      </c>
      <c r="CU98" s="47">
        <v>550.72046262669721</v>
      </c>
      <c r="CV98" s="47">
        <v>129.40222947160231</v>
      </c>
      <c r="CW98" s="47">
        <v>126.2232215993364</v>
      </c>
      <c r="CX98" s="47">
        <v>143.49601638119509</v>
      </c>
      <c r="CY98" s="47">
        <v>429.6754221615289</v>
      </c>
      <c r="CZ98" s="47">
        <v>223.05649417082151</v>
      </c>
      <c r="DA98" s="47">
        <v>8.9607820739533643</v>
      </c>
      <c r="DB98" s="47">
        <v>46.659750009909438</v>
      </c>
      <c r="DC98" s="47">
        <v>0</v>
      </c>
      <c r="DD98" s="48">
        <v>20796</v>
      </c>
      <c r="DE98" s="47">
        <v>923</v>
      </c>
      <c r="DF98" s="47">
        <v>0</v>
      </c>
      <c r="DG98" s="47">
        <v>380</v>
      </c>
      <c r="DH98" s="47">
        <v>543</v>
      </c>
      <c r="DI98" s="47">
        <v>0</v>
      </c>
      <c r="DJ98" s="47">
        <v>0</v>
      </c>
      <c r="DK98" s="47">
        <v>0</v>
      </c>
      <c r="DL98" s="47">
        <v>0</v>
      </c>
      <c r="DM98" s="47">
        <v>0</v>
      </c>
      <c r="DN98" s="47">
        <v>337</v>
      </c>
      <c r="DO98" s="48">
        <v>22056</v>
      </c>
      <c r="DP98" s="47"/>
      <c r="DQ98" s="47"/>
      <c r="DR98" s="47"/>
      <c r="DS98" s="47"/>
    </row>
    <row r="99" spans="1:123" x14ac:dyDescent="0.45">
      <c r="A99" s="6" t="s">
        <v>310</v>
      </c>
      <c r="B99" t="s">
        <v>311</v>
      </c>
      <c r="C99" s="47">
        <v>0.83351396920112064</v>
      </c>
      <c r="D99" s="47">
        <v>0</v>
      </c>
      <c r="E99" s="47">
        <v>0</v>
      </c>
      <c r="F99" s="47">
        <v>0</v>
      </c>
      <c r="G99" s="47">
        <v>1.955813967912563</v>
      </c>
      <c r="H99" s="47">
        <v>4.1253901479169477E-2</v>
      </c>
      <c r="I99" s="47">
        <v>155.87288360712839</v>
      </c>
      <c r="J99" s="47">
        <v>7.8051965469435866E-2</v>
      </c>
      <c r="K99" s="47">
        <v>1.1342120094410759E-2</v>
      </c>
      <c r="L99" s="47">
        <v>1.3201884547056279E-2</v>
      </c>
      <c r="M99" s="47">
        <v>4.7277089995870908E-3</v>
      </c>
      <c r="N99" s="47">
        <v>9.5449992284744271E-3</v>
      </c>
      <c r="O99" s="47">
        <v>1.5691399528683019E-2</v>
      </c>
      <c r="P99" s="47">
        <v>1.0876295009064709</v>
      </c>
      <c r="Q99" s="47">
        <v>0.14631205241219181</v>
      </c>
      <c r="R99" s="47">
        <v>1.407707196903044E-3</v>
      </c>
      <c r="S99" s="47">
        <v>0</v>
      </c>
      <c r="T99" s="47">
        <v>1.6727409322500231</v>
      </c>
      <c r="U99" s="47">
        <v>7.6664071354330772E-3</v>
      </c>
      <c r="V99" s="47">
        <v>0</v>
      </c>
      <c r="W99" s="47">
        <v>0.1279985314327482</v>
      </c>
      <c r="X99" s="47">
        <v>2.042456905693371</v>
      </c>
      <c r="Y99" s="47">
        <v>2.206204830582926</v>
      </c>
      <c r="Z99" s="47">
        <v>8.0039892319072408</v>
      </c>
      <c r="AA99" s="47">
        <v>0.30290433469880429</v>
      </c>
      <c r="AB99" s="47">
        <v>1.2513415594687349</v>
      </c>
      <c r="AC99" s="47">
        <v>0.78951658477573416</v>
      </c>
      <c r="AD99" s="47">
        <v>2.4483591444792618E-2</v>
      </c>
      <c r="AE99" s="47">
        <v>2.0141423025470142</v>
      </c>
      <c r="AF99" s="47">
        <v>0.3447875201564079</v>
      </c>
      <c r="AG99" s="47">
        <v>60.523175520724713</v>
      </c>
      <c r="AH99" s="47">
        <v>233.16868669970609</v>
      </c>
      <c r="AI99" s="47">
        <v>0.80501435366995611</v>
      </c>
      <c r="AJ99" s="47">
        <v>16.07953473141734</v>
      </c>
      <c r="AK99" s="47">
        <v>4.2884955478664279</v>
      </c>
      <c r="AL99" s="47">
        <v>0.77735610441606828</v>
      </c>
      <c r="AM99" s="47">
        <v>2.238496042028049E-2</v>
      </c>
      <c r="AN99" s="47">
        <v>9.4949898130324133</v>
      </c>
      <c r="AO99" s="47">
        <v>18.100601444037778</v>
      </c>
      <c r="AP99" s="47">
        <v>67.668295906083074</v>
      </c>
      <c r="AQ99" s="47">
        <v>87.251799693240443</v>
      </c>
      <c r="AR99" s="47">
        <v>69.573176631212021</v>
      </c>
      <c r="AS99" s="47">
        <v>7.9058168756261468E-2</v>
      </c>
      <c r="AT99" s="47">
        <v>3.0245580696189829E-2</v>
      </c>
      <c r="AU99" s="47">
        <v>0.93869054221380099</v>
      </c>
      <c r="AV99" s="47">
        <v>1.099024123471176</v>
      </c>
      <c r="AW99" s="47">
        <v>4.3788074731227704</v>
      </c>
      <c r="AX99" s="47">
        <v>0.53207765043585253</v>
      </c>
      <c r="AY99" s="47">
        <v>1.275540584607071E-3</v>
      </c>
      <c r="AZ99" s="47">
        <v>23.497322318387969</v>
      </c>
      <c r="BA99" s="47">
        <v>369.63947577538039</v>
      </c>
      <c r="BB99" s="47">
        <v>409.80894701848428</v>
      </c>
      <c r="BC99" s="47">
        <v>0</v>
      </c>
      <c r="BD99" s="47">
        <v>0</v>
      </c>
      <c r="BE99" s="47">
        <v>158.47851281558411</v>
      </c>
      <c r="BF99" s="47">
        <v>5.8536585365853657</v>
      </c>
      <c r="BG99" s="47">
        <v>51.415904490265973</v>
      </c>
      <c r="BH99" s="47">
        <v>250.2618029709848</v>
      </c>
      <c r="BI99" s="47">
        <v>539.33977981225019</v>
      </c>
      <c r="BJ99" s="47">
        <v>371.26504364185092</v>
      </c>
      <c r="BK99" s="47">
        <v>10.852785999227899</v>
      </c>
      <c r="BL99" s="47">
        <v>524.29045447875512</v>
      </c>
      <c r="BM99" s="47">
        <v>0</v>
      </c>
      <c r="BN99" s="47">
        <v>83.230890169948339</v>
      </c>
      <c r="BO99" s="47">
        <v>552.7549693086263</v>
      </c>
      <c r="BP99" s="47">
        <v>62.019838698758221</v>
      </c>
      <c r="BQ99" s="47">
        <v>122.6430577142676</v>
      </c>
      <c r="BR99" s="47">
        <v>551.80073518866755</v>
      </c>
      <c r="BS99" s="47">
        <v>10.99889949545628</v>
      </c>
      <c r="BT99" s="47">
        <v>285.38288377236631</v>
      </c>
      <c r="BU99" s="47">
        <v>237.05892179691091</v>
      </c>
      <c r="BV99" s="47">
        <v>217.42979980296229</v>
      </c>
      <c r="BW99" s="47">
        <v>113.91996853170851</v>
      </c>
      <c r="BX99" s="47">
        <v>4.1128907792785157</v>
      </c>
      <c r="BY99" s="47">
        <v>134.77774600833689</v>
      </c>
      <c r="BZ99" s="47">
        <v>139.39466639711671</v>
      </c>
      <c r="CA99" s="47">
        <v>0</v>
      </c>
      <c r="CB99" s="47">
        <v>0</v>
      </c>
      <c r="CC99" s="47">
        <v>355.13770282299691</v>
      </c>
      <c r="CD99" s="47">
        <v>169.08868411593701</v>
      </c>
      <c r="CE99" s="47">
        <v>66.810766775565213</v>
      </c>
      <c r="CF99" s="47">
        <v>318.51140885094401</v>
      </c>
      <c r="CG99" s="47">
        <v>10.142454020482541</v>
      </c>
      <c r="CH99" s="47">
        <v>72.132197946990615</v>
      </c>
      <c r="CI99" s="47">
        <v>124.2982162234977</v>
      </c>
      <c r="CJ99" s="47">
        <v>70.173108389655908</v>
      </c>
      <c r="CK99" s="47">
        <v>24.250487848146179</v>
      </c>
      <c r="CL99" s="47">
        <v>24.327838461759541</v>
      </c>
      <c r="CM99" s="47">
        <v>12.237904888492039</v>
      </c>
      <c r="CN99" s="47">
        <v>182.2771971771239</v>
      </c>
      <c r="CO99" s="47">
        <v>0.88978220289410903</v>
      </c>
      <c r="CP99" s="47">
        <v>17.848722845533569</v>
      </c>
      <c r="CQ99" s="47">
        <v>5764.3177802504624</v>
      </c>
      <c r="CR99" s="47">
        <v>1092.6970130347729</v>
      </c>
      <c r="CS99" s="47">
        <v>512.44357728486466</v>
      </c>
      <c r="CT99" s="47">
        <v>1056.7304918639049</v>
      </c>
      <c r="CU99" s="47">
        <v>321.49642527237518</v>
      </c>
      <c r="CV99" s="47">
        <v>1.1183321289060011</v>
      </c>
      <c r="CW99" s="47">
        <v>33.321070509548747</v>
      </c>
      <c r="CX99" s="47">
        <v>101.6048268484185</v>
      </c>
      <c r="CY99" s="47">
        <v>98.956105923219198</v>
      </c>
      <c r="CZ99" s="47">
        <v>485.78628632244488</v>
      </c>
      <c r="DA99" s="47">
        <v>0.1272170855958786</v>
      </c>
      <c r="DB99" s="47">
        <v>0.37314738200021991</v>
      </c>
      <c r="DC99" s="47">
        <v>0</v>
      </c>
      <c r="DD99" s="48">
        <v>16901</v>
      </c>
      <c r="DE99" s="47">
        <v>525</v>
      </c>
      <c r="DF99" s="47">
        <v>0</v>
      </c>
      <c r="DG99" s="47">
        <v>525</v>
      </c>
      <c r="DH99" s="47">
        <v>0</v>
      </c>
      <c r="DI99" s="47">
        <v>0</v>
      </c>
      <c r="DJ99" s="47">
        <v>0</v>
      </c>
      <c r="DK99" s="47">
        <v>0</v>
      </c>
      <c r="DL99" s="47">
        <v>0</v>
      </c>
      <c r="DM99" s="47">
        <v>0</v>
      </c>
      <c r="DN99" s="47">
        <v>30936</v>
      </c>
      <c r="DO99" s="48">
        <v>48362</v>
      </c>
      <c r="DP99" s="47"/>
      <c r="DQ99" s="47"/>
      <c r="DR99" s="47"/>
      <c r="DS99" s="47"/>
    </row>
    <row r="100" spans="1:123" x14ac:dyDescent="0.45">
      <c r="A100" s="6" t="s">
        <v>312</v>
      </c>
      <c r="B100" t="s">
        <v>313</v>
      </c>
      <c r="C100" s="47">
        <v>10.688126774267751</v>
      </c>
      <c r="D100" s="47">
        <v>1.546972860125261</v>
      </c>
      <c r="E100" s="47">
        <v>0</v>
      </c>
      <c r="F100" s="47">
        <v>1.9672131147540981</v>
      </c>
      <c r="G100" s="47">
        <v>0.12429647264275701</v>
      </c>
      <c r="H100" s="47">
        <v>0.68680062641212103</v>
      </c>
      <c r="I100" s="47">
        <v>8.9479295397952594</v>
      </c>
      <c r="J100" s="47">
        <v>7.9771520942767351</v>
      </c>
      <c r="K100" s="47">
        <v>10.638300888945089</v>
      </c>
      <c r="L100" s="47">
        <v>3.4630702546197321</v>
      </c>
      <c r="M100" s="47">
        <v>1.0004722790813341</v>
      </c>
      <c r="N100" s="47">
        <v>8.8755269389134277</v>
      </c>
      <c r="O100" s="47">
        <v>9.1182287944225138</v>
      </c>
      <c r="P100" s="47">
        <v>15.10650545301052</v>
      </c>
      <c r="Q100" s="47">
        <v>6.4822433230415486</v>
      </c>
      <c r="R100" s="47">
        <v>32.878235561931938</v>
      </c>
      <c r="S100" s="47">
        <v>5.0492396103614148</v>
      </c>
      <c r="T100" s="47">
        <v>12.926237108394901</v>
      </c>
      <c r="U100" s="47">
        <v>4.5300915276656193</v>
      </c>
      <c r="V100" s="47">
        <v>6.4456841552755311</v>
      </c>
      <c r="W100" s="47">
        <v>4.8073850541578569</v>
      </c>
      <c r="X100" s="47">
        <v>14.68443039856788</v>
      </c>
      <c r="Y100" s="47">
        <v>0.7250706997632046</v>
      </c>
      <c r="Z100" s="47">
        <v>16.999256652732878</v>
      </c>
      <c r="AA100" s="47">
        <v>13.765210615915249</v>
      </c>
      <c r="AB100" s="47">
        <v>11.343662148755371</v>
      </c>
      <c r="AC100" s="47">
        <v>24.4237160844024</v>
      </c>
      <c r="AD100" s="47">
        <v>0.33357853713267538</v>
      </c>
      <c r="AE100" s="47">
        <v>1.441220445306779</v>
      </c>
      <c r="AF100" s="47">
        <v>7.8184958399964311</v>
      </c>
      <c r="AG100" s="47">
        <v>143.0464230304944</v>
      </c>
      <c r="AH100" s="47">
        <v>23.268298884638739</v>
      </c>
      <c r="AI100" s="47">
        <v>1.4320962387187861</v>
      </c>
      <c r="AJ100" s="47">
        <v>7.1075754895422216</v>
      </c>
      <c r="AK100" s="47">
        <v>10.36804700625234</v>
      </c>
      <c r="AL100" s="47">
        <v>16.840283371238261</v>
      </c>
      <c r="AM100" s="47">
        <v>1.498810957105589</v>
      </c>
      <c r="AN100" s="47">
        <v>63.389680420059619</v>
      </c>
      <c r="AO100" s="47">
        <v>9.1411838686585511</v>
      </c>
      <c r="AP100" s="47">
        <v>11.859400652982361</v>
      </c>
      <c r="AQ100" s="47">
        <v>43.663423228001228</v>
      </c>
      <c r="AR100" s="47">
        <v>57.971798101626312</v>
      </c>
      <c r="AS100" s="47">
        <v>4.2319199676676744</v>
      </c>
      <c r="AT100" s="47">
        <v>29.670332304870051</v>
      </c>
      <c r="AU100" s="47">
        <v>5.4023805078339384</v>
      </c>
      <c r="AV100" s="47">
        <v>16.01350246523932</v>
      </c>
      <c r="AW100" s="47">
        <v>17.57433199435852</v>
      </c>
      <c r="AX100" s="47">
        <v>0.67050328821387073</v>
      </c>
      <c r="AY100" s="47">
        <v>2.0062095762038812</v>
      </c>
      <c r="AZ100" s="47">
        <v>16.67265295373846</v>
      </c>
      <c r="BA100" s="47">
        <v>6.5289686899945618E-2</v>
      </c>
      <c r="BB100" s="47">
        <v>4.9257007601561247</v>
      </c>
      <c r="BC100" s="47">
        <v>7.2783212106011206</v>
      </c>
      <c r="BD100" s="47">
        <v>0</v>
      </c>
      <c r="BE100" s="47">
        <v>20.546728552085789</v>
      </c>
      <c r="BF100" s="47">
        <v>0</v>
      </c>
      <c r="BG100" s="47">
        <v>1521.8139939618541</v>
      </c>
      <c r="BH100" s="47">
        <v>37.367391949182277</v>
      </c>
      <c r="BI100" s="47">
        <v>189.4993078232163</v>
      </c>
      <c r="BJ100" s="47">
        <v>447.54124524262733</v>
      </c>
      <c r="BK100" s="47">
        <v>160.81855617037709</v>
      </c>
      <c r="BL100" s="47">
        <v>2018.009118209992</v>
      </c>
      <c r="BM100" s="47">
        <v>23.313030976342969</v>
      </c>
      <c r="BN100" s="47">
        <v>103.7938159766415</v>
      </c>
      <c r="BO100" s="47">
        <v>28.780503761858029</v>
      </c>
      <c r="BP100" s="47">
        <v>116.9781089871495</v>
      </c>
      <c r="BQ100" s="47">
        <v>26.33556303003494</v>
      </c>
      <c r="BR100" s="47">
        <v>262.21469959497989</v>
      </c>
      <c r="BS100" s="47">
        <v>8.4053041033451468</v>
      </c>
      <c r="BT100" s="47">
        <v>13.51436426357351</v>
      </c>
      <c r="BU100" s="47">
        <v>14.35708204323484</v>
      </c>
      <c r="BV100" s="47">
        <v>174.4536826383918</v>
      </c>
      <c r="BW100" s="47">
        <v>0.60876809258672593</v>
      </c>
      <c r="BX100" s="47">
        <v>100.63572654332241</v>
      </c>
      <c r="BY100" s="47">
        <v>12.95939865464779</v>
      </c>
      <c r="BZ100" s="47">
        <v>14.61629680478706</v>
      </c>
      <c r="CA100" s="47">
        <v>0</v>
      </c>
      <c r="CB100" s="47">
        <v>8</v>
      </c>
      <c r="CC100" s="47">
        <v>5413.5754708349177</v>
      </c>
      <c r="CD100" s="47">
        <v>0.92106094747716361</v>
      </c>
      <c r="CE100" s="47">
        <v>4.3170374051053004</v>
      </c>
      <c r="CF100" s="47">
        <v>183.370570588351</v>
      </c>
      <c r="CG100" s="47">
        <v>3236.1825344217082</v>
      </c>
      <c r="CH100" s="47">
        <v>28.49679227385441</v>
      </c>
      <c r="CI100" s="47">
        <v>9.7972727625138987</v>
      </c>
      <c r="CJ100" s="47">
        <v>68.992706934451519</v>
      </c>
      <c r="CK100" s="47">
        <v>2.9100585417775409</v>
      </c>
      <c r="CL100" s="47">
        <v>5.5382466927714979</v>
      </c>
      <c r="CM100" s="47">
        <v>74.369504395229853</v>
      </c>
      <c r="CN100" s="47">
        <v>1.9187073387065681</v>
      </c>
      <c r="CO100" s="47">
        <v>9.4225529275607105</v>
      </c>
      <c r="CP100" s="47">
        <v>35.045921407441853</v>
      </c>
      <c r="CQ100" s="47">
        <v>89.789126366254933</v>
      </c>
      <c r="CR100" s="47">
        <v>267.0382637425501</v>
      </c>
      <c r="CS100" s="47">
        <v>5.2222674515538534</v>
      </c>
      <c r="CT100" s="47">
        <v>80.833392473942297</v>
      </c>
      <c r="CU100" s="47">
        <v>1.053876711491343E-2</v>
      </c>
      <c r="CV100" s="47">
        <v>9.5416918398787942</v>
      </c>
      <c r="CW100" s="47">
        <v>4.7721938424064714</v>
      </c>
      <c r="CX100" s="47">
        <v>9.4720549039087683</v>
      </c>
      <c r="CY100" s="47">
        <v>5.888253747557429</v>
      </c>
      <c r="CZ100" s="47">
        <v>10.56048387096774</v>
      </c>
      <c r="DA100" s="47">
        <v>2.6012172945470331</v>
      </c>
      <c r="DB100" s="47">
        <v>0.9568710274489205</v>
      </c>
      <c r="DC100" s="47">
        <v>0</v>
      </c>
      <c r="DD100" s="48">
        <v>15605</v>
      </c>
      <c r="DE100" s="47">
        <v>149300</v>
      </c>
      <c r="DF100" s="47">
        <v>144655</v>
      </c>
      <c r="DG100" s="47">
        <v>4645</v>
      </c>
      <c r="DH100" s="47">
        <v>0</v>
      </c>
      <c r="DI100" s="47">
        <v>1213</v>
      </c>
      <c r="DJ100" s="47">
        <v>0</v>
      </c>
      <c r="DK100" s="47">
        <v>0</v>
      </c>
      <c r="DL100" s="47">
        <v>0</v>
      </c>
      <c r="DM100" s="47">
        <v>0</v>
      </c>
      <c r="DN100" s="47">
        <v>2068</v>
      </c>
      <c r="DO100" s="48">
        <v>168186</v>
      </c>
      <c r="DP100" s="47"/>
      <c r="DQ100" s="47"/>
      <c r="DR100" s="47"/>
      <c r="DS100" s="47"/>
    </row>
    <row r="101" spans="1:123" x14ac:dyDescent="0.45">
      <c r="A101" s="6" t="s">
        <v>314</v>
      </c>
      <c r="B101" t="s">
        <v>315</v>
      </c>
      <c r="C101" s="47">
        <v>3.1955124377349022E-2</v>
      </c>
      <c r="D101" s="47">
        <v>0</v>
      </c>
      <c r="E101" s="47">
        <v>0</v>
      </c>
      <c r="F101" s="47">
        <v>0</v>
      </c>
      <c r="G101" s="47">
        <v>6.1848547128636279E-2</v>
      </c>
      <c r="H101" s="47">
        <v>1.302754783552721E-2</v>
      </c>
      <c r="I101" s="47">
        <v>0.14519966798856401</v>
      </c>
      <c r="J101" s="47">
        <v>8.2129034295837459E-3</v>
      </c>
      <c r="K101" s="47">
        <v>9.0322709332511086E-3</v>
      </c>
      <c r="L101" s="47">
        <v>3.4123671216063238E-2</v>
      </c>
      <c r="M101" s="47">
        <v>1.9303719929093719</v>
      </c>
      <c r="N101" s="47">
        <v>3.6003860561940118E-2</v>
      </c>
      <c r="O101" s="47">
        <v>1.762415554418011E-2</v>
      </c>
      <c r="P101" s="47">
        <v>1.0073918835556199</v>
      </c>
      <c r="Q101" s="47">
        <v>0.475997931528442</v>
      </c>
      <c r="R101" s="47">
        <v>7.8026371377854034</v>
      </c>
      <c r="S101" s="47">
        <v>2.1757167319203179E-2</v>
      </c>
      <c r="T101" s="47">
        <v>11.06396255361253</v>
      </c>
      <c r="U101" s="47">
        <v>6.3020825407241254</v>
      </c>
      <c r="V101" s="47">
        <v>0.14477301678811999</v>
      </c>
      <c r="W101" s="47">
        <v>4.2198122397851943E-2</v>
      </c>
      <c r="X101" s="47">
        <v>0.64534365516840753</v>
      </c>
      <c r="Y101" s="47">
        <v>0.95470823991181408</v>
      </c>
      <c r="Z101" s="47">
        <v>0.13331999135463549</v>
      </c>
      <c r="AA101" s="47">
        <v>6.3048829394415256</v>
      </c>
      <c r="AB101" s="47">
        <v>5.4048108460071633</v>
      </c>
      <c r="AC101" s="47">
        <v>2.6611992627205421</v>
      </c>
      <c r="AD101" s="47">
        <v>0.17946380827805319</v>
      </c>
      <c r="AE101" s="47">
        <v>22.246449331789389</v>
      </c>
      <c r="AF101" s="47">
        <v>1.1193102103628321</v>
      </c>
      <c r="AG101" s="47">
        <v>196.78251032646801</v>
      </c>
      <c r="AH101" s="47">
        <v>35.778930608734868</v>
      </c>
      <c r="AI101" s="47">
        <v>0.2446781756022218</v>
      </c>
      <c r="AJ101" s="47">
        <v>5.2861604606031278</v>
      </c>
      <c r="AK101" s="47">
        <v>0.97955850957320012</v>
      </c>
      <c r="AL101" s="47">
        <v>7.5237467646545122</v>
      </c>
      <c r="AM101" s="47">
        <v>2.8946301291344469</v>
      </c>
      <c r="AN101" s="47">
        <v>17.460021709251851</v>
      </c>
      <c r="AO101" s="47">
        <v>133.17000513323549</v>
      </c>
      <c r="AP101" s="47">
        <v>11.09586473789779</v>
      </c>
      <c r="AQ101" s="47">
        <v>3.009648232474214</v>
      </c>
      <c r="AR101" s="47">
        <v>0.67479105811496864</v>
      </c>
      <c r="AS101" s="47">
        <v>0.1582455926701142</v>
      </c>
      <c r="AT101" s="47">
        <v>30.009664562042531</v>
      </c>
      <c r="AU101" s="47">
        <v>1.1182784220412899E-2</v>
      </c>
      <c r="AV101" s="47">
        <v>0.37138292793155281</v>
      </c>
      <c r="AW101" s="47">
        <v>5.2155522245400716</v>
      </c>
      <c r="AX101" s="47">
        <v>8.3541621491723173E-2</v>
      </c>
      <c r="AY101" s="47">
        <v>0.11173240787280191</v>
      </c>
      <c r="AZ101" s="47">
        <v>17.177122992643561</v>
      </c>
      <c r="BA101" s="47">
        <v>5.0282865417408333E-2</v>
      </c>
      <c r="BB101" s="47">
        <v>2.5081514923501369E-3</v>
      </c>
      <c r="BC101" s="47">
        <v>1.8195803026502799</v>
      </c>
      <c r="BD101" s="47">
        <v>7.7338115162382941</v>
      </c>
      <c r="BE101" s="47">
        <v>21.86735080263928</v>
      </c>
      <c r="BF101" s="47">
        <v>0</v>
      </c>
      <c r="BG101" s="47">
        <v>11.276904836339421</v>
      </c>
      <c r="BH101" s="47">
        <v>0.55466449146412344</v>
      </c>
      <c r="BI101" s="47">
        <v>86.574833700839264</v>
      </c>
      <c r="BJ101" s="47">
        <v>0.17848022695886531</v>
      </c>
      <c r="BK101" s="47">
        <v>0.9866169090207183</v>
      </c>
      <c r="BL101" s="47">
        <v>66.462606418214193</v>
      </c>
      <c r="BM101" s="47">
        <v>10.68513919749053</v>
      </c>
      <c r="BN101" s="47">
        <v>24.479673579396572</v>
      </c>
      <c r="BO101" s="47">
        <v>89.727452904616214</v>
      </c>
      <c r="BP101" s="47">
        <v>16.68927362430173</v>
      </c>
      <c r="BQ101" s="47">
        <v>374.44481614096662</v>
      </c>
      <c r="BR101" s="47">
        <v>166.6060232026125</v>
      </c>
      <c r="BS101" s="47">
        <v>28.436031137054449</v>
      </c>
      <c r="BT101" s="47">
        <v>10.29260368425501</v>
      </c>
      <c r="BU101" s="47">
        <v>193.02052188004049</v>
      </c>
      <c r="BV101" s="47">
        <v>843.02927331209298</v>
      </c>
      <c r="BW101" s="47">
        <v>2.9334799303880721</v>
      </c>
      <c r="BX101" s="47">
        <v>1017.051632236635</v>
      </c>
      <c r="BY101" s="47">
        <v>187.479300537238</v>
      </c>
      <c r="BZ101" s="47">
        <v>159.33666323422909</v>
      </c>
      <c r="CA101" s="47">
        <v>0</v>
      </c>
      <c r="CB101" s="47">
        <v>0</v>
      </c>
      <c r="CC101" s="47">
        <v>290.35334770311653</v>
      </c>
      <c r="CD101" s="47">
        <v>333.20200461573558</v>
      </c>
      <c r="CE101" s="47">
        <v>291.91970191695941</v>
      </c>
      <c r="CF101" s="47">
        <v>385.87457842887841</v>
      </c>
      <c r="CG101" s="47">
        <v>53.778029352012773</v>
      </c>
      <c r="CH101" s="47">
        <v>940.42422122661242</v>
      </c>
      <c r="CI101" s="47">
        <v>287.71757558794422</v>
      </c>
      <c r="CJ101" s="47">
        <v>258.33240394147862</v>
      </c>
      <c r="CK101" s="47">
        <v>0</v>
      </c>
      <c r="CL101" s="47">
        <v>57.770536687891017</v>
      </c>
      <c r="CM101" s="47">
        <v>234.38722001477311</v>
      </c>
      <c r="CN101" s="47">
        <v>369.35116270101418</v>
      </c>
      <c r="CO101" s="47">
        <v>22.411416481406629</v>
      </c>
      <c r="CP101" s="47">
        <v>1.246674187975946</v>
      </c>
      <c r="CQ101" s="47">
        <v>175.54167001313851</v>
      </c>
      <c r="CR101" s="47">
        <v>5265.1698840121189</v>
      </c>
      <c r="CS101" s="47">
        <v>11539.94565647956</v>
      </c>
      <c r="CT101" s="47">
        <v>265.55085419709951</v>
      </c>
      <c r="CU101" s="47">
        <v>776.05934680552218</v>
      </c>
      <c r="CV101" s="47">
        <v>2.4360535931790502E-2</v>
      </c>
      <c r="CW101" s="47">
        <v>0.12787237559927259</v>
      </c>
      <c r="CX101" s="47">
        <v>0.27446203816483961</v>
      </c>
      <c r="CY101" s="47">
        <v>14.600081201786439</v>
      </c>
      <c r="CZ101" s="47">
        <v>25.299517361029991</v>
      </c>
      <c r="DA101" s="47">
        <v>7.8105982358250792</v>
      </c>
      <c r="DB101" s="47">
        <v>28.2706397360034</v>
      </c>
      <c r="DC101" s="47">
        <v>0</v>
      </c>
      <c r="DD101" s="48">
        <v>25484</v>
      </c>
      <c r="DE101" s="47">
        <v>111018</v>
      </c>
      <c r="DF101" s="47">
        <v>63716</v>
      </c>
      <c r="DG101" s="47">
        <v>21086</v>
      </c>
      <c r="DH101" s="47">
        <v>26216</v>
      </c>
      <c r="DI101" s="47">
        <v>0</v>
      </c>
      <c r="DJ101" s="47">
        <v>0</v>
      </c>
      <c r="DK101" s="47">
        <v>0</v>
      </c>
      <c r="DL101" s="47">
        <v>0</v>
      </c>
      <c r="DM101" s="47">
        <v>0</v>
      </c>
      <c r="DN101" s="47">
        <v>10936</v>
      </c>
      <c r="DO101" s="48">
        <v>147438</v>
      </c>
      <c r="DP101" s="47"/>
      <c r="DQ101" s="47"/>
      <c r="DR101" s="47"/>
      <c r="DS101" s="47"/>
    </row>
    <row r="102" spans="1:123" x14ac:dyDescent="0.45">
      <c r="A102" s="6" t="s">
        <v>316</v>
      </c>
      <c r="B102" t="s">
        <v>317</v>
      </c>
      <c r="C102" s="47">
        <v>0</v>
      </c>
      <c r="D102" s="47">
        <v>0</v>
      </c>
      <c r="E102" s="47">
        <v>0</v>
      </c>
      <c r="F102" s="47">
        <v>0</v>
      </c>
      <c r="G102" s="47">
        <v>7.6248631538342799</v>
      </c>
      <c r="H102" s="47">
        <v>1.302754783552721E-2</v>
      </c>
      <c r="I102" s="47">
        <v>0</v>
      </c>
      <c r="J102" s="47">
        <v>8.2484575001041016E-4</v>
      </c>
      <c r="K102" s="47">
        <v>9.8612412003610851E-3</v>
      </c>
      <c r="L102" s="47">
        <v>2.815816604667179E-2</v>
      </c>
      <c r="M102" s="47">
        <v>8.3657191034378889E-4</v>
      </c>
      <c r="N102" s="47">
        <v>3.5596207561462347E-2</v>
      </c>
      <c r="O102" s="47">
        <v>5.6952727032236836E-3</v>
      </c>
      <c r="P102" s="47">
        <v>0.84097355327868362</v>
      </c>
      <c r="Q102" s="47">
        <v>0.40470543494467592</v>
      </c>
      <c r="R102" s="47">
        <v>7.7850407978241156</v>
      </c>
      <c r="S102" s="47">
        <v>1.8728393972408629E-2</v>
      </c>
      <c r="T102" s="47">
        <v>0.48658829847303192</v>
      </c>
      <c r="U102" s="47">
        <v>0.17576192048077061</v>
      </c>
      <c r="V102" s="47">
        <v>0</v>
      </c>
      <c r="W102" s="47">
        <v>2.2686854057498831E-2</v>
      </c>
      <c r="X102" s="47">
        <v>0.21271110572153051</v>
      </c>
      <c r="Y102" s="47">
        <v>0.57527560345289075</v>
      </c>
      <c r="Z102" s="47">
        <v>4.8036503431178809E-2</v>
      </c>
      <c r="AA102" s="47">
        <v>0.22755590262719921</v>
      </c>
      <c r="AB102" s="47">
        <v>2.105766235370389</v>
      </c>
      <c r="AC102" s="47">
        <v>2.1813768231654218</v>
      </c>
      <c r="AD102" s="47">
        <v>1.4458444387960409E-2</v>
      </c>
      <c r="AE102" s="47">
        <v>0.35939821689442408</v>
      </c>
      <c r="AF102" s="47">
        <v>0.95441183115759287</v>
      </c>
      <c r="AG102" s="47">
        <v>167.31799584734651</v>
      </c>
      <c r="AH102" s="47">
        <v>22.138502560248948</v>
      </c>
      <c r="AI102" s="47">
        <v>0.24258475313054911</v>
      </c>
      <c r="AJ102" s="47">
        <v>5.0872611447896512</v>
      </c>
      <c r="AK102" s="47">
        <v>0.4767826533832944</v>
      </c>
      <c r="AL102" s="47">
        <v>1.028405493075752</v>
      </c>
      <c r="AM102" s="47">
        <v>2.8250277596133722</v>
      </c>
      <c r="AN102" s="47">
        <v>11.02743956277442</v>
      </c>
      <c r="AO102" s="47">
        <v>52.770651361222683</v>
      </c>
      <c r="AP102" s="47">
        <v>7.9544847669856953</v>
      </c>
      <c r="AQ102" s="47">
        <v>1.642440433086074</v>
      </c>
      <c r="AR102" s="47">
        <v>0.40162513264603578</v>
      </c>
      <c r="AS102" s="47">
        <v>8.2768270884182246E-2</v>
      </c>
      <c r="AT102" s="47">
        <v>0.24287769727433409</v>
      </c>
      <c r="AU102" s="47">
        <v>8.9564391369249558E-3</v>
      </c>
      <c r="AV102" s="47">
        <v>0.18416838698164159</v>
      </c>
      <c r="AW102" s="47">
        <v>2.8652640091115411</v>
      </c>
      <c r="AX102" s="47">
        <v>5.2580216769327351E-2</v>
      </c>
      <c r="AY102" s="47">
        <v>3.8522301448440703E-2</v>
      </c>
      <c r="AZ102" s="47">
        <v>10.97647794647459</v>
      </c>
      <c r="BA102" s="47">
        <v>7.6080595267954187E-2</v>
      </c>
      <c r="BB102" s="47">
        <v>1.2540757461750689E-2</v>
      </c>
      <c r="BC102" s="47">
        <v>9.0979015132514025</v>
      </c>
      <c r="BD102" s="47">
        <v>0</v>
      </c>
      <c r="BE102" s="47">
        <v>10.01874839482921</v>
      </c>
      <c r="BF102" s="47">
        <v>0</v>
      </c>
      <c r="BG102" s="47">
        <v>0.84237277639588648</v>
      </c>
      <c r="BH102" s="47">
        <v>1.1512453364672369E-2</v>
      </c>
      <c r="BI102" s="47">
        <v>14.502962724041071</v>
      </c>
      <c r="BJ102" s="47">
        <v>1.082634420087488</v>
      </c>
      <c r="BK102" s="47">
        <v>0</v>
      </c>
      <c r="BL102" s="47">
        <v>0.86765617219112112</v>
      </c>
      <c r="BM102" s="47">
        <v>0</v>
      </c>
      <c r="BN102" s="47">
        <v>0</v>
      </c>
      <c r="BO102" s="47">
        <v>0</v>
      </c>
      <c r="BP102" s="47">
        <v>1.2608282330057491E-3</v>
      </c>
      <c r="BQ102" s="47">
        <v>8.7696380911461442E-4</v>
      </c>
      <c r="BR102" s="47">
        <v>7.9861934653830744</v>
      </c>
      <c r="BS102" s="47">
        <v>5.3470251527497001E-2</v>
      </c>
      <c r="BT102" s="47">
        <v>4.9445825771611611</v>
      </c>
      <c r="BU102" s="47">
        <v>3.0108059287840791E-5</v>
      </c>
      <c r="BV102" s="47">
        <v>16.244592758169151</v>
      </c>
      <c r="BW102" s="47">
        <v>0.80398390341087589</v>
      </c>
      <c r="BX102" s="47">
        <v>41.631061272210992</v>
      </c>
      <c r="BY102" s="47">
        <v>106.2670689681118</v>
      </c>
      <c r="BZ102" s="47">
        <v>4.9179295120334654</v>
      </c>
      <c r="CA102" s="47">
        <v>0</v>
      </c>
      <c r="CB102" s="47">
        <v>0</v>
      </c>
      <c r="CC102" s="47">
        <v>20.574469674522788</v>
      </c>
      <c r="CD102" s="47">
        <v>0.41316820648524633</v>
      </c>
      <c r="CE102" s="47">
        <v>0.49122921046625623</v>
      </c>
      <c r="CF102" s="47">
        <v>0.39162658032043202</v>
      </c>
      <c r="CG102" s="47">
        <v>0.69393403847300761</v>
      </c>
      <c r="CH102" s="47">
        <v>27.771960856096811</v>
      </c>
      <c r="CI102" s="47">
        <v>3.6020103075808372</v>
      </c>
      <c r="CJ102" s="47">
        <v>1.3434860182749799</v>
      </c>
      <c r="CK102" s="47">
        <v>0</v>
      </c>
      <c r="CL102" s="47">
        <v>1.3785670561183909</v>
      </c>
      <c r="CM102" s="47">
        <v>48.712477519716387</v>
      </c>
      <c r="CN102" s="47">
        <v>0</v>
      </c>
      <c r="CO102" s="47">
        <v>1.9500537490274091E-2</v>
      </c>
      <c r="CP102" s="47">
        <v>3.0856678846934629E-2</v>
      </c>
      <c r="CQ102" s="47">
        <v>2.588863972383924</v>
      </c>
      <c r="CR102" s="47">
        <v>193.40638954883229</v>
      </c>
      <c r="CS102" s="47">
        <v>1.6824757885201731E-2</v>
      </c>
      <c r="CT102" s="47">
        <v>3125.8324530787718</v>
      </c>
      <c r="CU102" s="47">
        <v>0</v>
      </c>
      <c r="CV102" s="47">
        <v>4.8721071863581003E-2</v>
      </c>
      <c r="CW102" s="47">
        <v>5.9018019507356592E-2</v>
      </c>
      <c r="CX102" s="47">
        <v>0.54892407632967921</v>
      </c>
      <c r="CY102" s="47">
        <v>29.200162403572879</v>
      </c>
      <c r="CZ102" s="47">
        <v>0</v>
      </c>
      <c r="DA102" s="47">
        <v>0</v>
      </c>
      <c r="DB102" s="47">
        <v>1.474030899501412E-2</v>
      </c>
      <c r="DC102" s="47">
        <v>0</v>
      </c>
      <c r="DD102" s="48">
        <v>3988</v>
      </c>
      <c r="DE102" s="47">
        <v>166391</v>
      </c>
      <c r="DF102" s="47">
        <v>150690</v>
      </c>
      <c r="DG102" s="47">
        <v>12985</v>
      </c>
      <c r="DH102" s="47">
        <v>2716</v>
      </c>
      <c r="DI102" s="47">
        <v>0</v>
      </c>
      <c r="DJ102" s="47">
        <v>0</v>
      </c>
      <c r="DK102" s="47">
        <v>0</v>
      </c>
      <c r="DL102" s="47">
        <v>0</v>
      </c>
      <c r="DM102" s="47">
        <v>0</v>
      </c>
      <c r="DN102" s="47">
        <v>256</v>
      </c>
      <c r="DO102" s="48">
        <v>170635</v>
      </c>
      <c r="DP102" s="47"/>
      <c r="DQ102" s="47"/>
      <c r="DR102" s="47"/>
      <c r="DS102" s="47"/>
    </row>
    <row r="103" spans="1:123" x14ac:dyDescent="0.45">
      <c r="A103" s="6" t="s">
        <v>318</v>
      </c>
      <c r="B103" t="s">
        <v>319</v>
      </c>
      <c r="C103" s="47">
        <v>0</v>
      </c>
      <c r="D103" s="47">
        <v>0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</v>
      </c>
      <c r="AL103" s="47">
        <v>0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0</v>
      </c>
      <c r="AV103" s="47">
        <v>0</v>
      </c>
      <c r="AW103" s="47">
        <v>0</v>
      </c>
      <c r="AX103" s="47">
        <v>0</v>
      </c>
      <c r="AY103" s="47">
        <v>0</v>
      </c>
      <c r="AZ103" s="47">
        <v>0</v>
      </c>
      <c r="BA103" s="47">
        <v>0</v>
      </c>
      <c r="BB103" s="47">
        <v>0</v>
      </c>
      <c r="BC103" s="47">
        <v>0</v>
      </c>
      <c r="BD103" s="47">
        <v>0</v>
      </c>
      <c r="BE103" s="47">
        <v>0</v>
      </c>
      <c r="BF103" s="47">
        <v>0</v>
      </c>
      <c r="BG103" s="47">
        <v>10.42164759207818</v>
      </c>
      <c r="BH103" s="47">
        <v>4.8885827944170962E-3</v>
      </c>
      <c r="BI103" s="47">
        <v>28.27331952724251</v>
      </c>
      <c r="BJ103" s="47">
        <v>9.693548673661059E-5</v>
      </c>
      <c r="BK103" s="47">
        <v>0</v>
      </c>
      <c r="BL103" s="47">
        <v>1.5431515719486171E-5</v>
      </c>
      <c r="BM103" s="47">
        <v>0</v>
      </c>
      <c r="BN103" s="47">
        <v>0</v>
      </c>
      <c r="BO103" s="47">
        <v>0</v>
      </c>
      <c r="BP103" s="47">
        <v>1.010316922634378E-5</v>
      </c>
      <c r="BQ103" s="47">
        <v>7.0267800086717824E-6</v>
      </c>
      <c r="BR103" s="47">
        <v>143.79033193879641</v>
      </c>
      <c r="BS103" s="47">
        <v>3.6762541766201332E-4</v>
      </c>
      <c r="BT103" s="47">
        <v>0</v>
      </c>
      <c r="BU103" s="47">
        <v>0</v>
      </c>
      <c r="BV103" s="47">
        <v>45.114220117081267</v>
      </c>
      <c r="BW103" s="47">
        <v>5.7335480278701599E-3</v>
      </c>
      <c r="BX103" s="47">
        <v>1.890629770556002</v>
      </c>
      <c r="BY103" s="47">
        <v>0.86395991030985231</v>
      </c>
      <c r="BZ103" s="47">
        <v>8.9983201569419809E-3</v>
      </c>
      <c r="CA103" s="47">
        <v>0</v>
      </c>
      <c r="CB103" s="47">
        <v>0</v>
      </c>
      <c r="CC103" s="47">
        <v>47.564955348270267</v>
      </c>
      <c r="CD103" s="47">
        <v>6.6155705059101316E-4</v>
      </c>
      <c r="CE103" s="47">
        <v>2.2319593078576712E-3</v>
      </c>
      <c r="CF103" s="47">
        <v>2.1837959754249531E-2</v>
      </c>
      <c r="CG103" s="47">
        <v>0</v>
      </c>
      <c r="CH103" s="47">
        <v>9.3600385568606281</v>
      </c>
      <c r="CI103" s="47">
        <v>0</v>
      </c>
      <c r="CJ103" s="47">
        <v>0</v>
      </c>
      <c r="CK103" s="47">
        <v>0</v>
      </c>
      <c r="CL103" s="47">
        <v>30.593143891318331</v>
      </c>
      <c r="CM103" s="47">
        <v>0</v>
      </c>
      <c r="CN103" s="47">
        <v>0</v>
      </c>
      <c r="CO103" s="47">
        <v>0</v>
      </c>
      <c r="CP103" s="47">
        <v>0</v>
      </c>
      <c r="CQ103" s="47">
        <v>2.0686738637565049E-2</v>
      </c>
      <c r="CR103" s="47">
        <v>8.8358249032461433</v>
      </c>
      <c r="CS103" s="47">
        <v>0</v>
      </c>
      <c r="CT103" s="47">
        <v>1327.813407220784</v>
      </c>
      <c r="CU103" s="47">
        <v>9999.4129854353578</v>
      </c>
      <c r="CV103" s="47">
        <v>0</v>
      </c>
      <c r="CW103" s="47">
        <v>0</v>
      </c>
      <c r="CX103" s="47">
        <v>0</v>
      </c>
      <c r="CY103" s="47">
        <v>0</v>
      </c>
      <c r="CZ103" s="47">
        <v>0</v>
      </c>
      <c r="DA103" s="47">
        <v>0</v>
      </c>
      <c r="DB103" s="47">
        <v>0</v>
      </c>
      <c r="DC103" s="47">
        <v>0</v>
      </c>
      <c r="DD103" s="48">
        <v>11654</v>
      </c>
      <c r="DE103" s="47">
        <v>65050</v>
      </c>
      <c r="DF103" s="47">
        <v>38803</v>
      </c>
      <c r="DG103" s="47">
        <v>15688</v>
      </c>
      <c r="DH103" s="47">
        <v>10559</v>
      </c>
      <c r="DI103" s="47">
        <v>0</v>
      </c>
      <c r="DJ103" s="47">
        <v>0</v>
      </c>
      <c r="DK103" s="47">
        <v>0</v>
      </c>
      <c r="DL103" s="47">
        <v>0</v>
      </c>
      <c r="DM103" s="47">
        <v>0</v>
      </c>
      <c r="DN103" s="47">
        <v>72</v>
      </c>
      <c r="DO103" s="48">
        <v>76776</v>
      </c>
      <c r="DP103" s="47"/>
      <c r="DQ103" s="47"/>
      <c r="DR103" s="47"/>
      <c r="DS103" s="47"/>
    </row>
    <row r="104" spans="1:123" x14ac:dyDescent="0.45">
      <c r="A104" s="6" t="s">
        <v>320</v>
      </c>
      <c r="B104" t="s">
        <v>321</v>
      </c>
      <c r="C104" s="47">
        <v>1.408883426966292E-2</v>
      </c>
      <c r="D104" s="47">
        <v>0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v>0</v>
      </c>
      <c r="X104" s="47">
        <v>0</v>
      </c>
      <c r="Y104" s="47">
        <v>0</v>
      </c>
      <c r="Z104" s="47">
        <v>0</v>
      </c>
      <c r="AA104" s="47">
        <v>0</v>
      </c>
      <c r="AB104" s="47">
        <v>0</v>
      </c>
      <c r="AC104" s="47">
        <v>0</v>
      </c>
      <c r="AD104" s="47">
        <v>0</v>
      </c>
      <c r="AE104" s="47">
        <v>0</v>
      </c>
      <c r="AF104" s="47">
        <v>0</v>
      </c>
      <c r="AG104" s="47">
        <v>0</v>
      </c>
      <c r="AH104" s="47">
        <v>0</v>
      </c>
      <c r="AI104" s="47">
        <v>0</v>
      </c>
      <c r="AJ104" s="47">
        <v>0</v>
      </c>
      <c r="AK104" s="47">
        <v>0.36315383956853009</v>
      </c>
      <c r="AL104" s="47">
        <v>0</v>
      </c>
      <c r="AM104" s="47">
        <v>0</v>
      </c>
      <c r="AN104" s="47">
        <v>0</v>
      </c>
      <c r="AO104" s="47">
        <v>0</v>
      </c>
      <c r="AP104" s="47">
        <v>0</v>
      </c>
      <c r="AQ104" s="47">
        <v>0</v>
      </c>
      <c r="AR104" s="47">
        <v>0</v>
      </c>
      <c r="AS104" s="47">
        <v>0</v>
      </c>
      <c r="AT104" s="47">
        <v>0</v>
      </c>
      <c r="AU104" s="47">
        <v>0</v>
      </c>
      <c r="AV104" s="47">
        <v>0</v>
      </c>
      <c r="AW104" s="47">
        <v>0</v>
      </c>
      <c r="AX104" s="47">
        <v>0</v>
      </c>
      <c r="AY104" s="47">
        <v>0</v>
      </c>
      <c r="AZ104" s="47">
        <v>0</v>
      </c>
      <c r="BA104" s="47">
        <v>0</v>
      </c>
      <c r="BB104" s="47">
        <v>0</v>
      </c>
      <c r="BC104" s="47">
        <v>0</v>
      </c>
      <c r="BD104" s="47">
        <v>0</v>
      </c>
      <c r="BE104" s="47">
        <v>19.126701481037578</v>
      </c>
      <c r="BF104" s="47">
        <v>0</v>
      </c>
      <c r="BG104" s="47">
        <v>1.994955180160499</v>
      </c>
      <c r="BH104" s="47">
        <v>1.2468225522710931E-3</v>
      </c>
      <c r="BI104" s="47">
        <v>18.012416404364259</v>
      </c>
      <c r="BJ104" s="47">
        <v>16.30460083696007</v>
      </c>
      <c r="BK104" s="47">
        <v>0</v>
      </c>
      <c r="BL104" s="47">
        <v>0.21912065937912559</v>
      </c>
      <c r="BM104" s="47">
        <v>0</v>
      </c>
      <c r="BN104" s="47">
        <v>0</v>
      </c>
      <c r="BO104" s="47">
        <v>0</v>
      </c>
      <c r="BP104" s="47">
        <v>7.4365439175379062E-3</v>
      </c>
      <c r="BQ104" s="47">
        <v>1.550567494589747</v>
      </c>
      <c r="BR104" s="47">
        <v>28.57045863981082</v>
      </c>
      <c r="BS104" s="47">
        <v>123.70599370603669</v>
      </c>
      <c r="BT104" s="47">
        <v>584.38707252073254</v>
      </c>
      <c r="BU104" s="47">
        <v>0.18316715937978381</v>
      </c>
      <c r="BV104" s="47">
        <v>18.89711098463308</v>
      </c>
      <c r="BW104" s="47">
        <v>1.332565580343728</v>
      </c>
      <c r="BX104" s="47">
        <v>25.616253164449251</v>
      </c>
      <c r="BY104" s="47">
        <v>0</v>
      </c>
      <c r="BZ104" s="47">
        <v>5.7849186313744356</v>
      </c>
      <c r="CA104" s="47">
        <v>0</v>
      </c>
      <c r="CB104" s="47">
        <v>0</v>
      </c>
      <c r="CC104" s="47">
        <v>15.799702002874239</v>
      </c>
      <c r="CD104" s="47">
        <v>5.169241506650122E-2</v>
      </c>
      <c r="CE104" s="47">
        <v>0.12543197530506059</v>
      </c>
      <c r="CF104" s="47">
        <v>0.93434091829910892</v>
      </c>
      <c r="CG104" s="47">
        <v>2.2278049936097788</v>
      </c>
      <c r="CH104" s="47">
        <v>12.643245638756451</v>
      </c>
      <c r="CI104" s="47">
        <v>143.6789590852467</v>
      </c>
      <c r="CJ104" s="47">
        <v>35.384135005584383</v>
      </c>
      <c r="CK104" s="47">
        <v>0</v>
      </c>
      <c r="CL104" s="47">
        <v>4.9053090199047258</v>
      </c>
      <c r="CM104" s="47">
        <v>1.2398991790227329</v>
      </c>
      <c r="CN104" s="47">
        <v>0</v>
      </c>
      <c r="CO104" s="47">
        <v>0.1033968628391792</v>
      </c>
      <c r="CP104" s="47">
        <v>0.45018478736549378</v>
      </c>
      <c r="CQ104" s="47">
        <v>115.0397107777771</v>
      </c>
      <c r="CR104" s="47">
        <v>248.38485561347491</v>
      </c>
      <c r="CS104" s="47">
        <v>47.727867908707083</v>
      </c>
      <c r="CT104" s="47">
        <v>24.64390139607988</v>
      </c>
      <c r="CU104" s="47">
        <v>78.674351803813892</v>
      </c>
      <c r="CV104" s="47">
        <v>2183.136482624705</v>
      </c>
      <c r="CW104" s="47">
        <v>39.619702532924613</v>
      </c>
      <c r="CX104" s="47">
        <v>2.912347182749131</v>
      </c>
      <c r="CY104" s="47">
        <v>154.92308386340059</v>
      </c>
      <c r="CZ104" s="47">
        <v>0</v>
      </c>
      <c r="DA104" s="47">
        <v>0</v>
      </c>
      <c r="DB104" s="47">
        <v>1.3217659289336841</v>
      </c>
      <c r="DC104" s="47">
        <v>0</v>
      </c>
      <c r="DD104" s="48">
        <v>3960</v>
      </c>
      <c r="DE104" s="47">
        <v>6889</v>
      </c>
      <c r="DF104" s="47">
        <v>198</v>
      </c>
      <c r="DG104" s="47">
        <v>4545</v>
      </c>
      <c r="DH104" s="47">
        <v>2146</v>
      </c>
      <c r="DI104" s="47">
        <v>339</v>
      </c>
      <c r="DJ104" s="47">
        <v>0</v>
      </c>
      <c r="DK104" s="47">
        <v>-311</v>
      </c>
      <c r="DL104" s="47">
        <v>78</v>
      </c>
      <c r="DM104" s="47">
        <v>3093</v>
      </c>
      <c r="DN104" s="47">
        <v>287</v>
      </c>
      <c r="DO104" s="48">
        <v>14335</v>
      </c>
      <c r="DP104" s="47"/>
      <c r="DQ104" s="47"/>
      <c r="DR104" s="47"/>
      <c r="DS104" s="47"/>
    </row>
    <row r="105" spans="1:123" x14ac:dyDescent="0.45">
      <c r="A105" s="6" t="s">
        <v>322</v>
      </c>
      <c r="B105" t="s">
        <v>323</v>
      </c>
      <c r="C105" s="47">
        <v>0</v>
      </c>
      <c r="D105" s="47">
        <v>0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7">
        <v>0</v>
      </c>
      <c r="AI105" s="47">
        <v>0</v>
      </c>
      <c r="AJ105" s="47">
        <v>0</v>
      </c>
      <c r="AK105" s="47">
        <v>0.19022343977399189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0</v>
      </c>
      <c r="BD105" s="47">
        <v>0</v>
      </c>
      <c r="BE105" s="47">
        <v>10.01874839482921</v>
      </c>
      <c r="BF105" s="47">
        <v>0</v>
      </c>
      <c r="BG105" s="47">
        <v>0.69546009170561762</v>
      </c>
      <c r="BH105" s="47">
        <v>3.9455663123815908E-4</v>
      </c>
      <c r="BI105" s="47">
        <v>2.241074066703109</v>
      </c>
      <c r="BJ105" s="47">
        <v>4.8867972880252726</v>
      </c>
      <c r="BK105" s="47">
        <v>0</v>
      </c>
      <c r="BL105" s="47">
        <v>0.16024104070613721</v>
      </c>
      <c r="BM105" s="47">
        <v>0</v>
      </c>
      <c r="BN105" s="47">
        <v>0</v>
      </c>
      <c r="BO105" s="47">
        <v>0</v>
      </c>
      <c r="BP105" s="47">
        <v>9.952067096311666E-5</v>
      </c>
      <c r="BQ105" s="47">
        <v>1.2619416401654051</v>
      </c>
      <c r="BR105" s="47">
        <v>1.874514176723092</v>
      </c>
      <c r="BS105" s="47">
        <v>6.1592964263999253E-2</v>
      </c>
      <c r="BT105" s="47">
        <v>1.258606558262805</v>
      </c>
      <c r="BU105" s="47">
        <v>0</v>
      </c>
      <c r="BV105" s="47">
        <v>6.6338528519199311</v>
      </c>
      <c r="BW105" s="47">
        <v>3.1827530686287332E-2</v>
      </c>
      <c r="BX105" s="47">
        <v>3.511044949625646E-3</v>
      </c>
      <c r="BY105" s="47">
        <v>3.4558396412394088</v>
      </c>
      <c r="BZ105" s="47">
        <v>0</v>
      </c>
      <c r="CA105" s="47">
        <v>0</v>
      </c>
      <c r="CB105" s="47">
        <v>0</v>
      </c>
      <c r="CC105" s="47">
        <v>10.11559530534316</v>
      </c>
      <c r="CD105" s="47">
        <v>1.7185694695484741E-2</v>
      </c>
      <c r="CE105" s="47">
        <v>1.7892303741118051E-2</v>
      </c>
      <c r="CF105" s="47">
        <v>8.9555464633939985E-2</v>
      </c>
      <c r="CG105" s="47">
        <v>5.8017773545551002E-2</v>
      </c>
      <c r="CH105" s="47">
        <v>7.8629651967052148</v>
      </c>
      <c r="CI105" s="47">
        <v>7.0538406933821998</v>
      </c>
      <c r="CJ105" s="47">
        <v>0.82895529584032646</v>
      </c>
      <c r="CK105" s="47">
        <v>0</v>
      </c>
      <c r="CL105" s="47">
        <v>0.21446749504380991</v>
      </c>
      <c r="CM105" s="47">
        <v>0.37512747130240293</v>
      </c>
      <c r="CN105" s="47">
        <v>0</v>
      </c>
      <c r="CO105" s="47">
        <v>4.9803762349438348E-2</v>
      </c>
      <c r="CP105" s="47">
        <v>7.8855957053277387E-2</v>
      </c>
      <c r="CQ105" s="47">
        <v>0.56244561010786431</v>
      </c>
      <c r="CR105" s="47">
        <v>234.64023909731421</v>
      </c>
      <c r="CS105" s="47">
        <v>38.839601626888623</v>
      </c>
      <c r="CT105" s="47">
        <v>66.045655741494073</v>
      </c>
      <c r="CU105" s="47">
        <v>25.253495640730389</v>
      </c>
      <c r="CV105" s="47">
        <v>11.563171363626649</v>
      </c>
      <c r="CW105" s="47">
        <v>171.48628121273799</v>
      </c>
      <c r="CX105" s="47">
        <v>1.402805972842514</v>
      </c>
      <c r="CY105" s="47">
        <v>74.622637253575121</v>
      </c>
      <c r="CZ105" s="47">
        <v>0</v>
      </c>
      <c r="DA105" s="47">
        <v>0</v>
      </c>
      <c r="DB105" s="47">
        <v>4.667925979047749E-2</v>
      </c>
      <c r="DC105" s="47">
        <v>0</v>
      </c>
      <c r="DD105" s="48">
        <v>684</v>
      </c>
      <c r="DE105" s="47">
        <v>2205</v>
      </c>
      <c r="DF105" s="47">
        <v>1460</v>
      </c>
      <c r="DG105" s="47">
        <v>511</v>
      </c>
      <c r="DH105" s="47">
        <v>234</v>
      </c>
      <c r="DI105" s="47">
        <v>0</v>
      </c>
      <c r="DJ105" s="47">
        <v>0</v>
      </c>
      <c r="DK105" s="47">
        <v>787</v>
      </c>
      <c r="DL105" s="47">
        <v>25</v>
      </c>
      <c r="DM105" s="47">
        <v>969</v>
      </c>
      <c r="DN105" s="47">
        <v>619</v>
      </c>
      <c r="DO105" s="48">
        <v>5289</v>
      </c>
      <c r="DP105" s="47"/>
      <c r="DQ105" s="47"/>
      <c r="DR105" s="47"/>
      <c r="DS105" s="47"/>
    </row>
    <row r="106" spans="1:123" x14ac:dyDescent="0.45">
      <c r="A106" s="6" t="s">
        <v>324</v>
      </c>
      <c r="B106" t="s">
        <v>325</v>
      </c>
      <c r="C106" s="47">
        <v>0</v>
      </c>
      <c r="D106" s="47">
        <v>0</v>
      </c>
      <c r="E106" s="47">
        <v>0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0</v>
      </c>
      <c r="AL106" s="47">
        <v>0</v>
      </c>
      <c r="AM106" s="47">
        <v>0</v>
      </c>
      <c r="AN106" s="47">
        <v>0</v>
      </c>
      <c r="AO106" s="47">
        <v>0</v>
      </c>
      <c r="AP106" s="47">
        <v>0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0</v>
      </c>
      <c r="AW106" s="47">
        <v>0</v>
      </c>
      <c r="AX106" s="47">
        <v>0</v>
      </c>
      <c r="AY106" s="47">
        <v>0</v>
      </c>
      <c r="AZ106" s="47">
        <v>0</v>
      </c>
      <c r="BA106" s="47">
        <v>0</v>
      </c>
      <c r="BB106" s="47">
        <v>0</v>
      </c>
      <c r="BC106" s="47">
        <v>0</v>
      </c>
      <c r="BD106" s="47">
        <v>0</v>
      </c>
      <c r="BE106" s="47">
        <v>0</v>
      </c>
      <c r="BF106" s="47">
        <v>0</v>
      </c>
      <c r="BG106" s="47">
        <v>6.7069069932994756</v>
      </c>
      <c r="BH106" s="47">
        <v>1.386894661271375E-2</v>
      </c>
      <c r="BI106" s="47">
        <v>1.425179637194127E-2</v>
      </c>
      <c r="BJ106" s="47">
        <v>0.1053616597560552</v>
      </c>
      <c r="BK106" s="47">
        <v>0</v>
      </c>
      <c r="BL106" s="47">
        <v>4.2651052531218608E-5</v>
      </c>
      <c r="BM106" s="47">
        <v>0</v>
      </c>
      <c r="BN106" s="47">
        <v>0</v>
      </c>
      <c r="BO106" s="47">
        <v>0</v>
      </c>
      <c r="BP106" s="47">
        <v>2.7924074941027761E-5</v>
      </c>
      <c r="BQ106" s="47">
        <v>13.469031095038741</v>
      </c>
      <c r="BR106" s="47">
        <v>10.73789549662043</v>
      </c>
      <c r="BS106" s="47">
        <v>5.6668541488486122E-2</v>
      </c>
      <c r="BT106" s="47">
        <v>1.010511120133532E-2</v>
      </c>
      <c r="BU106" s="47">
        <v>0</v>
      </c>
      <c r="BV106" s="47">
        <v>93.45163181646528</v>
      </c>
      <c r="BW106" s="47">
        <v>6.3422764227642272</v>
      </c>
      <c r="BX106" s="47">
        <v>358.20934461213062</v>
      </c>
      <c r="BY106" s="47">
        <v>0</v>
      </c>
      <c r="BZ106" s="47">
        <v>1.7051816697405049</v>
      </c>
      <c r="CA106" s="47">
        <v>0</v>
      </c>
      <c r="CB106" s="47">
        <v>0</v>
      </c>
      <c r="CC106" s="47">
        <v>17.912778814864421</v>
      </c>
      <c r="CD106" s="47">
        <v>5.1402746006951553E-5</v>
      </c>
      <c r="CE106" s="47">
        <v>0.42295628883902869</v>
      </c>
      <c r="CF106" s="47">
        <v>4.1401880817805363</v>
      </c>
      <c r="CG106" s="47">
        <v>2.7067262146433888E-4</v>
      </c>
      <c r="CH106" s="47">
        <v>1.575866278291588</v>
      </c>
      <c r="CI106" s="47">
        <v>0.1497721838769342</v>
      </c>
      <c r="CJ106" s="47">
        <v>0.58725792130028487</v>
      </c>
      <c r="CK106" s="47">
        <v>0</v>
      </c>
      <c r="CL106" s="47">
        <v>4.8900210471438772</v>
      </c>
      <c r="CM106" s="47">
        <v>1.9035131325734691</v>
      </c>
      <c r="CN106" s="47">
        <v>0</v>
      </c>
      <c r="CO106" s="47">
        <v>1.082690485857356E-3</v>
      </c>
      <c r="CP106" s="47">
        <v>1.714259935940813E-3</v>
      </c>
      <c r="CQ106" s="47">
        <v>3.9381257425733458</v>
      </c>
      <c r="CR106" s="47">
        <v>0</v>
      </c>
      <c r="CS106" s="47">
        <v>0</v>
      </c>
      <c r="CT106" s="47">
        <v>0</v>
      </c>
      <c r="CU106" s="47">
        <v>0</v>
      </c>
      <c r="CV106" s="47">
        <v>2.706726214643389E-3</v>
      </c>
      <c r="CW106" s="47">
        <v>0</v>
      </c>
      <c r="CX106" s="47">
        <v>683.02805675762806</v>
      </c>
      <c r="CY106" s="47">
        <v>1.6222312446429381</v>
      </c>
      <c r="CZ106" s="47">
        <v>0</v>
      </c>
      <c r="DA106" s="47">
        <v>0</v>
      </c>
      <c r="DB106" s="47">
        <v>8.1201786439301664E-4</v>
      </c>
      <c r="DC106" s="47">
        <v>0</v>
      </c>
      <c r="DD106" s="48">
        <v>1211</v>
      </c>
      <c r="DE106" s="47">
        <v>8567</v>
      </c>
      <c r="DF106" s="47">
        <v>0</v>
      </c>
      <c r="DG106" s="47">
        <v>8567</v>
      </c>
      <c r="DH106" s="47">
        <v>0</v>
      </c>
      <c r="DI106" s="47">
        <v>0</v>
      </c>
      <c r="DJ106" s="47">
        <v>0</v>
      </c>
      <c r="DK106" s="47">
        <v>0</v>
      </c>
      <c r="DL106" s="47">
        <v>0</v>
      </c>
      <c r="DM106" s="47">
        <v>0</v>
      </c>
      <c r="DN106" s="47">
        <v>228</v>
      </c>
      <c r="DO106" s="48">
        <v>10006</v>
      </c>
      <c r="DP106" s="47"/>
      <c r="DQ106" s="47"/>
      <c r="DR106" s="47"/>
      <c r="DS106" s="47"/>
    </row>
    <row r="107" spans="1:123" x14ac:dyDescent="0.45">
      <c r="A107" s="6" t="s">
        <v>326</v>
      </c>
      <c r="B107" t="s">
        <v>327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2.872771290461015E-4</v>
      </c>
      <c r="K107" s="47">
        <v>7.7966667171405716E-3</v>
      </c>
      <c r="L107" s="47">
        <v>2.3448809500349981E-5</v>
      </c>
      <c r="M107" s="47">
        <v>2.907569390202604E-4</v>
      </c>
      <c r="N107" s="47">
        <v>7.1028099242756493E-2</v>
      </c>
      <c r="O107" s="47">
        <v>1.9625855173542668E-3</v>
      </c>
      <c r="P107" s="47">
        <v>2.2920604119671759E-2</v>
      </c>
      <c r="Q107" s="47">
        <v>5.478272132461151E-5</v>
      </c>
      <c r="R107" s="47">
        <v>16.43578998233825</v>
      </c>
      <c r="S107" s="47">
        <v>3.9537720608418217E-2</v>
      </c>
      <c r="T107" s="47">
        <v>6.4117061449687205E-4</v>
      </c>
      <c r="U107" s="47">
        <v>5.3397681492616998E-6</v>
      </c>
      <c r="V107" s="47">
        <v>0</v>
      </c>
      <c r="W107" s="47">
        <v>3.1885157202777668E-5</v>
      </c>
      <c r="X107" s="47">
        <v>4.9368193089980358E-4</v>
      </c>
      <c r="Y107" s="47">
        <v>1.0537402385453359E-4</v>
      </c>
      <c r="Z107" s="47">
        <v>3.0793594932254091E-3</v>
      </c>
      <c r="AA107" s="47">
        <v>6.158720284151915E-3</v>
      </c>
      <c r="AB107" s="47">
        <v>7.1522616208402542E-3</v>
      </c>
      <c r="AC107" s="47">
        <v>0</v>
      </c>
      <c r="AD107" s="47">
        <v>5.5428515366214267E-3</v>
      </c>
      <c r="AE107" s="47">
        <v>0.86003563404026495</v>
      </c>
      <c r="AF107" s="47">
        <v>0</v>
      </c>
      <c r="AG107" s="47">
        <v>3.6984571216439929E-2</v>
      </c>
      <c r="AH107" s="47">
        <v>7.4547546193699816E-3</v>
      </c>
      <c r="AI107" s="47">
        <v>3.6128671646615499E-12</v>
      </c>
      <c r="AJ107" s="47">
        <v>1.583079387596167E-3</v>
      </c>
      <c r="AK107" s="47">
        <v>0.25939384052310249</v>
      </c>
      <c r="AL107" s="47">
        <v>8.0564985450003828E-6</v>
      </c>
      <c r="AM107" s="47">
        <v>0</v>
      </c>
      <c r="AN107" s="47">
        <v>1.4808065684910139E-3</v>
      </c>
      <c r="AO107" s="47">
        <v>7.0385359845152211E-4</v>
      </c>
      <c r="AP107" s="47">
        <v>3.0169849940287022E-4</v>
      </c>
      <c r="AQ107" s="47">
        <v>7.9178438263905696E-4</v>
      </c>
      <c r="AR107" s="47">
        <v>6.8319881963687333E-4</v>
      </c>
      <c r="AS107" s="47">
        <v>4.399006459656504E-4</v>
      </c>
      <c r="AT107" s="47">
        <v>0</v>
      </c>
      <c r="AU107" s="47">
        <v>0</v>
      </c>
      <c r="AV107" s="47">
        <v>3.2146482147735731E-4</v>
      </c>
      <c r="AW107" s="47">
        <v>2.6394698772084959E-4</v>
      </c>
      <c r="AX107" s="47">
        <v>0</v>
      </c>
      <c r="AY107" s="47">
        <v>0</v>
      </c>
      <c r="AZ107" s="47">
        <v>7.0385359845152211E-4</v>
      </c>
      <c r="BA107" s="47">
        <v>0</v>
      </c>
      <c r="BB107" s="47">
        <v>0</v>
      </c>
      <c r="BC107" s="47">
        <v>0</v>
      </c>
      <c r="BD107" s="47">
        <v>0</v>
      </c>
      <c r="BE107" s="47">
        <v>13.66192962931256</v>
      </c>
      <c r="BF107" s="47">
        <v>0</v>
      </c>
      <c r="BG107" s="47">
        <v>0.67548186284054856</v>
      </c>
      <c r="BH107" s="47">
        <v>1.694870557317038E-4</v>
      </c>
      <c r="BI107" s="47">
        <v>4.3875259240670772</v>
      </c>
      <c r="BJ107" s="47">
        <v>4.2291440797027722</v>
      </c>
      <c r="BK107" s="47">
        <v>0</v>
      </c>
      <c r="BL107" s="47">
        <v>0.29934806007806908</v>
      </c>
      <c r="BM107" s="47">
        <v>0</v>
      </c>
      <c r="BN107" s="47">
        <v>0</v>
      </c>
      <c r="BO107" s="47">
        <v>0</v>
      </c>
      <c r="BP107" s="47">
        <v>7.3025181586962846E-5</v>
      </c>
      <c r="BQ107" s="47">
        <v>1.405317808593729</v>
      </c>
      <c r="BR107" s="47">
        <v>4.1343631781573897</v>
      </c>
      <c r="BS107" s="47">
        <v>1.580734429430773</v>
      </c>
      <c r="BT107" s="47">
        <v>135.1735632157104</v>
      </c>
      <c r="BU107" s="47">
        <v>1.4094944414748929E-6</v>
      </c>
      <c r="BV107" s="47">
        <v>10.4200815191828</v>
      </c>
      <c r="BW107" s="47">
        <v>0.47361146735621767</v>
      </c>
      <c r="BX107" s="47">
        <v>50.095049427968718</v>
      </c>
      <c r="BY107" s="47">
        <v>25.054837398985718</v>
      </c>
      <c r="BZ107" s="47">
        <v>5.9034880466944184</v>
      </c>
      <c r="CA107" s="47">
        <v>0</v>
      </c>
      <c r="CB107" s="47">
        <v>0</v>
      </c>
      <c r="CC107" s="47">
        <v>7.5415590865869282</v>
      </c>
      <c r="CD107" s="47">
        <v>2.547080103850766E-2</v>
      </c>
      <c r="CE107" s="47">
        <v>8.9102325485816786E-2</v>
      </c>
      <c r="CF107" s="47">
        <v>0.62288394567397687</v>
      </c>
      <c r="CG107" s="47">
        <v>7.2139237272198412E-2</v>
      </c>
      <c r="CH107" s="47">
        <v>6.0044529796941042</v>
      </c>
      <c r="CI107" s="47">
        <v>28.900079056682291</v>
      </c>
      <c r="CJ107" s="47">
        <v>0.36368199792708328</v>
      </c>
      <c r="CK107" s="47">
        <v>0</v>
      </c>
      <c r="CL107" s="47">
        <v>0.98340178460983629</v>
      </c>
      <c r="CM107" s="47">
        <v>0.27641414806638931</v>
      </c>
      <c r="CN107" s="47">
        <v>113.2037329836875</v>
      </c>
      <c r="CO107" s="47">
        <v>3.1255742367290042E-2</v>
      </c>
      <c r="CP107" s="47">
        <v>5.0547235613637713E-2</v>
      </c>
      <c r="CQ107" s="47">
        <v>1.0370727868183349</v>
      </c>
      <c r="CR107" s="47">
        <v>148.24550671001859</v>
      </c>
      <c r="CS107" s="47">
        <v>43.253192720853221</v>
      </c>
      <c r="CT107" s="47">
        <v>0</v>
      </c>
      <c r="CU107" s="47">
        <v>31.081225403975861</v>
      </c>
      <c r="CV107" s="47">
        <v>2.92192019237506</v>
      </c>
      <c r="CW107" s="47">
        <v>28.346290866776751</v>
      </c>
      <c r="CX107" s="47">
        <v>32.862378596177351</v>
      </c>
      <c r="CY107" s="47">
        <v>37.311318626787561</v>
      </c>
      <c r="CZ107" s="47">
        <v>12.48057184750733</v>
      </c>
      <c r="DA107" s="47">
        <v>0</v>
      </c>
      <c r="DB107" s="47">
        <v>2.7027941408255131E-2</v>
      </c>
      <c r="DC107" s="47">
        <v>0</v>
      </c>
      <c r="DD107" s="48">
        <v>771</v>
      </c>
      <c r="DE107" s="47">
        <v>16739</v>
      </c>
      <c r="DF107" s="47">
        <v>2332</v>
      </c>
      <c r="DG107" s="47">
        <v>13831</v>
      </c>
      <c r="DH107" s="47">
        <v>576</v>
      </c>
      <c r="DI107" s="47">
        <v>0</v>
      </c>
      <c r="DJ107" s="47">
        <v>0</v>
      </c>
      <c r="DK107" s="47">
        <v>0</v>
      </c>
      <c r="DL107" s="47">
        <v>0</v>
      </c>
      <c r="DM107" s="47">
        <v>0</v>
      </c>
      <c r="DN107" s="47">
        <v>665</v>
      </c>
      <c r="DO107" s="48">
        <v>18175</v>
      </c>
      <c r="DP107" s="47"/>
      <c r="DQ107" s="47"/>
      <c r="DR107" s="47"/>
      <c r="DS107" s="47"/>
    </row>
    <row r="108" spans="1:123" x14ac:dyDescent="0.45">
      <c r="A108" s="6" t="s">
        <v>328</v>
      </c>
      <c r="B108" t="s">
        <v>329</v>
      </c>
      <c r="C108" s="47">
        <v>1.6063904494382018E-2</v>
      </c>
      <c r="D108" s="47">
        <v>1.546972860125261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1.9117216572834781</v>
      </c>
      <c r="K108" s="47">
        <v>1.0500893121624709E-2</v>
      </c>
      <c r="L108" s="47">
        <v>1.3990345248926651E-3</v>
      </c>
      <c r="M108" s="47">
        <v>4.3327251818940666E-3</v>
      </c>
      <c r="N108" s="47">
        <v>1.574042184845207E-3</v>
      </c>
      <c r="O108" s="47">
        <v>1.7465648441318031E-4</v>
      </c>
      <c r="P108" s="47">
        <v>3.0438388811629559E-2</v>
      </c>
      <c r="Q108" s="47">
        <v>2.9456266173422379E-2</v>
      </c>
      <c r="R108" s="47">
        <v>2.303801272098963E-3</v>
      </c>
      <c r="S108" s="47">
        <v>1.2019832723994589E-3</v>
      </c>
      <c r="T108" s="47">
        <v>5.692769230061432E-2</v>
      </c>
      <c r="U108" s="47">
        <v>9.6522252509435667E-3</v>
      </c>
      <c r="V108" s="47">
        <v>0</v>
      </c>
      <c r="W108" s="47">
        <v>8.7669225858559279E-3</v>
      </c>
      <c r="X108" s="47">
        <v>6.6463144819541756E-2</v>
      </c>
      <c r="Y108" s="47">
        <v>0.1057392593412417</v>
      </c>
      <c r="Z108" s="47">
        <v>1.7605001257500091E-3</v>
      </c>
      <c r="AA108" s="47">
        <v>0.85286233724639604</v>
      </c>
      <c r="AB108" s="47">
        <v>0.97728651430135238</v>
      </c>
      <c r="AC108" s="47">
        <v>8.6194451833024557E-2</v>
      </c>
      <c r="AD108" s="47">
        <v>8.7103519607085299E-3</v>
      </c>
      <c r="AE108" s="47">
        <v>5.6187675216147218E-2</v>
      </c>
      <c r="AF108" s="47">
        <v>3.4978444073838488E-2</v>
      </c>
      <c r="AG108" s="47">
        <v>6.1326703417623323</v>
      </c>
      <c r="AH108" s="47">
        <v>6.1536189519075881</v>
      </c>
      <c r="AI108" s="47">
        <v>2.4865343481847012E-4</v>
      </c>
      <c r="AJ108" s="47">
        <v>2.5013902167263721E-3</v>
      </c>
      <c r="AK108" s="47">
        <v>1.757890735021818</v>
      </c>
      <c r="AL108" s="47">
        <v>0.97570587027869349</v>
      </c>
      <c r="AM108" s="47">
        <v>0.74932308222547483</v>
      </c>
      <c r="AN108" s="47">
        <v>5.1721145896096301</v>
      </c>
      <c r="AO108" s="47">
        <v>6.396745245982431</v>
      </c>
      <c r="AP108" s="47">
        <v>1.1786452015972999</v>
      </c>
      <c r="AQ108" s="47">
        <v>0.75203962578124717</v>
      </c>
      <c r="AR108" s="47">
        <v>9.3564424568472304E-2</v>
      </c>
      <c r="AS108" s="47">
        <v>1.33696083744019E-2</v>
      </c>
      <c r="AT108" s="47">
        <v>3.6713933567921922E-2</v>
      </c>
      <c r="AU108" s="47">
        <v>9.9658612007083883E-2</v>
      </c>
      <c r="AV108" s="47">
        <v>6.1055796581028721E-2</v>
      </c>
      <c r="AW108" s="47">
        <v>0.2304272181844676</v>
      </c>
      <c r="AX108" s="47">
        <v>1.6453300446053389E-2</v>
      </c>
      <c r="AY108" s="47">
        <v>1.5942915710399769E-2</v>
      </c>
      <c r="AZ108" s="47">
        <v>3.894466396871433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1.1024120688101491</v>
      </c>
      <c r="BH108" s="47">
        <v>3.3034941175875403E-2</v>
      </c>
      <c r="BI108" s="47">
        <v>13.408927546419299</v>
      </c>
      <c r="BJ108" s="47">
        <v>5.8843032640397794</v>
      </c>
      <c r="BK108" s="47">
        <v>0</v>
      </c>
      <c r="BL108" s="47">
        <v>1.6989831262739369E-2</v>
      </c>
      <c r="BM108" s="47">
        <v>0</v>
      </c>
      <c r="BN108" s="47">
        <v>2.9375608295275879</v>
      </c>
      <c r="BO108" s="47">
        <v>9.3113394523658322</v>
      </c>
      <c r="BP108" s="47">
        <v>1.0239203177390861</v>
      </c>
      <c r="BQ108" s="47">
        <v>7.4514609387263846</v>
      </c>
      <c r="BR108" s="47">
        <v>23.661620568206899</v>
      </c>
      <c r="BS108" s="47">
        <v>11.732626376554879</v>
      </c>
      <c r="BT108" s="47">
        <v>130.4661647847542</v>
      </c>
      <c r="BU108" s="47">
        <v>0.22170081684369131</v>
      </c>
      <c r="BV108" s="47">
        <v>18.862977239345931</v>
      </c>
      <c r="BW108" s="47">
        <v>1.652092470003873</v>
      </c>
      <c r="BX108" s="47">
        <v>286.67265042949469</v>
      </c>
      <c r="BY108" s="47">
        <v>20.735037847436459</v>
      </c>
      <c r="BZ108" s="47">
        <v>26.93462818680257</v>
      </c>
      <c r="CA108" s="47">
        <v>0</v>
      </c>
      <c r="CB108" s="47">
        <v>0</v>
      </c>
      <c r="CC108" s="47">
        <v>22.493798959295191</v>
      </c>
      <c r="CD108" s="47">
        <v>5.2999200787280661E-2</v>
      </c>
      <c r="CE108" s="47">
        <v>0.40695880672232598</v>
      </c>
      <c r="CF108" s="47">
        <v>3.2354486665921822</v>
      </c>
      <c r="CG108" s="47">
        <v>0.1277438488211553</v>
      </c>
      <c r="CH108" s="47">
        <v>12.676746010906941</v>
      </c>
      <c r="CI108" s="47">
        <v>95.195820346009583</v>
      </c>
      <c r="CJ108" s="47">
        <v>94.263033241802873</v>
      </c>
      <c r="CK108" s="47">
        <v>0</v>
      </c>
      <c r="CL108" s="47">
        <v>8.2338757781276311</v>
      </c>
      <c r="CM108" s="47">
        <v>84.439653337540236</v>
      </c>
      <c r="CN108" s="47">
        <v>0</v>
      </c>
      <c r="CO108" s="47">
        <v>21.601284042553139</v>
      </c>
      <c r="CP108" s="47">
        <v>5.5694720678877836</v>
      </c>
      <c r="CQ108" s="47">
        <v>116.6780821474248</v>
      </c>
      <c r="CR108" s="47">
        <v>186.53408129075191</v>
      </c>
      <c r="CS108" s="47">
        <v>202.39798091646091</v>
      </c>
      <c r="CT108" s="47">
        <v>9.3524951619555222E-2</v>
      </c>
      <c r="CU108" s="47">
        <v>674.08033899674308</v>
      </c>
      <c r="CV108" s="47">
        <v>43.925345868504017</v>
      </c>
      <c r="CW108" s="47">
        <v>7.3401049674137573</v>
      </c>
      <c r="CX108" s="47">
        <v>14.41428953425736</v>
      </c>
      <c r="CY108" s="47">
        <v>46.431920326185939</v>
      </c>
      <c r="CZ108" s="47">
        <v>671.07074780058645</v>
      </c>
      <c r="DA108" s="47">
        <v>9.2856669098627062E-4</v>
      </c>
      <c r="DB108" s="47">
        <v>7.154679068996668E-2</v>
      </c>
      <c r="DC108" s="47">
        <v>0</v>
      </c>
      <c r="DD108" s="48">
        <v>2913</v>
      </c>
      <c r="DE108" s="47">
        <v>12893</v>
      </c>
      <c r="DF108" s="47">
        <v>0</v>
      </c>
      <c r="DG108" s="47">
        <v>6869</v>
      </c>
      <c r="DH108" s="47">
        <v>6024</v>
      </c>
      <c r="DI108" s="47">
        <v>0</v>
      </c>
      <c r="DJ108" s="47">
        <v>0</v>
      </c>
      <c r="DK108" s="47">
        <v>0</v>
      </c>
      <c r="DL108" s="47">
        <v>0</v>
      </c>
      <c r="DM108" s="47">
        <v>0</v>
      </c>
      <c r="DN108" s="47">
        <v>42</v>
      </c>
      <c r="DO108" s="48">
        <v>15848</v>
      </c>
      <c r="DP108" s="47"/>
      <c r="DQ108" s="47"/>
      <c r="DR108" s="47"/>
      <c r="DS108" s="47"/>
    </row>
    <row r="109" spans="1:123" x14ac:dyDescent="0.45">
      <c r="A109" s="6" t="s">
        <v>330</v>
      </c>
      <c r="B109" t="s">
        <v>331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0.1355294117647059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0.31127471963016867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0</v>
      </c>
      <c r="AV109" s="47">
        <v>0</v>
      </c>
      <c r="AW109" s="47">
        <v>0.85835294117647054</v>
      </c>
      <c r="AX109" s="47">
        <v>0</v>
      </c>
      <c r="AY109" s="47">
        <v>0.1355294117647059</v>
      </c>
      <c r="AZ109" s="47">
        <v>0</v>
      </c>
      <c r="BA109" s="47">
        <v>0</v>
      </c>
      <c r="BB109" s="47">
        <v>0</v>
      </c>
      <c r="BC109" s="47">
        <v>0</v>
      </c>
      <c r="BD109" s="47">
        <v>0</v>
      </c>
      <c r="BE109" s="47">
        <v>16.394315555175069</v>
      </c>
      <c r="BF109" s="47">
        <v>0</v>
      </c>
      <c r="BG109" s="47">
        <v>0.3072383272670014</v>
      </c>
      <c r="BH109" s="47">
        <v>8.5546846769611537E-3</v>
      </c>
      <c r="BI109" s="47">
        <v>15.8246063961806</v>
      </c>
      <c r="BJ109" s="47">
        <v>0.86326846291558301</v>
      </c>
      <c r="BK109" s="47">
        <v>0</v>
      </c>
      <c r="BL109" s="47">
        <v>0.27352374865734058</v>
      </c>
      <c r="BM109" s="47">
        <v>0</v>
      </c>
      <c r="BN109" s="47">
        <v>0</v>
      </c>
      <c r="BO109" s="47">
        <v>0.84648540476053036</v>
      </c>
      <c r="BP109" s="47">
        <v>9.9334612657798443E-2</v>
      </c>
      <c r="BQ109" s="47">
        <v>5.263818859851813E-3</v>
      </c>
      <c r="BR109" s="47">
        <v>8.1843589412345512</v>
      </c>
      <c r="BS109" s="47">
        <v>0.15982366042869259</v>
      </c>
      <c r="BT109" s="47">
        <v>7.2449940990257753</v>
      </c>
      <c r="BU109" s="47">
        <v>0</v>
      </c>
      <c r="BV109" s="47">
        <v>14.325328046985151</v>
      </c>
      <c r="BW109" s="47">
        <v>5.3933738549781706E-3</v>
      </c>
      <c r="BX109" s="47">
        <v>91.945703193100925</v>
      </c>
      <c r="BY109" s="47">
        <v>0</v>
      </c>
      <c r="BZ109" s="47">
        <v>0.43641852761168598</v>
      </c>
      <c r="CA109" s="47">
        <v>0</v>
      </c>
      <c r="CB109" s="47">
        <v>11</v>
      </c>
      <c r="CC109" s="47">
        <v>4.5527602124216786</v>
      </c>
      <c r="CD109" s="47">
        <v>4.267883206111249E-2</v>
      </c>
      <c r="CE109" s="47">
        <v>0.13752834164383571</v>
      </c>
      <c r="CF109" s="47">
        <v>1.0784729763949359</v>
      </c>
      <c r="CG109" s="47">
        <v>5.8951910702272882E-2</v>
      </c>
      <c r="CH109" s="47">
        <v>12.229198639389139</v>
      </c>
      <c r="CI109" s="47">
        <v>2.8449693176914779</v>
      </c>
      <c r="CJ109" s="47">
        <v>0.1004382673516989</v>
      </c>
      <c r="CK109" s="47">
        <v>0</v>
      </c>
      <c r="CL109" s="47">
        <v>1.623696900218216</v>
      </c>
      <c r="CM109" s="47">
        <v>8.1201786439301663E-2</v>
      </c>
      <c r="CN109" s="47">
        <v>0</v>
      </c>
      <c r="CO109" s="47">
        <v>1.082690485857356E-2</v>
      </c>
      <c r="CP109" s="47">
        <v>1.714259935940813E-2</v>
      </c>
      <c r="CQ109" s="47">
        <v>3.6577256142593328</v>
      </c>
      <c r="CR109" s="47">
        <v>1018.083380518472</v>
      </c>
      <c r="CS109" s="47">
        <v>0</v>
      </c>
      <c r="CT109" s="47">
        <v>485.97773553069521</v>
      </c>
      <c r="CU109" s="47">
        <v>117.5258835587837</v>
      </c>
      <c r="CV109" s="47">
        <v>2.7067262146433891E-2</v>
      </c>
      <c r="CW109" s="47">
        <v>7.7097023570900767</v>
      </c>
      <c r="CX109" s="47">
        <v>0.30495782018315509</v>
      </c>
      <c r="CY109" s="47">
        <v>16.222312446429381</v>
      </c>
      <c r="CZ109" s="47">
        <v>0</v>
      </c>
      <c r="DA109" s="47">
        <v>166.3397647058824</v>
      </c>
      <c r="DB109" s="47">
        <v>8.306159797839904E-3</v>
      </c>
      <c r="DC109" s="47">
        <v>0</v>
      </c>
      <c r="DD109" s="48">
        <v>2008</v>
      </c>
      <c r="DE109" s="47">
        <v>1246</v>
      </c>
      <c r="DF109" s="47">
        <v>0</v>
      </c>
      <c r="DG109" s="47">
        <v>1246</v>
      </c>
      <c r="DH109" s="47">
        <v>0</v>
      </c>
      <c r="DI109" s="47">
        <v>0</v>
      </c>
      <c r="DJ109" s="47">
        <v>0</v>
      </c>
      <c r="DK109" s="47">
        <v>0</v>
      </c>
      <c r="DL109" s="47">
        <v>0</v>
      </c>
      <c r="DM109" s="47">
        <v>0</v>
      </c>
      <c r="DN109" s="47">
        <v>444</v>
      </c>
      <c r="DO109" s="48">
        <v>3698</v>
      </c>
      <c r="DP109" s="47"/>
      <c r="DQ109" s="47"/>
      <c r="DR109" s="47"/>
      <c r="DS109" s="47"/>
    </row>
    <row r="110" spans="1:123" x14ac:dyDescent="0.45">
      <c r="A110" s="6" t="s">
        <v>332</v>
      </c>
      <c r="B110" t="s">
        <v>333</v>
      </c>
      <c r="C110" s="47">
        <v>0</v>
      </c>
      <c r="D110" s="47">
        <v>0</v>
      </c>
      <c r="E110" s="47">
        <v>29.59413650939074</v>
      </c>
      <c r="F110" s="47">
        <v>0</v>
      </c>
      <c r="G110" s="47">
        <v>0</v>
      </c>
      <c r="H110" s="47">
        <v>8.8010399390745959E-3</v>
      </c>
      <c r="I110" s="47">
        <v>0</v>
      </c>
      <c r="J110" s="47">
        <v>7.7806749953856585E-2</v>
      </c>
      <c r="K110" s="47">
        <v>9.146196185006018E-3</v>
      </c>
      <c r="L110" s="47">
        <v>3.180942177013361E-3</v>
      </c>
      <c r="M110" s="47">
        <v>4.4781138681638738E-3</v>
      </c>
      <c r="N110" s="47">
        <v>8.8441921532295045E-3</v>
      </c>
      <c r="O110" s="47">
        <v>1.3994736537240701E-2</v>
      </c>
      <c r="P110" s="47">
        <v>0.77984755326279831</v>
      </c>
      <c r="Q110" s="47">
        <v>2.1188766227469942E-3</v>
      </c>
      <c r="R110" s="47">
        <v>0</v>
      </c>
      <c r="S110" s="47">
        <v>0</v>
      </c>
      <c r="T110" s="47">
        <v>3.8180041950912229E-2</v>
      </c>
      <c r="U110" s="47">
        <v>8.7529616627727673E-3</v>
      </c>
      <c r="V110" s="47">
        <v>0</v>
      </c>
      <c r="W110" s="47">
        <v>1.485634374282593E-3</v>
      </c>
      <c r="X110" s="47">
        <v>8.8763790999615497E-3</v>
      </c>
      <c r="Y110" s="47">
        <v>6.3768804544046945E-2</v>
      </c>
      <c r="Z110" s="47">
        <v>2.5150001796428689E-4</v>
      </c>
      <c r="AA110" s="47">
        <v>4.3322855578899998E-2</v>
      </c>
      <c r="AB110" s="47">
        <v>6.2584241340566282E-2</v>
      </c>
      <c r="AC110" s="47">
        <v>1.847602447335564E-2</v>
      </c>
      <c r="AD110" s="47">
        <v>2.6453821137242309E-3</v>
      </c>
      <c r="AE110" s="47">
        <v>1.021327710613827E-2</v>
      </c>
      <c r="AF110" s="47">
        <v>4.996920581976926E-3</v>
      </c>
      <c r="AG110" s="47">
        <v>0.87643164960777808</v>
      </c>
      <c r="AH110" s="47">
        <v>6.2862635395420752E-2</v>
      </c>
      <c r="AI110" s="47">
        <v>0.96712157121482745</v>
      </c>
      <c r="AJ110" s="47">
        <v>1.727753560919536</v>
      </c>
      <c r="AK110" s="47">
        <v>6.4085864044448396E-2</v>
      </c>
      <c r="AL110" s="47">
        <v>0.90664495366541897</v>
      </c>
      <c r="AM110" s="47">
        <v>0.15355344508133231</v>
      </c>
      <c r="AN110" s="47">
        <v>2.5114781577415828</v>
      </c>
      <c r="AO110" s="47">
        <v>8.4532171984187148</v>
      </c>
      <c r="AP110" s="47">
        <v>0.32957174430029501</v>
      </c>
      <c r="AQ110" s="47">
        <v>0.28846751106347041</v>
      </c>
      <c r="AR110" s="47">
        <v>4.9301678190668601E-2</v>
      </c>
      <c r="AS110" s="47">
        <v>1.3995913374283939E-2</v>
      </c>
      <c r="AT110" s="47">
        <v>4.07043336607327E-2</v>
      </c>
      <c r="AU110" s="47">
        <v>2.1887224654223319E-3</v>
      </c>
      <c r="AV110" s="47">
        <v>2.9125105094486951E-2</v>
      </c>
      <c r="AW110" s="47">
        <v>6.4899686070436571E-2</v>
      </c>
      <c r="AX110" s="47">
        <v>2.200220022002201E-3</v>
      </c>
      <c r="AY110" s="47">
        <v>1.2035777741452669E-2</v>
      </c>
      <c r="AZ110" s="47">
        <v>1.580718307542784</v>
      </c>
      <c r="BA110" s="47">
        <v>0</v>
      </c>
      <c r="BB110" s="47">
        <v>0</v>
      </c>
      <c r="BC110" s="47">
        <v>0</v>
      </c>
      <c r="BD110" s="47">
        <v>0</v>
      </c>
      <c r="BE110" s="47">
        <v>0</v>
      </c>
      <c r="BF110" s="47">
        <v>0</v>
      </c>
      <c r="BG110" s="47">
        <v>11.01574697276096</v>
      </c>
      <c r="BH110" s="47">
        <v>0.1015157882819472</v>
      </c>
      <c r="BI110" s="47">
        <v>34.102721941089037</v>
      </c>
      <c r="BJ110" s="47">
        <v>12.97386766991017</v>
      </c>
      <c r="BK110" s="47">
        <v>0</v>
      </c>
      <c r="BL110" s="47">
        <v>6.290590063933392E-2</v>
      </c>
      <c r="BM110" s="47">
        <v>0.1988089784699954</v>
      </c>
      <c r="BN110" s="47">
        <v>0</v>
      </c>
      <c r="BO110" s="47">
        <v>3.385941619042121</v>
      </c>
      <c r="BP110" s="47">
        <v>0.36721742023543619</v>
      </c>
      <c r="BQ110" s="47">
        <v>8.7584505647970073E-2</v>
      </c>
      <c r="BR110" s="47">
        <v>149.98692309721309</v>
      </c>
      <c r="BS110" s="47">
        <v>12.486128735648821</v>
      </c>
      <c r="BT110" s="47">
        <v>279.39713087645828</v>
      </c>
      <c r="BU110" s="47">
        <v>1.0307653974521641E-5</v>
      </c>
      <c r="BV110" s="47">
        <v>12.81276633870077</v>
      </c>
      <c r="BW110" s="47">
        <v>4.7133162874057763E-2</v>
      </c>
      <c r="BX110" s="47">
        <v>256.1388448306264</v>
      </c>
      <c r="BY110" s="47">
        <v>7.7756391927886712</v>
      </c>
      <c r="BZ110" s="47">
        <v>18.20963123414915</v>
      </c>
      <c r="CA110" s="47">
        <v>0</v>
      </c>
      <c r="CB110" s="47">
        <v>0</v>
      </c>
      <c r="CC110" s="47">
        <v>23.530536310071319</v>
      </c>
      <c r="CD110" s="47">
        <v>1.5091381212971161E-2</v>
      </c>
      <c r="CE110" s="47">
        <v>0.30213445242834391</v>
      </c>
      <c r="CF110" s="47">
        <v>2.9617548382144032</v>
      </c>
      <c r="CG110" s="47">
        <v>2.6864979485502909E-2</v>
      </c>
      <c r="CH110" s="47">
        <v>9.0939688329417745</v>
      </c>
      <c r="CI110" s="47">
        <v>54.032063483577282</v>
      </c>
      <c r="CJ110" s="47">
        <v>0.19625516138260971</v>
      </c>
      <c r="CK110" s="47">
        <v>0.97001951392584707</v>
      </c>
      <c r="CL110" s="47">
        <v>13.475992444619109</v>
      </c>
      <c r="CM110" s="47">
        <v>3.0355579891497868</v>
      </c>
      <c r="CN110" s="47">
        <v>0</v>
      </c>
      <c r="CO110" s="47">
        <v>7.484450069662828E-7</v>
      </c>
      <c r="CP110" s="47">
        <v>4.1688374392359992E-6</v>
      </c>
      <c r="CQ110" s="47">
        <v>4.1025863291021434</v>
      </c>
      <c r="CR110" s="47">
        <v>393.68508735574483</v>
      </c>
      <c r="CS110" s="47">
        <v>1.051530530753918E-3</v>
      </c>
      <c r="CT110" s="47">
        <v>489.92075975406811</v>
      </c>
      <c r="CU110" s="47">
        <v>146.66453237501111</v>
      </c>
      <c r="CV110" s="47">
        <v>0</v>
      </c>
      <c r="CW110" s="47">
        <v>3.461266219072995</v>
      </c>
      <c r="CX110" s="47">
        <v>0</v>
      </c>
      <c r="CY110" s="47">
        <v>0.42672877659474678</v>
      </c>
      <c r="CZ110" s="47">
        <v>0</v>
      </c>
      <c r="DA110" s="47">
        <v>0</v>
      </c>
      <c r="DB110" s="47">
        <v>1345.0449578148441</v>
      </c>
      <c r="DC110" s="47">
        <v>0</v>
      </c>
      <c r="DD110" s="48">
        <v>3339</v>
      </c>
      <c r="DE110" s="47">
        <v>24629</v>
      </c>
      <c r="DF110" s="47">
        <v>0</v>
      </c>
      <c r="DG110" s="47">
        <v>24629</v>
      </c>
      <c r="DH110" s="47">
        <v>0</v>
      </c>
      <c r="DI110" s="47">
        <v>0</v>
      </c>
      <c r="DJ110" s="47">
        <v>0</v>
      </c>
      <c r="DK110" s="47">
        <v>0</v>
      </c>
      <c r="DL110" s="47">
        <v>2</v>
      </c>
      <c r="DM110" s="47">
        <v>0</v>
      </c>
      <c r="DN110" s="47">
        <v>184</v>
      </c>
      <c r="DO110" s="48">
        <v>28154</v>
      </c>
      <c r="DP110" s="47"/>
      <c r="DQ110" s="47"/>
      <c r="DR110" s="47"/>
      <c r="DS110" s="47"/>
    </row>
    <row r="111" spans="1:123" ht="14.65" thickBot="1" x14ac:dyDescent="0.5">
      <c r="A111" s="49" t="s">
        <v>334</v>
      </c>
      <c r="B111" s="50" t="s">
        <v>335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0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0</v>
      </c>
      <c r="BC111" s="51">
        <v>0</v>
      </c>
      <c r="BD111" s="51">
        <v>0</v>
      </c>
      <c r="BE111" s="51">
        <v>0</v>
      </c>
      <c r="BF111" s="51">
        <v>0</v>
      </c>
      <c r="BG111" s="51">
        <v>0</v>
      </c>
      <c r="BH111" s="51">
        <v>0</v>
      </c>
      <c r="BI111" s="51">
        <v>0</v>
      </c>
      <c r="BJ111" s="51">
        <v>0</v>
      </c>
      <c r="BK111" s="51">
        <v>0</v>
      </c>
      <c r="BL111" s="51">
        <v>0</v>
      </c>
      <c r="BM111" s="51">
        <v>0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</v>
      </c>
      <c r="DC111" s="51">
        <v>0</v>
      </c>
      <c r="DD111" s="52">
        <v>0</v>
      </c>
      <c r="DE111" s="51">
        <v>3891</v>
      </c>
      <c r="DF111" s="51">
        <v>0</v>
      </c>
      <c r="DG111" s="51">
        <v>3891</v>
      </c>
      <c r="DH111" s="51">
        <v>0</v>
      </c>
      <c r="DI111" s="51">
        <v>0</v>
      </c>
      <c r="DJ111" s="51">
        <v>0</v>
      </c>
      <c r="DK111" s="51">
        <v>0</v>
      </c>
      <c r="DL111" s="51">
        <v>0</v>
      </c>
      <c r="DM111" s="51">
        <v>0</v>
      </c>
      <c r="DN111" s="51">
        <v>26</v>
      </c>
      <c r="DO111" s="52">
        <v>3917</v>
      </c>
      <c r="DP111" s="47"/>
      <c r="DQ111" s="47"/>
      <c r="DR111" s="47"/>
      <c r="DS111" s="47"/>
    </row>
    <row r="112" spans="1:123" x14ac:dyDescent="0.45">
      <c r="A112" s="53" t="s">
        <v>343</v>
      </c>
      <c r="B112" s="24" t="s">
        <v>355</v>
      </c>
      <c r="C112" s="47">
        <v>16295.459386040829</v>
      </c>
      <c r="D112" s="47">
        <v>699.23173277661783</v>
      </c>
      <c r="E112" s="47">
        <v>1011.9285387082</v>
      </c>
      <c r="F112" s="47">
        <v>193.7704918032787</v>
      </c>
      <c r="G112" s="47">
        <v>9535.540880356024</v>
      </c>
      <c r="H112" s="47">
        <v>1951.9197628196091</v>
      </c>
      <c r="I112" s="47">
        <v>2347.3345192710199</v>
      </c>
      <c r="J112" s="47">
        <v>14043.508278922691</v>
      </c>
      <c r="K112" s="47">
        <v>6217.1960988998044</v>
      </c>
      <c r="L112" s="47">
        <v>876.61818576547921</v>
      </c>
      <c r="M112" s="47">
        <v>7009.9735151748819</v>
      </c>
      <c r="N112" s="47">
        <v>3281.3277181112289</v>
      </c>
      <c r="O112" s="47">
        <v>5934.3869984960174</v>
      </c>
      <c r="P112" s="47">
        <v>8166.9158444330596</v>
      </c>
      <c r="Q112" s="47">
        <v>4417.7897493620312</v>
      </c>
      <c r="R112" s="47">
        <v>5026.175843743913</v>
      </c>
      <c r="S112" s="47">
        <v>2841.9875657913649</v>
      </c>
      <c r="T112" s="47">
        <v>1840.152732248644</v>
      </c>
      <c r="U112" s="47">
        <v>1309.752289302776</v>
      </c>
      <c r="V112" s="47">
        <v>356.09048545147732</v>
      </c>
      <c r="W112" s="47">
        <v>2489.9588768262611</v>
      </c>
      <c r="X112" s="47">
        <v>4963.4732389502014</v>
      </c>
      <c r="Y112" s="47">
        <v>3234.2441233055838</v>
      </c>
      <c r="Z112" s="47">
        <v>3524.7304251985238</v>
      </c>
      <c r="AA112" s="47">
        <v>1171.687619392078</v>
      </c>
      <c r="AB112" s="47">
        <v>2766.8907063440161</v>
      </c>
      <c r="AC112" s="47">
        <v>2020.466936160142</v>
      </c>
      <c r="AD112" s="47">
        <v>1241.039301254101</v>
      </c>
      <c r="AE112" s="47">
        <v>4623.8204120480514</v>
      </c>
      <c r="AF112" s="47">
        <v>836.59211859827906</v>
      </c>
      <c r="AG112" s="47">
        <v>7867.9030686998094</v>
      </c>
      <c r="AH112" s="47">
        <v>7393.0379114733232</v>
      </c>
      <c r="AI112" s="47">
        <v>3906.4714444548099</v>
      </c>
      <c r="AJ112" s="47">
        <v>3075.293424996707</v>
      </c>
      <c r="AK112" s="47">
        <v>3429.414502039564</v>
      </c>
      <c r="AL112" s="47">
        <v>1348.6660216383259</v>
      </c>
      <c r="AM112" s="47">
        <v>1470.077713945602</v>
      </c>
      <c r="AN112" s="47">
        <v>9407.2153256405163</v>
      </c>
      <c r="AO112" s="47">
        <v>7989.7200963377527</v>
      </c>
      <c r="AP112" s="47">
        <v>4296.6901494723652</v>
      </c>
      <c r="AQ112" s="47">
        <v>10328.76358403192</v>
      </c>
      <c r="AR112" s="47">
        <v>23316.18366494733</v>
      </c>
      <c r="AS112" s="47">
        <v>2183.87200794916</v>
      </c>
      <c r="AT112" s="47">
        <v>11362.36570370005</v>
      </c>
      <c r="AU112" s="47">
        <v>1048.147057574585</v>
      </c>
      <c r="AV112" s="47">
        <v>2856.0286600367149</v>
      </c>
      <c r="AW112" s="47">
        <v>3273.0123927407722</v>
      </c>
      <c r="AX112" s="47">
        <v>232.54743620251759</v>
      </c>
      <c r="AY112" s="47">
        <v>2213.9449398931338</v>
      </c>
      <c r="AZ112" s="47">
        <v>7556.562829719448</v>
      </c>
      <c r="BA112" s="47">
        <v>55400.584131265292</v>
      </c>
      <c r="BB112" s="47">
        <v>28080.882963751679</v>
      </c>
      <c r="BC112" s="47">
        <v>3109.6627372293292</v>
      </c>
      <c r="BD112" s="47">
        <v>1668.5698346284121</v>
      </c>
      <c r="BE112" s="47">
        <v>10275.91606385566</v>
      </c>
      <c r="BF112" s="47">
        <v>320.97560975609753</v>
      </c>
      <c r="BG112" s="47">
        <v>196032.7002347649</v>
      </c>
      <c r="BH112" s="47">
        <v>21804.995048191719</v>
      </c>
      <c r="BI112" s="47">
        <v>65886.343319179403</v>
      </c>
      <c r="BJ112" s="47">
        <v>50895.537449513628</v>
      </c>
      <c r="BK112" s="47">
        <v>9281.1052631578968</v>
      </c>
      <c r="BL112" s="47">
        <v>22672.443590446041</v>
      </c>
      <c r="BM112" s="47">
        <v>7028.8771897577408</v>
      </c>
      <c r="BN112" s="47">
        <v>11792.34835666692</v>
      </c>
      <c r="BO112" s="47">
        <v>19777.28499682503</v>
      </c>
      <c r="BP112" s="47">
        <v>8683.6381296322725</v>
      </c>
      <c r="BQ112" s="47">
        <v>10583.217043706019</v>
      </c>
      <c r="BR112" s="47">
        <v>44625.908372496851</v>
      </c>
      <c r="BS112" s="47">
        <v>9190.0083357234798</v>
      </c>
      <c r="BT112" s="47">
        <v>17739.34254488127</v>
      </c>
      <c r="BU112" s="47">
        <v>11621.295755282399</v>
      </c>
      <c r="BV112" s="47">
        <v>32625.006884174829</v>
      </c>
      <c r="BW112" s="47">
        <v>4278.3765480834354</v>
      </c>
      <c r="BX112" s="47">
        <v>67935.030201560818</v>
      </c>
      <c r="BY112" s="47">
        <v>20705.66321048592</v>
      </c>
      <c r="BZ112" s="47">
        <v>27220.16922426462</v>
      </c>
      <c r="CA112" s="47">
        <v>3693.5025329280652</v>
      </c>
      <c r="CB112" s="47">
        <v>30716</v>
      </c>
      <c r="CC112" s="47">
        <v>47842.606697062482</v>
      </c>
      <c r="CD112" s="47">
        <v>7880.8406170151657</v>
      </c>
      <c r="CE112" s="47">
        <v>3900.2428089047321</v>
      </c>
      <c r="CF112" s="47">
        <v>17354.970053078909</v>
      </c>
      <c r="CG112" s="47">
        <v>20559.327223000932</v>
      </c>
      <c r="CH112" s="47">
        <v>22117.473609119272</v>
      </c>
      <c r="CI112" s="47">
        <v>18401.341327382321</v>
      </c>
      <c r="CJ112" s="47">
        <v>14321.192611407219</v>
      </c>
      <c r="CK112" s="47">
        <v>1187.3038850452369</v>
      </c>
      <c r="CL112" s="47">
        <v>13360.23835142586</v>
      </c>
      <c r="CM112" s="47">
        <v>17451.15183076022</v>
      </c>
      <c r="CN112" s="47">
        <v>11238.828236473721</v>
      </c>
      <c r="CO112" s="47">
        <v>2833.7047464849752</v>
      </c>
      <c r="CP112" s="47">
        <v>10707.812174688979</v>
      </c>
      <c r="CQ112" s="47">
        <v>18756.33620349081</v>
      </c>
      <c r="CR112" s="47">
        <v>57883.48894116548</v>
      </c>
      <c r="CS112" s="47">
        <v>36088.969171150231</v>
      </c>
      <c r="CT112" s="47">
        <v>49780.783726097907</v>
      </c>
      <c r="CU112" s="47">
        <v>26440.47677154759</v>
      </c>
      <c r="CV112" s="47">
        <v>5168.1152004104224</v>
      </c>
      <c r="CW112" s="47">
        <v>2079.2955566382029</v>
      </c>
      <c r="CX112" s="47">
        <v>4164.8121969166796</v>
      </c>
      <c r="CY112" s="47">
        <v>5667.4499512601806</v>
      </c>
      <c r="CZ112" s="47">
        <v>6013.2661165359668</v>
      </c>
      <c r="DA112" s="47">
        <v>1106.466904096744</v>
      </c>
      <c r="DB112" s="47">
        <v>5296.237205579434</v>
      </c>
      <c r="DC112" s="47">
        <v>0</v>
      </c>
      <c r="DD112" s="48">
        <v>1456033.9999999998</v>
      </c>
      <c r="DE112" s="47">
        <v>1458586</v>
      </c>
      <c r="DF112" s="47">
        <v>420413</v>
      </c>
      <c r="DG112" s="47">
        <v>985538</v>
      </c>
      <c r="DH112" s="47">
        <v>52635</v>
      </c>
      <c r="DI112" s="47">
        <v>311216</v>
      </c>
      <c r="DJ112" s="47">
        <v>2785</v>
      </c>
      <c r="DK112" s="47">
        <v>2873</v>
      </c>
      <c r="DL112" s="47">
        <v>130361</v>
      </c>
      <c r="DM112" s="47">
        <v>129668</v>
      </c>
      <c r="DN112" s="47">
        <v>332910</v>
      </c>
      <c r="DO112" s="48">
        <v>3824433</v>
      </c>
      <c r="DP112" s="47"/>
      <c r="DQ112" s="47"/>
      <c r="DR112" s="47"/>
      <c r="DS112" s="47"/>
    </row>
    <row r="113" spans="1:123" x14ac:dyDescent="0.45">
      <c r="B113" s="24" t="s">
        <v>118</v>
      </c>
      <c r="C113" s="47">
        <v>651.50325256302835</v>
      </c>
      <c r="D113" s="47">
        <v>20.110647181628391</v>
      </c>
      <c r="E113" s="47">
        <v>319.80760421438379</v>
      </c>
      <c r="F113" s="47">
        <v>6.8852459016393448</v>
      </c>
      <c r="G113" s="47">
        <v>1160.338075938366</v>
      </c>
      <c r="H113" s="47">
        <v>646.61306533516097</v>
      </c>
      <c r="I113" s="47">
        <v>790.70619367479878</v>
      </c>
      <c r="J113" s="47">
        <v>1002.794408897671</v>
      </c>
      <c r="K113" s="47">
        <v>562.13934275586109</v>
      </c>
      <c r="L113" s="47">
        <v>503.0346385798486</v>
      </c>
      <c r="M113" s="47">
        <v>345.28102144871201</v>
      </c>
      <c r="N113" s="47">
        <v>1064.7209856243619</v>
      </c>
      <c r="O113" s="47">
        <v>411.50791104459262</v>
      </c>
      <c r="P113" s="47">
        <v>1423.3257517744751</v>
      </c>
      <c r="Q113" s="47">
        <v>604.90353061484848</v>
      </c>
      <c r="R113" s="47">
        <v>714.51914498495091</v>
      </c>
      <c r="S113" s="47">
        <v>352.80097268425487</v>
      </c>
      <c r="T113" s="47">
        <v>1025.9449958894149</v>
      </c>
      <c r="U113" s="47">
        <v>244.7687253074842</v>
      </c>
      <c r="V113" s="47">
        <v>142.87797172449379</v>
      </c>
      <c r="W113" s="47">
        <v>2377.9445136762588</v>
      </c>
      <c r="X113" s="47">
        <v>2737.741245536351</v>
      </c>
      <c r="Y113" s="47">
        <v>1787.0873512019839</v>
      </c>
      <c r="Z113" s="47">
        <v>22874.03949751352</v>
      </c>
      <c r="AA113" s="47">
        <v>723.90023199874713</v>
      </c>
      <c r="AB113" s="47">
        <v>1477.9338683611661</v>
      </c>
      <c r="AC113" s="47">
        <v>1924.7306562038109</v>
      </c>
      <c r="AD113" s="47">
        <v>1003.201281589236</v>
      </c>
      <c r="AE113" s="47">
        <v>3270.5525082631648</v>
      </c>
      <c r="AF113" s="47">
        <v>664.36386660579899</v>
      </c>
      <c r="AG113" s="47">
        <v>4725.9561458684966</v>
      </c>
      <c r="AH113" s="47">
        <v>6451.4444826728904</v>
      </c>
      <c r="AI113" s="47">
        <v>1260.874776575178</v>
      </c>
      <c r="AJ113" s="47">
        <v>1304.6912558927561</v>
      </c>
      <c r="AK113" s="47">
        <v>2177.9636711650628</v>
      </c>
      <c r="AL113" s="47">
        <v>2581.4670179641071</v>
      </c>
      <c r="AM113" s="47">
        <v>394.27506858027652</v>
      </c>
      <c r="AN113" s="47">
        <v>6442.7182878757176</v>
      </c>
      <c r="AO113" s="47">
        <v>2965.26986996496</v>
      </c>
      <c r="AP113" s="47">
        <v>3364.3875046696389</v>
      </c>
      <c r="AQ113" s="47">
        <v>7464.1430286808081</v>
      </c>
      <c r="AR113" s="47">
        <v>19861.730822401551</v>
      </c>
      <c r="AS113" s="47">
        <v>437.79812707074689</v>
      </c>
      <c r="AT113" s="47">
        <v>4247.708681722168</v>
      </c>
      <c r="AU113" s="47">
        <v>740.62650909023625</v>
      </c>
      <c r="AV113" s="47">
        <v>1158.4925032578799</v>
      </c>
      <c r="AW113" s="47">
        <v>1731.6608655512439</v>
      </c>
      <c r="AX113" s="47">
        <v>64.153549664902002</v>
      </c>
      <c r="AY113" s="47">
        <v>551.35293908272502</v>
      </c>
      <c r="AZ113" s="47">
        <v>3719.1778665297602</v>
      </c>
      <c r="BA113" s="47">
        <v>5132.4044208589767</v>
      </c>
      <c r="BB113" s="47">
        <v>2938.612051853067</v>
      </c>
      <c r="BC113" s="47">
        <v>154.66432572527381</v>
      </c>
      <c r="BD113" s="47">
        <v>28.035066746363821</v>
      </c>
      <c r="BE113" s="47">
        <v>2555.7027257686018</v>
      </c>
      <c r="BF113" s="47">
        <v>11.70731707317073</v>
      </c>
      <c r="BG113" s="47">
        <v>9542.5380286134623</v>
      </c>
      <c r="BH113" s="47">
        <v>4272.1399829942402</v>
      </c>
      <c r="BI113" s="47">
        <v>18145.326006478332</v>
      </c>
      <c r="BJ113" s="47">
        <v>7187.6805952834666</v>
      </c>
      <c r="BK113" s="47">
        <v>487.38875305623492</v>
      </c>
      <c r="BL113" s="47">
        <v>3568.1624062909609</v>
      </c>
      <c r="BM113" s="47">
        <v>992.95223610062283</v>
      </c>
      <c r="BN113" s="47">
        <v>6646.7209702777564</v>
      </c>
      <c r="BO113" s="47">
        <v>2498.8249148530849</v>
      </c>
      <c r="BP113" s="47">
        <v>1339.8707198774721</v>
      </c>
      <c r="BQ113" s="47">
        <v>708.98049813262742</v>
      </c>
      <c r="BR113" s="47">
        <v>5147.5331713456526</v>
      </c>
      <c r="BS113" s="47">
        <v>1698.371987604331</v>
      </c>
      <c r="BT113" s="47">
        <v>4249.8287363529043</v>
      </c>
      <c r="BU113" s="47">
        <v>5455.3481119497474</v>
      </c>
      <c r="BV113" s="47">
        <v>10726.024929015481</v>
      </c>
      <c r="BW113" s="47">
        <v>1146.997899191472</v>
      </c>
      <c r="BX113" s="47">
        <v>6360.9492181311189</v>
      </c>
      <c r="BY113" s="47">
        <v>7704.7944801432632</v>
      </c>
      <c r="BZ113" s="47">
        <v>6757.7837497336977</v>
      </c>
      <c r="CA113" s="47">
        <v>214.0798716649781</v>
      </c>
      <c r="CB113" s="47">
        <v>14</v>
      </c>
      <c r="CC113" s="47">
        <v>3276.926427424366</v>
      </c>
      <c r="CD113" s="47">
        <v>1227.6857133285</v>
      </c>
      <c r="CE113" s="47">
        <v>1301.481143406744</v>
      </c>
      <c r="CF113" s="47">
        <v>9419.3018868613563</v>
      </c>
      <c r="CG113" s="47">
        <v>6201.2182765289872</v>
      </c>
      <c r="CH113" s="47">
        <v>4702.9244758985606</v>
      </c>
      <c r="CI113" s="47">
        <v>2528.423154695266</v>
      </c>
      <c r="CJ113" s="47">
        <v>1272.5705183842169</v>
      </c>
      <c r="CK113" s="47">
        <v>172.6634734788008</v>
      </c>
      <c r="CL113" s="47">
        <v>1706.7755837639729</v>
      </c>
      <c r="CM113" s="47">
        <v>2699.8210607314322</v>
      </c>
      <c r="CN113" s="47">
        <v>2816.6623732212411</v>
      </c>
      <c r="CO113" s="47">
        <v>173.8854333511093</v>
      </c>
      <c r="CP113" s="47">
        <v>395.16168798626512</v>
      </c>
      <c r="CQ113" s="47">
        <v>5110.9232130115597</v>
      </c>
      <c r="CR113" s="47">
        <v>7498.6700678882271</v>
      </c>
      <c r="CS113" s="47">
        <v>2467.4274571086921</v>
      </c>
      <c r="CT113" s="47">
        <v>10385.09194651446</v>
      </c>
      <c r="CU113" s="47">
        <v>765.73373953503403</v>
      </c>
      <c r="CV113" s="47">
        <v>435.21275216150087</v>
      </c>
      <c r="CW113" s="47">
        <v>237.0331599227496</v>
      </c>
      <c r="CX113" s="47">
        <v>355.22904120523572</v>
      </c>
      <c r="CY113" s="47">
        <v>903.67663762990946</v>
      </c>
      <c r="CZ113" s="47">
        <v>672.89569355081142</v>
      </c>
      <c r="DA113" s="47">
        <v>278.88923903583492</v>
      </c>
      <c r="DB113" s="47">
        <v>629.32118688768719</v>
      </c>
      <c r="DC113" s="47">
        <v>0</v>
      </c>
      <c r="DD113" s="48">
        <v>305805.00000000006</v>
      </c>
      <c r="DE113" s="47">
        <v>280148</v>
      </c>
      <c r="DF113" s="47">
        <v>5166</v>
      </c>
      <c r="DG113" s="47">
        <v>274980</v>
      </c>
      <c r="DH113" s="47">
        <v>2</v>
      </c>
      <c r="DI113" s="47">
        <v>53419</v>
      </c>
      <c r="DJ113" s="47">
        <v>-154</v>
      </c>
      <c r="DK113" s="47">
        <v>2</v>
      </c>
      <c r="DL113" s="47">
        <v>36521</v>
      </c>
      <c r="DM113" s="47">
        <v>59563</v>
      </c>
      <c r="DN113" s="47">
        <v>498</v>
      </c>
      <c r="DO113" s="48">
        <v>735802</v>
      </c>
      <c r="DP113" s="47"/>
      <c r="DQ113" s="47"/>
      <c r="DR113" s="47"/>
      <c r="DS113" s="47"/>
    </row>
    <row r="114" spans="1:123" ht="14.65" thickBot="1" x14ac:dyDescent="0.5">
      <c r="A114" s="24"/>
      <c r="B114" s="54" t="s">
        <v>119</v>
      </c>
      <c r="C114" s="51">
        <v>436.50501962929741</v>
      </c>
      <c r="D114" s="51">
        <v>13.149269311064719</v>
      </c>
      <c r="E114" s="51">
        <v>27.684837379752629</v>
      </c>
      <c r="F114" s="51">
        <v>3.9344262295081971</v>
      </c>
      <c r="G114" s="51">
        <v>113.1563111674518</v>
      </c>
      <c r="H114" s="51">
        <v>77.872745393327818</v>
      </c>
      <c r="I114" s="51">
        <v>9.2944602384160504</v>
      </c>
      <c r="J114" s="51">
        <v>55.855945311766973</v>
      </c>
      <c r="K114" s="51">
        <v>12.52847555257647</v>
      </c>
      <c r="L114" s="51">
        <v>6.0124839534736907</v>
      </c>
      <c r="M114" s="51">
        <v>17.627398636410771</v>
      </c>
      <c r="N114" s="51">
        <v>11.87726542711043</v>
      </c>
      <c r="O114" s="51">
        <v>31.146458463575829</v>
      </c>
      <c r="P114" s="51">
        <v>30.64430702833592</v>
      </c>
      <c r="Q114" s="51">
        <v>24.033042056879239</v>
      </c>
      <c r="R114" s="51">
        <v>276.15650413708693</v>
      </c>
      <c r="S114" s="51">
        <v>20.582503375508171</v>
      </c>
      <c r="T114" s="51">
        <v>12.71458158122427</v>
      </c>
      <c r="U114" s="51">
        <v>4.4309691949675312</v>
      </c>
      <c r="V114" s="51">
        <v>1.925918709602745</v>
      </c>
      <c r="W114" s="51">
        <v>26.059068166560252</v>
      </c>
      <c r="X114" s="51">
        <v>40.03055458519821</v>
      </c>
      <c r="Y114" s="51">
        <v>18.60603899407813</v>
      </c>
      <c r="Z114" s="51">
        <v>840.63655842822732</v>
      </c>
      <c r="AA114" s="51">
        <v>9.4571071466620342</v>
      </c>
      <c r="AB114" s="51">
        <v>15.53021115270813</v>
      </c>
      <c r="AC114" s="51">
        <v>22.94244289834452</v>
      </c>
      <c r="AD114" s="51">
        <v>21.08672792175124</v>
      </c>
      <c r="AE114" s="51">
        <v>195.11134481080251</v>
      </c>
      <c r="AF114" s="51">
        <v>9.0516129892233508</v>
      </c>
      <c r="AG114" s="51">
        <v>43.624206573907053</v>
      </c>
      <c r="AH114" s="51">
        <v>73.98913888956929</v>
      </c>
      <c r="AI114" s="51">
        <v>106.5936127336596</v>
      </c>
      <c r="AJ114" s="51">
        <v>136.76156169843239</v>
      </c>
      <c r="AK114" s="51">
        <v>64.455435668265849</v>
      </c>
      <c r="AL114" s="51">
        <v>14.47128089058716</v>
      </c>
      <c r="AM114" s="51">
        <v>5.1360948043043599</v>
      </c>
      <c r="AN114" s="51">
        <v>94.102531858973805</v>
      </c>
      <c r="AO114" s="51">
        <v>32.87311743015097</v>
      </c>
      <c r="AP114" s="51">
        <v>25.980358366426199</v>
      </c>
      <c r="AQ114" s="51">
        <v>73.787701876653827</v>
      </c>
      <c r="AR114" s="51">
        <v>189.80808744978091</v>
      </c>
      <c r="AS114" s="51">
        <v>25.41861623962312</v>
      </c>
      <c r="AT114" s="51">
        <v>53.42340931054742</v>
      </c>
      <c r="AU114" s="51">
        <v>11.035302472639779</v>
      </c>
      <c r="AV114" s="51">
        <v>21.967917011347499</v>
      </c>
      <c r="AW114" s="51">
        <v>27.184784702950719</v>
      </c>
      <c r="AX114" s="51">
        <v>1.3377454024380431</v>
      </c>
      <c r="AY114" s="51">
        <v>8.6078133235805172</v>
      </c>
      <c r="AZ114" s="51">
        <v>90.476731944181552</v>
      </c>
      <c r="BA114" s="51">
        <v>888.38489260474046</v>
      </c>
      <c r="BB114" s="51">
        <v>219.52038225728839</v>
      </c>
      <c r="BC114" s="51">
        <v>31.84265529637991</v>
      </c>
      <c r="BD114" s="51">
        <v>132.44152221558079</v>
      </c>
      <c r="BE114" s="51">
        <v>1602.112317780128</v>
      </c>
      <c r="BF114" s="51">
        <v>5.8536585365853657</v>
      </c>
      <c r="BG114" s="51">
        <v>6584.8359484932507</v>
      </c>
      <c r="BH114" s="51">
        <v>271.42605034642031</v>
      </c>
      <c r="BI114" s="51">
        <v>1813.0826553985819</v>
      </c>
      <c r="BJ114" s="51">
        <v>619.97347804009087</v>
      </c>
      <c r="BK114" s="51">
        <v>3.9464676360828732</v>
      </c>
      <c r="BL114" s="51">
        <v>1775.4599264885071</v>
      </c>
      <c r="BM114" s="51">
        <v>384.85099370242119</v>
      </c>
      <c r="BN114" s="51">
        <v>2204.1498090888672</v>
      </c>
      <c r="BO114" s="51">
        <v>448.63726452308111</v>
      </c>
      <c r="BP114" s="51">
        <v>930.73130332503695</v>
      </c>
      <c r="BQ114" s="51">
        <v>660.58898202751743</v>
      </c>
      <c r="BR114" s="51">
        <v>3065.1436171536252</v>
      </c>
      <c r="BS114" s="51">
        <v>28.812300612175829</v>
      </c>
      <c r="BT114" s="51">
        <v>85.793464006592814</v>
      </c>
      <c r="BU114" s="51">
        <v>71.416730914381418</v>
      </c>
      <c r="BV114" s="51">
        <v>420.86253517438882</v>
      </c>
      <c r="BW114" s="51">
        <v>35.701425603180063</v>
      </c>
      <c r="BX114" s="51">
        <v>6427.393844545787</v>
      </c>
      <c r="BY114" s="51">
        <v>2381.0735128139531</v>
      </c>
      <c r="BZ114" s="51">
        <v>2785.5607548977318</v>
      </c>
      <c r="CA114" s="51">
        <v>47.480749746707197</v>
      </c>
      <c r="CB114" s="51">
        <v>237</v>
      </c>
      <c r="CC114" s="51">
        <v>1184.1393943774581</v>
      </c>
      <c r="CD114" s="51">
        <v>32.906214197048719</v>
      </c>
      <c r="CE114" s="51">
        <v>51.775487349526372</v>
      </c>
      <c r="CF114" s="51">
        <v>328.83569383959662</v>
      </c>
      <c r="CG114" s="51">
        <v>168.12309975786229</v>
      </c>
      <c r="CH114" s="51">
        <v>250.55730974417551</v>
      </c>
      <c r="CI114" s="51">
        <v>150.13275702484481</v>
      </c>
      <c r="CJ114" s="51">
        <v>171.91155091231889</v>
      </c>
      <c r="CK114" s="51">
        <v>12.61025368103601</v>
      </c>
      <c r="CL114" s="51">
        <v>266.37979491883772</v>
      </c>
      <c r="CM114" s="51">
        <v>68.701934076826191</v>
      </c>
      <c r="CN114" s="51">
        <v>486.39231036211493</v>
      </c>
      <c r="CO114" s="51">
        <v>28.215123715559031</v>
      </c>
      <c r="CP114" s="51">
        <v>85.787831118955808</v>
      </c>
      <c r="CQ114" s="51">
        <v>282.11059397496138</v>
      </c>
      <c r="CR114" s="51">
        <v>6784.9317673704554</v>
      </c>
      <c r="CS114" s="51">
        <v>2995.9777654638201</v>
      </c>
      <c r="CT114" s="51">
        <v>6502.11673908173</v>
      </c>
      <c r="CU114" s="51">
        <v>2611.0623579737539</v>
      </c>
      <c r="CV114" s="51">
        <v>639.81575143130533</v>
      </c>
      <c r="CW114" s="51">
        <v>20.652707005463029</v>
      </c>
      <c r="CX114" s="51">
        <v>241.85975241904919</v>
      </c>
      <c r="CY114" s="51">
        <v>695.90640925959042</v>
      </c>
      <c r="CZ114" s="51">
        <v>122.2209679402893</v>
      </c>
      <c r="DA114" s="51">
        <v>5.2272984228999384</v>
      </c>
      <c r="DB114" s="51">
        <v>597.89185283252436</v>
      </c>
      <c r="DC114" s="51">
        <v>0</v>
      </c>
      <c r="DD114" s="52">
        <v>62436.999999999985</v>
      </c>
      <c r="DE114" s="51">
        <v>126886</v>
      </c>
      <c r="DF114" s="51">
        <v>0</v>
      </c>
      <c r="DG114" s="51">
        <v>127146</v>
      </c>
      <c r="DH114" s="51">
        <v>-260</v>
      </c>
      <c r="DI114" s="51">
        <v>38730</v>
      </c>
      <c r="DJ114" s="51">
        <v>0</v>
      </c>
      <c r="DK114" s="51">
        <v>5</v>
      </c>
      <c r="DL114" s="51">
        <v>3777</v>
      </c>
      <c r="DM114" s="51">
        <v>3612</v>
      </c>
      <c r="DN114" s="51">
        <v>2744</v>
      </c>
      <c r="DO114" s="52">
        <v>238191</v>
      </c>
      <c r="DP114" s="47"/>
      <c r="DQ114" s="47"/>
      <c r="DR114" s="47"/>
      <c r="DS114" s="47"/>
    </row>
    <row r="115" spans="1:123" ht="14.65" thickBot="1" x14ac:dyDescent="0.5">
      <c r="B115" s="54" t="s">
        <v>367</v>
      </c>
      <c r="C115" s="51">
        <v>17383.467658233159</v>
      </c>
      <c r="D115" s="51">
        <v>732.49164926931098</v>
      </c>
      <c r="E115" s="51">
        <v>1359.4209803023359</v>
      </c>
      <c r="F115" s="51">
        <v>204.59016393442619</v>
      </c>
      <c r="G115" s="51">
        <v>10809.035267461841</v>
      </c>
      <c r="H115" s="51">
        <v>2676.405573548097</v>
      </c>
      <c r="I115" s="51">
        <v>3147.3351731842349</v>
      </c>
      <c r="J115" s="51">
        <v>15102.15863313213</v>
      </c>
      <c r="K115" s="51">
        <v>6791.8639172082421</v>
      </c>
      <c r="L115" s="51">
        <v>1385.6653082988021</v>
      </c>
      <c r="M115" s="51">
        <v>7372.881935260004</v>
      </c>
      <c r="N115" s="51">
        <v>4357.925969162703</v>
      </c>
      <c r="O115" s="51">
        <v>6377.0413680041856</v>
      </c>
      <c r="P115" s="51">
        <v>9620.8859032358705</v>
      </c>
      <c r="Q115" s="51">
        <v>5046.7263220337582</v>
      </c>
      <c r="R115" s="51">
        <v>6016.8514928659524</v>
      </c>
      <c r="S115" s="51">
        <v>3215.3710418511282</v>
      </c>
      <c r="T115" s="51">
        <v>2878.8123097192838</v>
      </c>
      <c r="U115" s="51">
        <v>1558.9519838052281</v>
      </c>
      <c r="V115" s="51">
        <v>500.89437588557399</v>
      </c>
      <c r="W115" s="51">
        <v>4893.9624586690761</v>
      </c>
      <c r="X115" s="51">
        <v>7741.2450390717531</v>
      </c>
      <c r="Y115" s="51">
        <v>5039.9375135016489</v>
      </c>
      <c r="Z115" s="51">
        <v>27239.406481140271</v>
      </c>
      <c r="AA115" s="51">
        <v>1905.044958537487</v>
      </c>
      <c r="AB115" s="51">
        <v>4260.3547858578904</v>
      </c>
      <c r="AC115" s="51">
        <v>3968.1400352622982</v>
      </c>
      <c r="AD115" s="51">
        <v>2265.327310765088</v>
      </c>
      <c r="AE115" s="51">
        <v>8089.4842651220179</v>
      </c>
      <c r="AF115" s="51">
        <v>1510.007598193301</v>
      </c>
      <c r="AG115" s="51">
        <v>12637.483421142209</v>
      </c>
      <c r="AH115" s="51">
        <v>13918.47153303579</v>
      </c>
      <c r="AI115" s="51">
        <v>5273.9398337636467</v>
      </c>
      <c r="AJ115" s="51">
        <v>4516.7462425878957</v>
      </c>
      <c r="AK115" s="51">
        <v>5671.8336088728893</v>
      </c>
      <c r="AL115" s="51">
        <v>3944.6043204930211</v>
      </c>
      <c r="AM115" s="51">
        <v>1869.488877330183</v>
      </c>
      <c r="AN115" s="51">
        <v>15944.036145375199</v>
      </c>
      <c r="AO115" s="51">
        <v>10987.86308373286</v>
      </c>
      <c r="AP115" s="51">
        <v>7687.0580125084298</v>
      </c>
      <c r="AQ115" s="51">
        <v>17866.694314589378</v>
      </c>
      <c r="AR115" s="51">
        <v>43367.722574798659</v>
      </c>
      <c r="AS115" s="51">
        <v>2647.0887512595291</v>
      </c>
      <c r="AT115" s="51">
        <v>15663.49779473277</v>
      </c>
      <c r="AU115" s="51">
        <v>1799.808869137461</v>
      </c>
      <c r="AV115" s="51">
        <v>4036.4890803059429</v>
      </c>
      <c r="AW115" s="51">
        <v>5031.8580429949652</v>
      </c>
      <c r="AX115" s="51">
        <v>298.03873126985769</v>
      </c>
      <c r="AY115" s="51">
        <v>2773.90569229944</v>
      </c>
      <c r="AZ115" s="51">
        <v>11366.217428193389</v>
      </c>
      <c r="BA115" s="51">
        <v>61421.373444728997</v>
      </c>
      <c r="BB115" s="51">
        <v>31239.015397862029</v>
      </c>
      <c r="BC115" s="51">
        <v>3296.1697182509829</v>
      </c>
      <c r="BD115" s="51">
        <v>1829.0464235903571</v>
      </c>
      <c r="BE115" s="51">
        <v>14433.73110740439</v>
      </c>
      <c r="BF115" s="51">
        <v>338.53658536585363</v>
      </c>
      <c r="BG115" s="51">
        <v>212160.07421187169</v>
      </c>
      <c r="BH115" s="51">
        <v>26348.561081532382</v>
      </c>
      <c r="BI115" s="51">
        <v>85844.75198105631</v>
      </c>
      <c r="BJ115" s="51">
        <v>58703.19152283718</v>
      </c>
      <c r="BK115" s="51">
        <v>9772.4404838502142</v>
      </c>
      <c r="BL115" s="51">
        <v>28016.06592322552</v>
      </c>
      <c r="BM115" s="51">
        <v>8406.6804195607856</v>
      </c>
      <c r="BN115" s="51">
        <v>20643.219136033538</v>
      </c>
      <c r="BO115" s="51">
        <v>22724.747176201199</v>
      </c>
      <c r="BP115" s="51">
        <v>10954.240152834769</v>
      </c>
      <c r="BQ115" s="51">
        <v>11952.786523866171</v>
      </c>
      <c r="BR115" s="51">
        <v>52838.585160996161</v>
      </c>
      <c r="BS115" s="51">
        <v>10917.19262393998</v>
      </c>
      <c r="BT115" s="51">
        <v>22074.96474524077</v>
      </c>
      <c r="BU115" s="51">
        <v>17148.060598146531</v>
      </c>
      <c r="BV115" s="51">
        <v>43771.894348364702</v>
      </c>
      <c r="BW115" s="51">
        <v>5461.0758728780866</v>
      </c>
      <c r="BX115" s="51">
        <v>80723.373264237729</v>
      </c>
      <c r="BY115" s="51">
        <v>30791.531203443141</v>
      </c>
      <c r="BZ115" s="51">
        <v>36763.513728896047</v>
      </c>
      <c r="CA115" s="51">
        <v>3955.0631543397499</v>
      </c>
      <c r="CB115" s="51">
        <v>30967</v>
      </c>
      <c r="CC115" s="51">
        <v>52303.672518864318</v>
      </c>
      <c r="CD115" s="51">
        <v>9141.4325445407158</v>
      </c>
      <c r="CE115" s="51">
        <v>5253.4994396610036</v>
      </c>
      <c r="CF115" s="51">
        <v>27103.107633779859</v>
      </c>
      <c r="CG115" s="51">
        <v>26928.668599287779</v>
      </c>
      <c r="CH115" s="51">
        <v>27070.955394762001</v>
      </c>
      <c r="CI115" s="51">
        <v>21079.897239102429</v>
      </c>
      <c r="CJ115" s="51">
        <v>15765.67468070376</v>
      </c>
      <c r="CK115" s="51">
        <v>1372.577612205074</v>
      </c>
      <c r="CL115" s="51">
        <v>15333.393730108661</v>
      </c>
      <c r="CM115" s="51">
        <v>20219.67482556848</v>
      </c>
      <c r="CN115" s="51">
        <v>14541.882920057071</v>
      </c>
      <c r="CO115" s="51">
        <v>3035.8053035516418</v>
      </c>
      <c r="CP115" s="51">
        <v>11188.761693794189</v>
      </c>
      <c r="CQ115" s="51">
        <v>24149.370010477331</v>
      </c>
      <c r="CR115" s="51">
        <v>72167.090776424171</v>
      </c>
      <c r="CS115" s="51">
        <v>41552.374393722748</v>
      </c>
      <c r="CT115" s="51">
        <v>66667.992411694097</v>
      </c>
      <c r="CU115" s="51">
        <v>29817.272869056371</v>
      </c>
      <c r="CV115" s="51">
        <v>6243.1437040032288</v>
      </c>
      <c r="CW115" s="51">
        <v>2336.9814235664162</v>
      </c>
      <c r="CX115" s="51">
        <v>4761.9009905409657</v>
      </c>
      <c r="CY115" s="51">
        <v>7267.0329981496816</v>
      </c>
      <c r="CZ115" s="51">
        <v>6808.3827780270676</v>
      </c>
      <c r="DA115" s="51">
        <v>1390.5834415554791</v>
      </c>
      <c r="DB115" s="51">
        <v>6523.4502452996448</v>
      </c>
      <c r="DC115" s="51">
        <v>0</v>
      </c>
      <c r="DD115" s="52">
        <v>1824276</v>
      </c>
      <c r="DE115" s="51">
        <v>1865620</v>
      </c>
      <c r="DF115" s="51">
        <v>425579</v>
      </c>
      <c r="DG115" s="51">
        <v>1387664</v>
      </c>
      <c r="DH115" s="51">
        <v>52377</v>
      </c>
      <c r="DI115" s="51">
        <v>403365</v>
      </c>
      <c r="DJ115" s="51">
        <v>2631</v>
      </c>
      <c r="DK115" s="51">
        <v>2880</v>
      </c>
      <c r="DL115" s="51">
        <v>170659</v>
      </c>
      <c r="DM115" s="51">
        <v>192843</v>
      </c>
      <c r="DN115" s="51">
        <v>336152</v>
      </c>
      <c r="DO115" s="52">
        <v>4798426</v>
      </c>
      <c r="DP115" s="47"/>
      <c r="DQ115" s="47"/>
      <c r="DR115" s="47"/>
      <c r="DS115" s="47"/>
    </row>
    <row r="116" spans="1:123" x14ac:dyDescent="0.45">
      <c r="A116" s="55" t="s">
        <v>368</v>
      </c>
      <c r="B116" s="56" t="s">
        <v>121</v>
      </c>
      <c r="C116" s="47">
        <v>3338.201796860375</v>
      </c>
      <c r="D116" s="47">
        <v>391.38413361169103</v>
      </c>
      <c r="E116" s="47">
        <v>370.40403114979381</v>
      </c>
      <c r="F116" s="47">
        <v>78.688524590163937</v>
      </c>
      <c r="G116" s="47">
        <v>2127.2828860834088</v>
      </c>
      <c r="H116" s="47">
        <v>622.76033918974815</v>
      </c>
      <c r="I116" s="47">
        <v>955.32626304875464</v>
      </c>
      <c r="J116" s="47">
        <v>3872.797956155478</v>
      </c>
      <c r="K116" s="47">
        <v>1857.1321029008659</v>
      </c>
      <c r="L116" s="47">
        <v>243.12226705038751</v>
      </c>
      <c r="M116" s="47">
        <v>1169.2412111949609</v>
      </c>
      <c r="N116" s="47">
        <v>706.86890715070319</v>
      </c>
      <c r="O116" s="47">
        <v>3098.480986982473</v>
      </c>
      <c r="P116" s="47">
        <v>3635.988008140142</v>
      </c>
      <c r="Q116" s="47">
        <v>718.81886843817483</v>
      </c>
      <c r="R116" s="47">
        <v>1263.99814631245</v>
      </c>
      <c r="S116" s="47">
        <v>659.0628744230213</v>
      </c>
      <c r="T116" s="47">
        <v>2262.9502526308002</v>
      </c>
      <c r="U116" s="47">
        <v>1526.91632481651</v>
      </c>
      <c r="V116" s="47">
        <v>293.82627367834931</v>
      </c>
      <c r="W116" s="47">
        <v>2079.5596358787361</v>
      </c>
      <c r="X116" s="47">
        <v>3398.5629511571319</v>
      </c>
      <c r="Y116" s="47">
        <v>2792.7280226474932</v>
      </c>
      <c r="Z116" s="47">
        <v>800.40100187806411</v>
      </c>
      <c r="AA116" s="47">
        <v>964.81496023426871</v>
      </c>
      <c r="AB116" s="47">
        <v>2255.9748953069779</v>
      </c>
      <c r="AC116" s="47">
        <v>1058.0606222418451</v>
      </c>
      <c r="AD116" s="47">
        <v>429.92112360287092</v>
      </c>
      <c r="AE116" s="47">
        <v>1544.9043779543531</v>
      </c>
      <c r="AF116" s="47">
        <v>580.72364178190878</v>
      </c>
      <c r="AG116" s="47">
        <v>5519.8038415610326</v>
      </c>
      <c r="AH116" s="47">
        <v>5757.5699768417271</v>
      </c>
      <c r="AI116" s="47">
        <v>2011.145608535895</v>
      </c>
      <c r="AJ116" s="47">
        <v>1737.406849516037</v>
      </c>
      <c r="AK116" s="47">
        <v>1687.115938646423</v>
      </c>
      <c r="AL116" s="47">
        <v>1250.948578938571</v>
      </c>
      <c r="AM116" s="47">
        <v>858.34334902683042</v>
      </c>
      <c r="AN116" s="47">
        <v>10184.223206969629</v>
      </c>
      <c r="AO116" s="47">
        <v>10056.90080198024</v>
      </c>
      <c r="AP116" s="47">
        <v>3771.7363813049642</v>
      </c>
      <c r="AQ116" s="47">
        <v>7039.6459156010214</v>
      </c>
      <c r="AR116" s="47">
        <v>9476.1516688259089</v>
      </c>
      <c r="AS116" s="47">
        <v>1624.6755224418159</v>
      </c>
      <c r="AT116" s="47">
        <v>4770.2200413800629</v>
      </c>
      <c r="AU116" s="47">
        <v>597.36365551096492</v>
      </c>
      <c r="AV116" s="47">
        <v>2967.4129733400459</v>
      </c>
      <c r="AW116" s="47">
        <v>3025.8331190325589</v>
      </c>
      <c r="AX116" s="47">
        <v>320.83538517380867</v>
      </c>
      <c r="AY116" s="47">
        <v>1244.2501597334899</v>
      </c>
      <c r="AZ116" s="47">
        <v>6279.0621817932097</v>
      </c>
      <c r="BA116" s="47">
        <v>4747.6525698327423</v>
      </c>
      <c r="BB116" s="47">
        <v>2796.7889896504498</v>
      </c>
      <c r="BC116" s="47">
        <v>1984.2523200401311</v>
      </c>
      <c r="BD116" s="47">
        <v>1492.625622633991</v>
      </c>
      <c r="BE116" s="47">
        <v>4395.1967612123199</v>
      </c>
      <c r="BF116" s="47">
        <v>194.14634146341459</v>
      </c>
      <c r="BG116" s="47">
        <v>54191.34441319303</v>
      </c>
      <c r="BH116" s="47">
        <v>22492.241492112658</v>
      </c>
      <c r="BI116" s="47">
        <v>59862.782154796223</v>
      </c>
      <c r="BJ116" s="47">
        <v>54182.124675681836</v>
      </c>
      <c r="BK116" s="47">
        <v>4074.727834255566</v>
      </c>
      <c r="BL116" s="47">
        <v>18072.978594602238</v>
      </c>
      <c r="BM116" s="47">
        <v>3327.5093618282181</v>
      </c>
      <c r="BN116" s="47">
        <v>4037.187766714082</v>
      </c>
      <c r="BO116" s="47">
        <v>15202.031384094371</v>
      </c>
      <c r="BP116" s="47">
        <v>10532.673816169479</v>
      </c>
      <c r="BQ116" s="47">
        <v>10928.828312796801</v>
      </c>
      <c r="BR116" s="47">
        <v>44273.429119358967</v>
      </c>
      <c r="BS116" s="47">
        <v>7249.4889125120508</v>
      </c>
      <c r="BT116" s="47">
        <v>7697.6325384485881</v>
      </c>
      <c r="BU116" s="47">
        <v>16285.26405707845</v>
      </c>
      <c r="BV116" s="47">
        <v>40795.494209805111</v>
      </c>
      <c r="BW116" s="47">
        <v>4355.1926723775978</v>
      </c>
      <c r="BX116" s="47">
        <v>39738.515489525103</v>
      </c>
      <c r="BY116" s="47">
        <v>7281.454124091435</v>
      </c>
      <c r="BZ116" s="47">
        <v>25638.414629179031</v>
      </c>
      <c r="CA116" s="47">
        <v>4007.5418777440059</v>
      </c>
      <c r="CB116" s="47">
        <v>0</v>
      </c>
      <c r="CC116" s="47">
        <v>20713.567190495411</v>
      </c>
      <c r="CD116" s="47">
        <v>13083.72521632413</v>
      </c>
      <c r="CE116" s="47">
        <v>11498.595652439561</v>
      </c>
      <c r="CF116" s="47">
        <v>20734.152012364681</v>
      </c>
      <c r="CG116" s="47">
        <v>15872.03872286299</v>
      </c>
      <c r="CH116" s="47">
        <v>17028.977064120911</v>
      </c>
      <c r="CI116" s="47">
        <v>12459.47471112974</v>
      </c>
      <c r="CJ116" s="47">
        <v>9533.6355894215067</v>
      </c>
      <c r="CK116" s="47">
        <v>2664.643604754302</v>
      </c>
      <c r="CL116" s="47">
        <v>14140.08608275185</v>
      </c>
      <c r="CM116" s="47">
        <v>23394.02283089736</v>
      </c>
      <c r="CN116" s="47">
        <v>6327.8968030542592</v>
      </c>
      <c r="CO116" s="47">
        <v>2304.2465677722012</v>
      </c>
      <c r="CP116" s="47">
        <v>5988.3464311442322</v>
      </c>
      <c r="CQ116" s="47">
        <v>15641.693340540271</v>
      </c>
      <c r="CR116" s="47">
        <v>67601.914576413663</v>
      </c>
      <c r="CS116" s="47">
        <v>81393.867478912638</v>
      </c>
      <c r="CT116" s="47">
        <v>79453.130189315372</v>
      </c>
      <c r="CU116" s="47">
        <v>40680.560169552657</v>
      </c>
      <c r="CV116" s="47">
        <v>3387.4710991774909</v>
      </c>
      <c r="CW116" s="47">
        <v>2091.2923169995811</v>
      </c>
      <c r="CX116" s="47">
        <v>2645.250592256672</v>
      </c>
      <c r="CY116" s="47">
        <v>7299.5290395354441</v>
      </c>
      <c r="CZ116" s="47">
        <v>7403.9634506383236</v>
      </c>
      <c r="DA116" s="47">
        <v>1215.109728644783</v>
      </c>
      <c r="DB116" s="47">
        <v>6565.7409540359067</v>
      </c>
      <c r="DC116" s="47">
        <v>3917</v>
      </c>
      <c r="DD116" s="48">
        <v>1090157</v>
      </c>
      <c r="DE116" s="47"/>
      <c r="DF116" s="47"/>
      <c r="DG116" s="47"/>
      <c r="DH116" s="47"/>
      <c r="DI116" s="47"/>
      <c r="DJ116" s="47"/>
      <c r="DK116" s="47"/>
      <c r="DL116" s="47"/>
      <c r="DM116" s="47"/>
      <c r="DN116" s="47"/>
      <c r="DO116" s="47"/>
      <c r="DP116" s="47"/>
      <c r="DQ116" s="47"/>
      <c r="DR116" s="47"/>
      <c r="DS116" s="47"/>
    </row>
    <row r="117" spans="1:123" x14ac:dyDescent="0.45">
      <c r="A117" s="55" t="s">
        <v>369</v>
      </c>
      <c r="B117" s="7" t="s">
        <v>122</v>
      </c>
      <c r="C117" s="47">
        <v>9256.49904512377</v>
      </c>
      <c r="D117" s="47">
        <v>360.44467640918577</v>
      </c>
      <c r="E117" s="47">
        <v>350.35639028859367</v>
      </c>
      <c r="F117" s="47">
        <v>88.52459016393442</v>
      </c>
      <c r="G117" s="47">
        <v>14897.17779153523</v>
      </c>
      <c r="H117" s="47">
        <v>645.78749981679675</v>
      </c>
      <c r="I117" s="47">
        <v>281.22922796487001</v>
      </c>
      <c r="J117" s="47">
        <v>1408.208844586394</v>
      </c>
      <c r="K117" s="47">
        <v>774.95584458216183</v>
      </c>
      <c r="L117" s="47">
        <v>133.78755402619649</v>
      </c>
      <c r="M117" s="47">
        <v>1170.438831610981</v>
      </c>
      <c r="N117" s="47">
        <v>479.36007426451499</v>
      </c>
      <c r="O117" s="47">
        <v>933.29344419670122</v>
      </c>
      <c r="P117" s="47">
        <v>1807.151522295643</v>
      </c>
      <c r="Q117" s="47">
        <v>557.11259150193951</v>
      </c>
      <c r="R117" s="47">
        <v>2301.5223534564689</v>
      </c>
      <c r="S117" s="47">
        <v>1077.968282562427</v>
      </c>
      <c r="T117" s="47">
        <v>1439.396781544212</v>
      </c>
      <c r="U117" s="47">
        <v>933.77866620026134</v>
      </c>
      <c r="V117" s="47">
        <v>222.01437794888449</v>
      </c>
      <c r="W117" s="47">
        <v>1296.294565341115</v>
      </c>
      <c r="X117" s="47">
        <v>1221.1199449732701</v>
      </c>
      <c r="Y117" s="47">
        <v>1261.5792112885481</v>
      </c>
      <c r="Z117" s="47">
        <v>2545.4099349673111</v>
      </c>
      <c r="AA117" s="47">
        <v>329.66855335867177</v>
      </c>
      <c r="AB117" s="47">
        <v>2167.9028603495722</v>
      </c>
      <c r="AC117" s="47">
        <v>954.82144997922762</v>
      </c>
      <c r="AD117" s="47">
        <v>342.49539219120459</v>
      </c>
      <c r="AE117" s="47">
        <v>1154.984889940607</v>
      </c>
      <c r="AF117" s="47">
        <v>488.58608184875192</v>
      </c>
      <c r="AG117" s="47">
        <v>6986.615093398771</v>
      </c>
      <c r="AH117" s="47">
        <v>1417.6387196811861</v>
      </c>
      <c r="AI117" s="47">
        <v>1450.074674573367</v>
      </c>
      <c r="AJ117" s="47">
        <v>816.22809552867079</v>
      </c>
      <c r="AK117" s="47">
        <v>784.73911431301576</v>
      </c>
      <c r="AL117" s="47">
        <v>817.77037237508489</v>
      </c>
      <c r="AM117" s="47">
        <v>200.1854415137588</v>
      </c>
      <c r="AN117" s="47">
        <v>4589.7460052374081</v>
      </c>
      <c r="AO117" s="47">
        <v>3569.392046728849</v>
      </c>
      <c r="AP117" s="47">
        <v>1129.5117154102909</v>
      </c>
      <c r="AQ117" s="47">
        <v>4328.8022832789193</v>
      </c>
      <c r="AR117" s="47">
        <v>5639.6617798807347</v>
      </c>
      <c r="AS117" s="47">
        <v>488.82124246115058</v>
      </c>
      <c r="AT117" s="47">
        <v>2377.3635048573492</v>
      </c>
      <c r="AU117" s="47">
        <v>344.84766832697858</v>
      </c>
      <c r="AV117" s="47">
        <v>1006.390421059328</v>
      </c>
      <c r="AW117" s="47">
        <v>1636.843168002194</v>
      </c>
      <c r="AX117" s="47">
        <v>193.20555109045361</v>
      </c>
      <c r="AY117" s="47">
        <v>584.78952600146135</v>
      </c>
      <c r="AZ117" s="47">
        <v>3274.7229194880351</v>
      </c>
      <c r="BA117" s="47">
        <v>13110.325009307089</v>
      </c>
      <c r="BB117" s="47">
        <v>5869.9611101496312</v>
      </c>
      <c r="BC117" s="47">
        <v>5081.1779951509079</v>
      </c>
      <c r="BD117" s="47">
        <v>6254.7200637577216</v>
      </c>
      <c r="BE117" s="47">
        <v>2295.719865264859</v>
      </c>
      <c r="BF117" s="47">
        <v>224.39024390243901</v>
      </c>
      <c r="BG117" s="47">
        <v>68728.836421749424</v>
      </c>
      <c r="BH117" s="47">
        <v>5425.7730759464839</v>
      </c>
      <c r="BI117" s="47">
        <v>31449.035920803839</v>
      </c>
      <c r="BJ117" s="47">
        <v>30529.8022678733</v>
      </c>
      <c r="BK117" s="47">
        <v>1290.4949169990989</v>
      </c>
      <c r="BL117" s="47">
        <v>6567.5650070733209</v>
      </c>
      <c r="BM117" s="47">
        <v>3035.9617975739989</v>
      </c>
      <c r="BN117" s="47">
        <v>1465.8428539342669</v>
      </c>
      <c r="BO117" s="47">
        <v>5144.9382901345034</v>
      </c>
      <c r="BP117" s="47">
        <v>3556.705901806803</v>
      </c>
      <c r="BQ117" s="47">
        <v>5952.3931093015017</v>
      </c>
      <c r="BR117" s="47">
        <v>14145.677903219401</v>
      </c>
      <c r="BS117" s="47">
        <v>5106.595382376232</v>
      </c>
      <c r="BT117" s="47">
        <v>9942.6805016420822</v>
      </c>
      <c r="BU117" s="47">
        <v>13514.74288409158</v>
      </c>
      <c r="BV117" s="47">
        <v>12300.651356205361</v>
      </c>
      <c r="BW117" s="47">
        <v>2857.8723021749252</v>
      </c>
      <c r="BX117" s="47">
        <v>34552.13434640746</v>
      </c>
      <c r="BY117" s="47">
        <v>18800.631608252701</v>
      </c>
      <c r="BZ117" s="47">
        <v>21153.286429571359</v>
      </c>
      <c r="CA117" s="47">
        <v>1623.508443093549</v>
      </c>
      <c r="CB117" s="47">
        <v>185717</v>
      </c>
      <c r="CC117" s="47">
        <v>66798.700183101348</v>
      </c>
      <c r="CD117" s="47">
        <v>15746.31303191189</v>
      </c>
      <c r="CE117" s="47">
        <v>6935.9168645865757</v>
      </c>
      <c r="CF117" s="47">
        <v>6896.116498834238</v>
      </c>
      <c r="CG117" s="47">
        <v>3970.0861602402329</v>
      </c>
      <c r="CH117" s="47">
        <v>9481.3639584011216</v>
      </c>
      <c r="CI117" s="47">
        <v>11967.80090566782</v>
      </c>
      <c r="CJ117" s="47">
        <v>3023.7845318502309</v>
      </c>
      <c r="CK117" s="47">
        <v>1557.85133936491</v>
      </c>
      <c r="CL117" s="47">
        <v>13293.388793212051</v>
      </c>
      <c r="CM117" s="47">
        <v>5556.1268554933331</v>
      </c>
      <c r="CN117" s="47">
        <v>3934.3093980178169</v>
      </c>
      <c r="CO117" s="47">
        <v>1600.359247986449</v>
      </c>
      <c r="CP117" s="47">
        <v>4776.1567115484213</v>
      </c>
      <c r="CQ117" s="47">
        <v>8078.6587402542309</v>
      </c>
      <c r="CR117" s="47">
        <v>28416.994647162181</v>
      </c>
      <c r="CS117" s="47">
        <v>23949.231232056911</v>
      </c>
      <c r="CT117" s="47">
        <v>24355.072961363741</v>
      </c>
      <c r="CU117" s="47">
        <v>5956.4907102899879</v>
      </c>
      <c r="CV117" s="47">
        <v>4669.4263634700437</v>
      </c>
      <c r="CW117" s="47">
        <v>832.00766708925323</v>
      </c>
      <c r="CX117" s="47">
        <v>2440.0735344625859</v>
      </c>
      <c r="CY117" s="47">
        <v>3226.1862785033732</v>
      </c>
      <c r="CZ117" s="47">
        <v>1531.1862199620659</v>
      </c>
      <c r="DA117" s="47">
        <v>1064.5992373076931</v>
      </c>
      <c r="DB117" s="47">
        <v>14816.15230257324</v>
      </c>
      <c r="DC117" s="47">
        <v>0</v>
      </c>
      <c r="DD117" s="48">
        <v>883091.99999999977</v>
      </c>
      <c r="DE117" s="47"/>
      <c r="DF117" s="47"/>
      <c r="DG117" s="47"/>
      <c r="DH117" s="47"/>
      <c r="DI117" s="47"/>
      <c r="DJ117" s="47"/>
      <c r="DK117" s="47"/>
      <c r="DL117" s="47"/>
      <c r="DM117" s="47"/>
      <c r="DN117" s="47"/>
      <c r="DO117" s="47"/>
      <c r="DP117" s="47"/>
      <c r="DQ117" s="47"/>
      <c r="DR117" s="47"/>
      <c r="DS117" s="47"/>
    </row>
    <row r="118" spans="1:123" ht="14.65" thickBot="1" x14ac:dyDescent="0.5">
      <c r="A118" s="55" t="s">
        <v>370</v>
      </c>
      <c r="B118" s="57" t="s">
        <v>123</v>
      </c>
      <c r="C118" s="51">
        <v>-1833.1685002173001</v>
      </c>
      <c r="D118" s="51">
        <v>-2.3204592901878911</v>
      </c>
      <c r="E118" s="51">
        <v>3.818598259276226</v>
      </c>
      <c r="F118" s="51">
        <v>-11.803278688524591</v>
      </c>
      <c r="G118" s="51">
        <v>135.50405491952631</v>
      </c>
      <c r="H118" s="51">
        <v>33.046587445358433</v>
      </c>
      <c r="I118" s="51">
        <v>21.109335802139881</v>
      </c>
      <c r="J118" s="51">
        <v>-0.1654338739918759</v>
      </c>
      <c r="K118" s="51">
        <v>-7.9518646912697264</v>
      </c>
      <c r="L118" s="51">
        <v>-45.575129375385472</v>
      </c>
      <c r="M118" s="51">
        <v>-19.561978065946629</v>
      </c>
      <c r="N118" s="51">
        <v>-19.154950577920761</v>
      </c>
      <c r="O118" s="51">
        <v>33.184200816639247</v>
      </c>
      <c r="P118" s="51">
        <v>46.974566328346619</v>
      </c>
      <c r="Q118" s="51">
        <v>-21.657781973871248</v>
      </c>
      <c r="R118" s="51">
        <v>-10.371992634870891</v>
      </c>
      <c r="S118" s="51">
        <v>-22.402198836576169</v>
      </c>
      <c r="T118" s="51">
        <v>7.8406561057042188</v>
      </c>
      <c r="U118" s="51">
        <v>-12.64697482199883</v>
      </c>
      <c r="V118" s="51">
        <v>-31.735027512807608</v>
      </c>
      <c r="W118" s="51">
        <v>25.183340111067999</v>
      </c>
      <c r="X118" s="51">
        <v>63.072064797844021</v>
      </c>
      <c r="Y118" s="51">
        <v>48.755252562311412</v>
      </c>
      <c r="Z118" s="51">
        <v>114.782582014353</v>
      </c>
      <c r="AA118" s="51">
        <v>-20.528472130426831</v>
      </c>
      <c r="AB118" s="51">
        <v>-4.2325415144418663</v>
      </c>
      <c r="AC118" s="51">
        <v>-16.022107483369961</v>
      </c>
      <c r="AD118" s="51">
        <v>-8.7438265591636988</v>
      </c>
      <c r="AE118" s="51">
        <v>13.626466983020469</v>
      </c>
      <c r="AF118" s="51">
        <v>-34.31732182396226</v>
      </c>
      <c r="AG118" s="51">
        <v>30.097643897988849</v>
      </c>
      <c r="AH118" s="51">
        <v>119.31977044130019</v>
      </c>
      <c r="AI118" s="51">
        <v>79.83988312709107</v>
      </c>
      <c r="AJ118" s="51">
        <v>49.618812367396302</v>
      </c>
      <c r="AK118" s="51">
        <v>98.311338167671565</v>
      </c>
      <c r="AL118" s="51">
        <v>1.6767281933244571</v>
      </c>
      <c r="AM118" s="51">
        <v>-20.017667870771529</v>
      </c>
      <c r="AN118" s="51">
        <v>250.994642417764</v>
      </c>
      <c r="AO118" s="51">
        <v>93.84406755804541</v>
      </c>
      <c r="AP118" s="51">
        <v>44.69389077631412</v>
      </c>
      <c r="AQ118" s="51">
        <v>124.85748653068001</v>
      </c>
      <c r="AR118" s="51">
        <v>126.4639764946867</v>
      </c>
      <c r="AS118" s="51">
        <v>-22.585516162495189</v>
      </c>
      <c r="AT118" s="51">
        <v>15.91865902982728</v>
      </c>
      <c r="AU118" s="51">
        <v>-28.020192975404299</v>
      </c>
      <c r="AV118" s="51">
        <v>140.70752529468311</v>
      </c>
      <c r="AW118" s="51">
        <v>47.46566997027923</v>
      </c>
      <c r="AX118" s="51">
        <v>-20.07966753411981</v>
      </c>
      <c r="AY118" s="51">
        <v>-23.945378034391439</v>
      </c>
      <c r="AZ118" s="51">
        <v>42.997470525364399</v>
      </c>
      <c r="BA118" s="51">
        <v>1740.648976131157</v>
      </c>
      <c r="BB118" s="51">
        <v>745.23450233788822</v>
      </c>
      <c r="BC118" s="51">
        <v>520.39996655798018</v>
      </c>
      <c r="BD118" s="51">
        <v>127.60789001793189</v>
      </c>
      <c r="BE118" s="51">
        <v>160.35226611842941</v>
      </c>
      <c r="BF118" s="51">
        <v>2.9268292682926829</v>
      </c>
      <c r="BG118" s="51">
        <v>1674.744953185917</v>
      </c>
      <c r="BH118" s="51">
        <v>1093.424350408485</v>
      </c>
      <c r="BI118" s="51">
        <v>1927.429943343652</v>
      </c>
      <c r="BJ118" s="51">
        <v>6699.8815336076477</v>
      </c>
      <c r="BK118" s="51">
        <v>196.336764895123</v>
      </c>
      <c r="BL118" s="51">
        <v>776.39047509892623</v>
      </c>
      <c r="BM118" s="51">
        <v>107.8484210370017</v>
      </c>
      <c r="BN118" s="51">
        <v>11.75024331811035</v>
      </c>
      <c r="BO118" s="51">
        <v>919.28314956993597</v>
      </c>
      <c r="BP118" s="51">
        <v>267.380129188946</v>
      </c>
      <c r="BQ118" s="51">
        <v>891.99205403553231</v>
      </c>
      <c r="BR118" s="51">
        <v>2735.3078164254662</v>
      </c>
      <c r="BS118" s="51">
        <v>-9.2769188282652557</v>
      </c>
      <c r="BT118" s="51">
        <v>-1264.277785331444</v>
      </c>
      <c r="BU118" s="51">
        <v>489.93246068344729</v>
      </c>
      <c r="BV118" s="51">
        <v>480.96008562481529</v>
      </c>
      <c r="BW118" s="51">
        <v>-26.140847430609419</v>
      </c>
      <c r="BX118" s="51">
        <v>2222.9768998297291</v>
      </c>
      <c r="BY118" s="51">
        <v>537.38306421272819</v>
      </c>
      <c r="BZ118" s="51">
        <v>345.78521235354509</v>
      </c>
      <c r="CA118" s="51">
        <v>279.88652482269498</v>
      </c>
      <c r="CB118" s="51">
        <v>0</v>
      </c>
      <c r="CC118" s="51">
        <v>-992.93989246108731</v>
      </c>
      <c r="CD118" s="51">
        <v>370.52920722327332</v>
      </c>
      <c r="CE118" s="51">
        <v>113.9880433128606</v>
      </c>
      <c r="CF118" s="51">
        <v>541.62385502121504</v>
      </c>
      <c r="CG118" s="51">
        <v>328.20651760899341</v>
      </c>
      <c r="CH118" s="51">
        <v>55.703582715964323</v>
      </c>
      <c r="CI118" s="51">
        <v>-98.172855899978941</v>
      </c>
      <c r="CJ118" s="51">
        <v>173.90519802450501</v>
      </c>
      <c r="CK118" s="51">
        <v>-127.072556324286</v>
      </c>
      <c r="CL118" s="51">
        <v>392.13139392742892</v>
      </c>
      <c r="CM118" s="51">
        <v>217.1754880408192</v>
      </c>
      <c r="CN118" s="51">
        <v>72.910878870849572</v>
      </c>
      <c r="CO118" s="51">
        <v>23.58888068970796</v>
      </c>
      <c r="CP118" s="51">
        <v>102.7351635131516</v>
      </c>
      <c r="CQ118" s="51">
        <v>492.27790872818031</v>
      </c>
      <c r="CR118" s="51">
        <v>0</v>
      </c>
      <c r="CS118" s="51">
        <v>542.52689530771147</v>
      </c>
      <c r="CT118" s="51">
        <v>158.8044376267749</v>
      </c>
      <c r="CU118" s="51">
        <v>321.67625110098788</v>
      </c>
      <c r="CV118" s="51">
        <v>34.958833349236961</v>
      </c>
      <c r="CW118" s="51">
        <v>28.718592344749499</v>
      </c>
      <c r="CX118" s="51">
        <v>158.77488273977659</v>
      </c>
      <c r="CY118" s="51">
        <v>382.25168381150058</v>
      </c>
      <c r="CZ118" s="51">
        <v>104.4675513725424</v>
      </c>
      <c r="DA118" s="51">
        <v>27.7075924920447</v>
      </c>
      <c r="DB118" s="51">
        <v>248.65649809120731</v>
      </c>
      <c r="DC118" s="51">
        <v>0</v>
      </c>
      <c r="DD118" s="52">
        <v>26908.000000000004</v>
      </c>
      <c r="DE118" s="47"/>
      <c r="DF118" s="47"/>
      <c r="DG118" s="47"/>
      <c r="DH118" s="47"/>
      <c r="DI118" s="47"/>
      <c r="DJ118" s="47"/>
      <c r="DK118" s="47"/>
      <c r="DL118" s="47"/>
      <c r="DM118" s="47"/>
      <c r="DN118" s="47"/>
      <c r="DO118" s="47"/>
      <c r="DP118" s="47"/>
      <c r="DQ118" s="47"/>
      <c r="DR118" s="47"/>
      <c r="DS118" s="47"/>
    </row>
    <row r="119" spans="1:123" x14ac:dyDescent="0.45">
      <c r="A119" s="55" t="s">
        <v>371</v>
      </c>
      <c r="B119" s="58" t="s">
        <v>372</v>
      </c>
      <c r="C119" s="47">
        <v>10761.532341766841</v>
      </c>
      <c r="D119" s="47">
        <v>749.5083507306889</v>
      </c>
      <c r="E119" s="47">
        <v>724.57901969766374</v>
      </c>
      <c r="F119" s="47">
        <v>155.40983606557381</v>
      </c>
      <c r="G119" s="47">
        <v>17159.964732538159</v>
      </c>
      <c r="H119" s="47">
        <v>1301.594426451903</v>
      </c>
      <c r="I119" s="47">
        <v>1257.6648268157639</v>
      </c>
      <c r="J119" s="47">
        <v>5280.8413668678813</v>
      </c>
      <c r="K119" s="47">
        <v>2624.1360827917588</v>
      </c>
      <c r="L119" s="47">
        <v>331.33469170119861</v>
      </c>
      <c r="M119" s="47">
        <v>2320.118064739996</v>
      </c>
      <c r="N119" s="47">
        <v>1167.074030837297</v>
      </c>
      <c r="O119" s="47">
        <v>4064.958631995813</v>
      </c>
      <c r="P119" s="47">
        <v>5490.1140967641313</v>
      </c>
      <c r="Q119" s="47">
        <v>1254.273677966243</v>
      </c>
      <c r="R119" s="47">
        <v>3555.148507134048</v>
      </c>
      <c r="S119" s="47">
        <v>1714.628958148872</v>
      </c>
      <c r="T119" s="47">
        <v>3710.187690280718</v>
      </c>
      <c r="U119" s="47">
        <v>2448.0480161947721</v>
      </c>
      <c r="V119" s="47">
        <v>484.10562411442618</v>
      </c>
      <c r="W119" s="47">
        <v>3401.0375413309198</v>
      </c>
      <c r="X119" s="47">
        <v>4682.7549609282478</v>
      </c>
      <c r="Y119" s="47">
        <v>4103.0624864983538</v>
      </c>
      <c r="Z119" s="47">
        <v>3460.5935188597282</v>
      </c>
      <c r="AA119" s="47">
        <v>1273.955041462513</v>
      </c>
      <c r="AB119" s="47">
        <v>4419.6452141421096</v>
      </c>
      <c r="AC119" s="47">
        <v>1996.859964737703</v>
      </c>
      <c r="AD119" s="47">
        <v>763.6726892349119</v>
      </c>
      <c r="AE119" s="47">
        <v>2713.5157348779808</v>
      </c>
      <c r="AF119" s="47">
        <v>1034.9924018066979</v>
      </c>
      <c r="AG119" s="47">
        <v>12536.516578857791</v>
      </c>
      <c r="AH119" s="47">
        <v>7294.5284669642124</v>
      </c>
      <c r="AI119" s="47">
        <v>3541.0601662363529</v>
      </c>
      <c r="AJ119" s="47">
        <v>2603.2537574121038</v>
      </c>
      <c r="AK119" s="47">
        <v>2570.1663911271098</v>
      </c>
      <c r="AL119" s="47">
        <v>2070.3956795069798</v>
      </c>
      <c r="AM119" s="47">
        <v>1038.511122669817</v>
      </c>
      <c r="AN119" s="47">
        <v>15024.963854624801</v>
      </c>
      <c r="AO119" s="47">
        <v>13720.13691626714</v>
      </c>
      <c r="AP119" s="47">
        <v>4945.9419874915693</v>
      </c>
      <c r="AQ119" s="47">
        <v>11493.30568541062</v>
      </c>
      <c r="AR119" s="47">
        <v>15242.27742520133</v>
      </c>
      <c r="AS119" s="47">
        <v>2090.9112487404709</v>
      </c>
      <c r="AT119" s="47">
        <v>7163.5022052672412</v>
      </c>
      <c r="AU119" s="47">
        <v>914.19113086253913</v>
      </c>
      <c r="AV119" s="47">
        <v>4114.5109196940584</v>
      </c>
      <c r="AW119" s="47">
        <v>4710.1419570050321</v>
      </c>
      <c r="AX119" s="47">
        <v>493.96126873014248</v>
      </c>
      <c r="AY119" s="47">
        <v>1805.09430770056</v>
      </c>
      <c r="AZ119" s="47">
        <v>9596.7825718066106</v>
      </c>
      <c r="BA119" s="47">
        <v>19598.626555270988</v>
      </c>
      <c r="BB119" s="47">
        <v>9411.984602137969</v>
      </c>
      <c r="BC119" s="47">
        <v>7585.8302817490176</v>
      </c>
      <c r="BD119" s="47">
        <v>7874.9535764096427</v>
      </c>
      <c r="BE119" s="47">
        <v>6851.2688925956072</v>
      </c>
      <c r="BF119" s="47">
        <v>421.46341463414632</v>
      </c>
      <c r="BG119" s="47">
        <v>124594.9257881283</v>
      </c>
      <c r="BH119" s="47">
        <v>29011.438918467629</v>
      </c>
      <c r="BI119" s="47">
        <v>93239.248018943705</v>
      </c>
      <c r="BJ119" s="47">
        <v>91411.808477162806</v>
      </c>
      <c r="BK119" s="47">
        <v>5561.5595161497886</v>
      </c>
      <c r="BL119" s="47">
        <v>25416.93407677448</v>
      </c>
      <c r="BM119" s="47">
        <v>6471.319580439218</v>
      </c>
      <c r="BN119" s="47">
        <v>5514.780863966459</v>
      </c>
      <c r="BO119" s="47">
        <v>21266.252823798801</v>
      </c>
      <c r="BP119" s="47">
        <v>14356.759847165231</v>
      </c>
      <c r="BQ119" s="47">
        <v>17773.213476133831</v>
      </c>
      <c r="BR119" s="47">
        <v>61154.414839003839</v>
      </c>
      <c r="BS119" s="47">
        <v>12346.80737606002</v>
      </c>
      <c r="BT119" s="47">
        <v>16376.03525475923</v>
      </c>
      <c r="BU119" s="47">
        <v>30289.93940185348</v>
      </c>
      <c r="BV119" s="47">
        <v>53577.105651635291</v>
      </c>
      <c r="BW119" s="47">
        <v>7186.9241271219134</v>
      </c>
      <c r="BX119" s="47">
        <v>76513.626735762286</v>
      </c>
      <c r="BY119" s="47">
        <v>26619.468796556859</v>
      </c>
      <c r="BZ119" s="47">
        <v>47137.486271103953</v>
      </c>
      <c r="CA119" s="47">
        <v>5910.9368456602506</v>
      </c>
      <c r="CB119" s="47">
        <v>185717</v>
      </c>
      <c r="CC119" s="47">
        <v>86519.327481135711</v>
      </c>
      <c r="CD119" s="47">
        <v>29200.567455459299</v>
      </c>
      <c r="CE119" s="47">
        <v>18548.500560338991</v>
      </c>
      <c r="CF119" s="47">
        <v>28171.892366220141</v>
      </c>
      <c r="CG119" s="47">
        <v>20170.331400712221</v>
      </c>
      <c r="CH119" s="47">
        <v>26566.044605237988</v>
      </c>
      <c r="CI119" s="47">
        <v>24329.102760897578</v>
      </c>
      <c r="CJ119" s="47">
        <v>12731.32531929624</v>
      </c>
      <c r="CK119" s="47">
        <v>4095.4223877949262</v>
      </c>
      <c r="CL119" s="47">
        <v>27825.60626989133</v>
      </c>
      <c r="CM119" s="47">
        <v>29167.32517443152</v>
      </c>
      <c r="CN119" s="47">
        <v>10335.117079942929</v>
      </c>
      <c r="CO119" s="47">
        <v>3928.1946964483591</v>
      </c>
      <c r="CP119" s="47">
        <v>10867.2383062058</v>
      </c>
      <c r="CQ119" s="47">
        <v>24212.62998952268</v>
      </c>
      <c r="CR119" s="47">
        <v>96018.909223575829</v>
      </c>
      <c r="CS119" s="47">
        <v>105885.6256062773</v>
      </c>
      <c r="CT119" s="47">
        <v>103967.0075883059</v>
      </c>
      <c r="CU119" s="47">
        <v>46958.727130943618</v>
      </c>
      <c r="CV119" s="47">
        <v>8091.8562959967712</v>
      </c>
      <c r="CW119" s="47">
        <v>2952.0185764335838</v>
      </c>
      <c r="CX119" s="47">
        <v>5244.0990094590343</v>
      </c>
      <c r="CY119" s="47">
        <v>10907.96700185032</v>
      </c>
      <c r="CZ119" s="47">
        <v>9039.6172219729324</v>
      </c>
      <c r="DA119" s="47">
        <v>2307.4165584445209</v>
      </c>
      <c r="DB119" s="47">
        <v>21630.549754700362</v>
      </c>
      <c r="DC119" s="47">
        <v>3917</v>
      </c>
      <c r="DD119" s="48">
        <v>2000157.0000000005</v>
      </c>
      <c r="DE119" s="47"/>
      <c r="DF119" s="47"/>
      <c r="DG119" s="47"/>
      <c r="DH119" s="47"/>
      <c r="DI119" s="47"/>
      <c r="DJ119" s="47"/>
      <c r="DK119" s="47"/>
      <c r="DL119" s="47"/>
      <c r="DM119" s="47"/>
      <c r="DN119" s="47"/>
      <c r="DO119" s="47"/>
      <c r="DP119" s="47"/>
      <c r="DQ119" s="47"/>
      <c r="DR119" s="47"/>
      <c r="DS119" s="47"/>
    </row>
    <row r="120" spans="1:123" ht="14.65" thickBot="1" x14ac:dyDescent="0.5">
      <c r="A120" s="55" t="s">
        <v>373</v>
      </c>
      <c r="B120" s="59" t="s">
        <v>374</v>
      </c>
      <c r="C120" s="51">
        <v>28145</v>
      </c>
      <c r="D120" s="51">
        <v>1482</v>
      </c>
      <c r="E120" s="51">
        <v>2084.0000000000005</v>
      </c>
      <c r="F120" s="51">
        <v>360</v>
      </c>
      <c r="G120" s="51">
        <v>27968.999999999996</v>
      </c>
      <c r="H120" s="51">
        <v>3978.0000000000014</v>
      </c>
      <c r="I120" s="51">
        <v>4405</v>
      </c>
      <c r="J120" s="51">
        <v>20383</v>
      </c>
      <c r="K120" s="51">
        <v>9416</v>
      </c>
      <c r="L120" s="51">
        <v>1717.0000000000002</v>
      </c>
      <c r="M120" s="51">
        <v>9693</v>
      </c>
      <c r="N120" s="51">
        <v>5525</v>
      </c>
      <c r="O120" s="51">
        <v>10441.999999999998</v>
      </c>
      <c r="P120" s="51">
        <v>15111.000000000002</v>
      </c>
      <c r="Q120" s="51">
        <v>6301.0000000000018</v>
      </c>
      <c r="R120" s="51">
        <v>9572</v>
      </c>
      <c r="S120" s="51">
        <v>4930</v>
      </c>
      <c r="T120" s="51">
        <v>6588.9999999999991</v>
      </c>
      <c r="U120" s="51">
        <v>4007.0000000000005</v>
      </c>
      <c r="V120" s="51">
        <v>985.00000000000034</v>
      </c>
      <c r="W120" s="51">
        <v>8295</v>
      </c>
      <c r="X120" s="51">
        <v>12423.999999999996</v>
      </c>
      <c r="Y120" s="51">
        <v>9143</v>
      </c>
      <c r="Z120" s="51">
        <v>30700</v>
      </c>
      <c r="AA120" s="51">
        <v>3179</v>
      </c>
      <c r="AB120" s="51">
        <v>8679.9999999999982</v>
      </c>
      <c r="AC120" s="51">
        <v>5965</v>
      </c>
      <c r="AD120" s="51">
        <v>3029.0000000000009</v>
      </c>
      <c r="AE120" s="51">
        <v>10803.000000000002</v>
      </c>
      <c r="AF120" s="51">
        <v>2545.0000000000005</v>
      </c>
      <c r="AG120" s="51">
        <v>25174.000000000007</v>
      </c>
      <c r="AH120" s="51">
        <v>21212.999999999993</v>
      </c>
      <c r="AI120" s="51">
        <v>8815</v>
      </c>
      <c r="AJ120" s="51">
        <v>7119.9999999999991</v>
      </c>
      <c r="AK120" s="51">
        <v>8242.0000000000018</v>
      </c>
      <c r="AL120" s="51">
        <v>6015.0000000000018</v>
      </c>
      <c r="AM120" s="51">
        <v>2908.0000000000005</v>
      </c>
      <c r="AN120" s="51">
        <v>30969.000000000015</v>
      </c>
      <c r="AO120" s="51">
        <v>24707.999999999993</v>
      </c>
      <c r="AP120" s="51">
        <v>12633.000000000002</v>
      </c>
      <c r="AQ120" s="51">
        <v>29360</v>
      </c>
      <c r="AR120" s="51">
        <v>58610</v>
      </c>
      <c r="AS120" s="51">
        <v>4738.0000000000009</v>
      </c>
      <c r="AT120" s="51">
        <v>22827.000000000004</v>
      </c>
      <c r="AU120" s="51">
        <v>2713.9999999999995</v>
      </c>
      <c r="AV120" s="51">
        <v>8151</v>
      </c>
      <c r="AW120" s="51">
        <v>9741.9999999999982</v>
      </c>
      <c r="AX120" s="51">
        <v>792.00000000000023</v>
      </c>
      <c r="AY120" s="51">
        <v>4579.0000000000009</v>
      </c>
      <c r="AZ120" s="51">
        <v>20963</v>
      </c>
      <c r="BA120" s="51">
        <v>81020</v>
      </c>
      <c r="BB120" s="51">
        <v>40650.999999999993</v>
      </c>
      <c r="BC120" s="51">
        <v>10881.999999999998</v>
      </c>
      <c r="BD120" s="51">
        <v>9704</v>
      </c>
      <c r="BE120" s="51">
        <v>21285</v>
      </c>
      <c r="BF120" s="51">
        <v>760</v>
      </c>
      <c r="BG120" s="51">
        <v>336755.00000000006</v>
      </c>
      <c r="BH120" s="51">
        <v>55360.000000000015</v>
      </c>
      <c r="BI120" s="51">
        <v>179084.00000000003</v>
      </c>
      <c r="BJ120" s="51">
        <v>150115.00000000006</v>
      </c>
      <c r="BK120" s="51">
        <v>15334.000000000007</v>
      </c>
      <c r="BL120" s="51">
        <v>53433.000000000022</v>
      </c>
      <c r="BM120" s="51">
        <v>14878.000000000007</v>
      </c>
      <c r="BN120" s="51">
        <v>26157.999999999993</v>
      </c>
      <c r="BO120" s="51">
        <v>43991</v>
      </c>
      <c r="BP120" s="51">
        <v>25311</v>
      </c>
      <c r="BQ120" s="51">
        <v>29725.999999999989</v>
      </c>
      <c r="BR120" s="51">
        <v>113992.99999999996</v>
      </c>
      <c r="BS120" s="51">
        <v>23264.000000000004</v>
      </c>
      <c r="BT120" s="51">
        <v>38450.999999999985</v>
      </c>
      <c r="BU120" s="51">
        <v>47438</v>
      </c>
      <c r="BV120" s="51">
        <v>97349.000000000015</v>
      </c>
      <c r="BW120" s="51">
        <v>12648</v>
      </c>
      <c r="BX120" s="51">
        <v>157237.00000000006</v>
      </c>
      <c r="BY120" s="51">
        <v>57411</v>
      </c>
      <c r="BZ120" s="51">
        <v>83900.999999999985</v>
      </c>
      <c r="CA120" s="51">
        <v>9866</v>
      </c>
      <c r="CB120" s="51">
        <v>216684</v>
      </c>
      <c r="CC120" s="51">
        <v>138823</v>
      </c>
      <c r="CD120" s="51">
        <v>38342.000000000015</v>
      </c>
      <c r="CE120" s="51">
        <v>23801.999999999993</v>
      </c>
      <c r="CF120" s="51">
        <v>55275.000000000007</v>
      </c>
      <c r="CG120" s="51">
        <v>47099</v>
      </c>
      <c r="CH120" s="51">
        <v>53637.000000000007</v>
      </c>
      <c r="CI120" s="51">
        <v>45409</v>
      </c>
      <c r="CJ120" s="51">
        <v>28497.000000000004</v>
      </c>
      <c r="CK120" s="51">
        <v>5468</v>
      </c>
      <c r="CL120" s="51">
        <v>43159</v>
      </c>
      <c r="CM120" s="51">
        <v>49386.999999999985</v>
      </c>
      <c r="CN120" s="51">
        <v>24877.000000000004</v>
      </c>
      <c r="CO120" s="51">
        <v>6963.9999999999991</v>
      </c>
      <c r="CP120" s="51">
        <v>22056.000000000004</v>
      </c>
      <c r="CQ120" s="51">
        <v>48362.000000000007</v>
      </c>
      <c r="CR120" s="51">
        <v>168186</v>
      </c>
      <c r="CS120" s="51">
        <v>147438</v>
      </c>
      <c r="CT120" s="51">
        <v>170634.99999999994</v>
      </c>
      <c r="CU120" s="51">
        <v>76776</v>
      </c>
      <c r="CV120" s="51">
        <v>14335.000000000005</v>
      </c>
      <c r="CW120" s="51">
        <v>5289</v>
      </c>
      <c r="CX120" s="51">
        <v>10006.000000000002</v>
      </c>
      <c r="CY120" s="51">
        <v>18175.000000000004</v>
      </c>
      <c r="CZ120" s="51">
        <v>15848</v>
      </c>
      <c r="DA120" s="51">
        <v>3698.0000000000005</v>
      </c>
      <c r="DB120" s="51">
        <v>28154.000000000004</v>
      </c>
      <c r="DC120" s="51">
        <v>3917</v>
      </c>
      <c r="DD120" s="52">
        <v>3824433</v>
      </c>
      <c r="DP120" s="47"/>
      <c r="DQ120" s="47"/>
    </row>
    <row r="122" spans="1:123" x14ac:dyDescent="0.45">
      <c r="B122" s="45"/>
    </row>
    <row r="123" spans="1:123" x14ac:dyDescent="0.45">
      <c r="B123" s="45"/>
    </row>
    <row r="124" spans="1:123" x14ac:dyDescent="0.45">
      <c r="B124" s="45"/>
    </row>
    <row r="126" spans="1:123" x14ac:dyDescent="0.45"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47"/>
      <c r="CL126" s="47"/>
      <c r="CM126" s="47"/>
      <c r="CN126" s="47"/>
      <c r="CO126" s="47"/>
      <c r="CP126" s="47"/>
      <c r="CQ126" s="47"/>
      <c r="CR126" s="47"/>
      <c r="CS126" s="47"/>
      <c r="CT126" s="47"/>
      <c r="CU126" s="47"/>
      <c r="CV126" s="47"/>
      <c r="CW126" s="47"/>
      <c r="CX126" s="47"/>
      <c r="CY126" s="47"/>
      <c r="CZ126" s="47"/>
      <c r="DA126" s="47"/>
      <c r="DB126" s="47"/>
      <c r="DC126" s="47"/>
      <c r="DD126" s="47"/>
    </row>
    <row r="127" spans="1:123" x14ac:dyDescent="0.45"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47"/>
      <c r="CL127" s="47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47"/>
      <c r="DD127" s="47"/>
    </row>
  </sheetData>
  <autoFilter ref="A6:DO120" xr:uid="{ABC79768-A7BD-4703-8CEA-525F55D8188C}"/>
  <hyperlinks>
    <hyperlink ref="A3" location="Menu!A1" display="MENU" xr:uid="{FAD17DE6-B514-4234-9097-3C2161CAAFD9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CPA_COICOP_map</vt:lpstr>
      <vt:lpstr>Effects</vt:lpstr>
      <vt:lpstr>IOT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Murphy</dc:creator>
  <cp:lastModifiedBy>Steven Murphy</cp:lastModifiedBy>
  <dcterms:created xsi:type="dcterms:W3CDTF">2025-01-13T15:38:29Z</dcterms:created>
  <dcterms:modified xsi:type="dcterms:W3CDTF">2025-11-17T12:47:41Z</dcterms:modified>
</cp:coreProperties>
</file>