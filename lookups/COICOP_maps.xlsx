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gamblingcommission-my.sharepoint.com/personal/smurphy_gamblingcommission_gov_uk/Documents/Code/Python/YouGov Finance/Code/gambling-spend-displacement/lookups/"/>
    </mc:Choice>
  </mc:AlternateContent>
  <xr:revisionPtr revIDLastSave="328" documentId="13_ncr:1_{4EA5ECE4-B677-4D1D-B7A5-75B384F1D133}" xr6:coauthVersionLast="47" xr6:coauthVersionMax="47" xr10:uidLastSave="{DB0ECA99-418C-424F-9E19-BC4A5DB9A1B1}"/>
  <bookViews>
    <workbookView xWindow="-98" yWindow="-98" windowWidth="21795" windowHeight="13875" xr2:uid="{00000000-000D-0000-FFFF-FFFF00000000}"/>
  </bookViews>
  <sheets>
    <sheet name="lookup" sheetId="1" r:id="rId1"/>
    <sheet name="latex" sheetId="2" r:id="rId2"/>
  </sheets>
  <definedNames>
    <definedName name="_xlnm._FilterDatabase" localSheetId="1" hidden="1">latex!$A$1:$F$34</definedName>
    <definedName name="_xlnm._FilterDatabase" localSheetId="0" hidden="1">lookup!$A$1:$H$34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2" l="1"/>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1" i="2"/>
</calcChain>
</file>

<file path=xl/sharedStrings.xml><?xml version="1.0" encoding="utf-8"?>
<sst xmlns="http://schemas.openxmlformats.org/spreadsheetml/2006/main" count="321" uniqueCount="171">
  <si>
    <t>code</t>
  </si>
  <si>
    <t>label</t>
  </si>
  <si>
    <t>note</t>
  </si>
  <si>
    <t>COICOP</t>
  </si>
  <si>
    <t>long_labels</t>
  </si>
  <si>
    <t>short_labels</t>
  </si>
  <si>
    <t>colour</t>
  </si>
  <si>
    <t>Food and non-alcoholic beverages</t>
  </si>
  <si>
    <t>Alcoholic beverages, tobacco and narcotics</t>
  </si>
  <si>
    <t>Clothing and footwear</t>
  </si>
  <si>
    <t>Housing, water, electricity, gas and other fuels</t>
  </si>
  <si>
    <t>Furnishings, household equipment and routine household maintenance</t>
  </si>
  <si>
    <t>Health</t>
  </si>
  <si>
    <t>Transport</t>
  </si>
  <si>
    <t>Information and communication</t>
  </si>
  <si>
    <t>Recreation, sport and culture</t>
  </si>
  <si>
    <t>Education services</t>
  </si>
  <si>
    <t>Restaurants and accommodation services</t>
  </si>
  <si>
    <t>Insurance</t>
  </si>
  <si>
    <t>Credit cards</t>
  </si>
  <si>
    <t>Savings</t>
  </si>
  <si>
    <t>Investments</t>
  </si>
  <si>
    <t>Pensions</t>
  </si>
  <si>
    <t>Gambling</t>
  </si>
  <si>
    <t>Lotteries</t>
  </si>
  <si>
    <t>Coffee shops</t>
  </si>
  <si>
    <t>In regular COICOP this is 09.4.7</t>
  </si>
  <si>
    <t>Extracted from 14 (which itself is extracted from 9) to align with requirements of our key stakeholder, the Gambling Commission.</t>
  </si>
  <si>
    <t>Extracted from 1 as a compason industry to gambling</t>
  </si>
  <si>
    <t>COICOP_1.0</t>
  </si>
  <si>
    <t>COICOP_2.0</t>
  </si>
  <si>
    <t>COICOP_3.0</t>
  </si>
  <si>
    <t>COICOP_4.0</t>
  </si>
  <si>
    <t>COICOP_5.0</t>
  </si>
  <si>
    <t>COICOP_6.0</t>
  </si>
  <si>
    <t>COICOP_7.0</t>
  </si>
  <si>
    <t>COICOP_8.0</t>
  </si>
  <si>
    <t>COICOP_9.0</t>
  </si>
  <si>
    <t>COICOP_10.0</t>
  </si>
  <si>
    <t>COICOP_11.0</t>
  </si>
  <si>
    <t>COICOP_12.1</t>
  </si>
  <si>
    <t>COICOP_12.21</t>
  </si>
  <si>
    <t>COICOP_12.22</t>
  </si>
  <si>
    <t>COICOP_12.23</t>
  </si>
  <si>
    <t>COICOP_12.24</t>
  </si>
  <si>
    <t>COICOP_14.0</t>
  </si>
  <si>
    <t>COICOP_15.0</t>
  </si>
  <si>
    <t>Food and non-alcoholic
beverages</t>
  </si>
  <si>
    <t>Alcoholic beverages,
tobacco and narcotics</t>
  </si>
  <si>
    <t>Housing, water, electricity,
gas and other fuels</t>
  </si>
  <si>
    <t>Restaurants and accommodation
services</t>
  </si>
  <si>
    <t>Food</t>
  </si>
  <si>
    <t>Alcohol,
tobacco &amp; narc.</t>
  </si>
  <si>
    <t>Clothing</t>
  </si>
  <si>
    <t>Other household</t>
  </si>
  <si>
    <t>ICT</t>
  </si>
  <si>
    <t>Recreation</t>
  </si>
  <si>
    <t>Education</t>
  </si>
  <si>
    <t>Restaurants</t>
  </si>
  <si>
    <t>Coffee</t>
  </si>
  <si>
    <t>COICOP_16.0</t>
  </si>
  <si>
    <t>Housing &amp; bills</t>
  </si>
  <si>
    <t>General purpose retailers</t>
  </si>
  <si>
    <t>Taxes</t>
  </si>
  <si>
    <t>Political donations and charitable giving</t>
  </si>
  <si>
    <t>An extension of COICOP to include brands that sell a wide variety of products and cannot reasonably be classified into a dominant product type. For example Amazon.</t>
  </si>
  <si>
    <t>Local and national taxes. Includes tax payments (debit transactions) and tax rebates (credit transactions)</t>
  </si>
  <si>
    <t>13.6 in regular COICOP</t>
  </si>
  <si>
    <t>General retailers</t>
  </si>
  <si>
    <t>Donations</t>
  </si>
  <si>
    <t>COICOP_13.1</t>
  </si>
  <si>
    <t>COICOP_13.2</t>
  </si>
  <si>
    <t>COICOP_13.3</t>
  </si>
  <si>
    <t>Aligns with COICOP</t>
  </si>
  <si>
    <t>Aligns with COICOP. Includes rent and mortgage payments.</t>
  </si>
  <si>
    <t>Aligns with COICOP. Includes car loan repayments</t>
  </si>
  <si>
    <t>Aligns with COICOP, but with COICOP 09.4.7 (gambling) extracted</t>
  </si>
  <si>
    <t>Aligns with COICOP. Includes tuition fees and student loan repayments.</t>
  </si>
  <si>
    <t>Fees for holding a credit card, as well as interest paid on outstanding balances.
Payments made with a credit card are explicitly excluded. E.g., an American Express payment at a supermarket should be classified as code 1.0</t>
  </si>
  <si>
    <t>Regular or ad-hoc transfers for the purpose of pension savings (such as SIPP in GB) as well as pensions received from these.</t>
  </si>
  <si>
    <t>Regular or ad-hoc transfers for the purpose of saving (calculated as net monthly transfers to savings accounts + debits to savings providers)</t>
  </si>
  <si>
    <t>Transactions with investments providers.</t>
  </si>
  <si>
    <t>Loan repayments</t>
  </si>
  <si>
    <t>COICOP_12.25</t>
  </si>
  <si>
    <t>Loans</t>
  </si>
  <si>
    <t>Debits to companies identified as loan providers</t>
  </si>
  <si>
    <t>Label</t>
  </si>
  <si>
    <t>Income</t>
  </si>
  <si>
    <t>Wages and salaries</t>
  </si>
  <si>
    <t>Entitlements/ benefit payments received from government</t>
  </si>
  <si>
    <t>Charitible payments received</t>
  </si>
  <si>
    <t>Unclassified</t>
  </si>
  <si>
    <t>Internal transfers</t>
  </si>
  <si>
    <t>No brand or unrecognised brands</t>
  </si>
  <si>
    <t>Insurance and financial services</t>
  </si>
  <si>
    <t>COICOP 12 and its sub-levels are extended beyond the fee for the service provided, to also include the amount saved or invested. 
Code 12.0 is for brands that provide many of the services in 12.1-12.24, but don't specialise in any in particular. Add record to supplementary output table if appropriate.</t>
  </si>
  <si>
    <t>Financial Services</t>
  </si>
  <si>
    <t>Brands that provide many of the services in 12.21-12.24, but don't specialise in any in particular. Add record to supplementary output table if appropriate.</t>
  </si>
  <si>
    <t>omit</t>
  </si>
  <si>
    <t>fold_into_code</t>
  </si>
  <si>
    <t>Not part of official COICOP. We omit incomes from our analysis</t>
  </si>
  <si>
    <t>Not part of official COICOP. Unidentified and unidentifiable transactions, as well as transactions that are neither net credit or debit to the individual. Omitted from analysis</t>
  </si>
  <si>
    <t>Outgoings that do not fit in other categories</t>
  </si>
  <si>
    <t>Miscellaneous goods, services, retailers, taxes and donations</t>
  </si>
  <si>
    <t>Wages/salaries</t>
  </si>
  <si>
    <t>Entitlements/benefits</t>
  </si>
  <si>
    <t>Charitible (received)</t>
  </si>
  <si>
    <t>No brand</t>
  </si>
  <si>
    <t>COICOP_-1.1</t>
  </si>
  <si>
    <t>COICOP_-1.2</t>
  </si>
  <si>
    <t>COICOP_-1.3</t>
  </si>
  <si>
    <t>COICOP_0.1</t>
  </si>
  <si>
    <t>COICOP_0.2</t>
  </si>
  <si>
    <t>COICOP_0.0</t>
  </si>
  <si>
    <t>COICOP_-1.0</t>
  </si>
  <si>
    <t>COICOP_12.0</t>
  </si>
  <si>
    <t>COICOP_13.0</t>
  </si>
  <si>
    <t>COICOP_12.2</t>
  </si>
  <si>
    <t>Insurance/financial</t>
  </si>
  <si>
    <t>Financial services</t>
  </si>
  <si>
    <t>Misc</t>
  </si>
  <si>
    <t>Not part of official COICOP. Regular transfers between accounts belonging to the same individual without specific reason (transactions marked for a specific purpose should be allocated to that purpose. E.g., if an internal transfer is identified as saving, it should go to 12.22). Omitted from analysis</t>
  </si>
  <si>
    <t>Not part of official COICOP.
For example alphanumeric identifiers and brands that cannot be recognised based on the available training data. 
Brands that are identifiable but sell many different product types should be classified as 13.1. Omitted from analysis</t>
  </si>
  <si>
    <t>Aligns with COICOP. Insurance premiums</t>
  </si>
  <si>
    <t>Category</t>
  </si>
  <si>
    <t>Note</t>
  </si>
  <si>
    <t>\cmark</t>
  </si>
  <si>
    <t>\tmark</t>
  </si>
  <si>
    <t xml:space="preserve">For example alphanumeric identifiers and brands that cannot be recognised based on the available training data. </t>
  </si>
  <si>
    <t>Aligns with COICOP?</t>
  </si>
  <si>
    <t>Included in analysis?</t>
  </si>
  <si>
    <t>Unidentified and unidentifiable transactions, as well as transactions that are neither net credit or debit to the individual</t>
  </si>
  <si>
    <t>Regular transfers between accounts belonging to the same individual</t>
  </si>
  <si>
    <t>Includes rent and mortgage payments.</t>
  </si>
  <si>
    <t>Includes car loan repayments</t>
  </si>
  <si>
    <t>Includes tuition fees and student loan repayments.</t>
  </si>
  <si>
    <t>It usually isn’t possible to identify which proportion of transfers to these brands will be taken as fees, and therefore would be considered as spending.</t>
  </si>
  <si>
    <t>Fees and interest. Does not include payments made with credit cards.</t>
  </si>
  <si>
    <t>Regular or ad-hoc transfers for the purpose of saving</t>
  </si>
  <si>
    <t>Outgoings that do not fit in other categories. Folded into 13.1.</t>
  </si>
  <si>
    <t>13.6 in COICOP</t>
  </si>
  <si>
    <t>09.4.7 in COICOP</t>
  </si>
  <si>
    <t>Extracted from 14 (which itself is extracted from 9)</t>
  </si>
  <si>
    <t xml:space="preserve">Extracted from 1 </t>
  </si>
  <si>
    <t>Brands that sell a wide variety of products and cannot reasonably be classified into a dominant product type. For example Amazon.</t>
  </si>
  <si>
    <t>Credit card fees,
interest and charges</t>
  </si>
  <si>
    <t>Cr. card fees &amp; int.</t>
  </si>
  <si>
    <t>Furnishings, household equipment and routine
household maintenance</t>
  </si>
  <si>
    <t>#3B4992</t>
  </si>
  <si>
    <t>#5F559B</t>
  </si>
  <si>
    <t>#631879</t>
  </si>
  <si>
    <t>#6A4DAE</t>
  </si>
  <si>
    <t>#2C3E8C</t>
  </si>
  <si>
    <t>#1F5AA6</t>
  </si>
  <si>
    <t>#1C7CB6</t>
  </si>
  <si>
    <t>#2A94B3</t>
  </si>
  <si>
    <t>#008280</t>
  </si>
  <si>
    <t>#176D6A</t>
  </si>
  <si>
    <t>#008B45</t>
  </si>
  <si>
    <t>#2E5E3E</t>
  </si>
  <si>
    <t>#A20056</t>
  </si>
  <si>
    <t>#7B2E83</t>
  </si>
  <si>
    <t>#8D2C5B</t>
  </si>
  <si>
    <t>#BB0021</t>
  </si>
  <si>
    <t>#8C1F28</t>
  </si>
  <si>
    <t>#EE0000</t>
  </si>
  <si>
    <t>#B36B00</t>
  </si>
  <si>
    <t>#808180</t>
  </si>
  <si>
    <t>#4A4F57</t>
  </si>
  <si>
    <t>#2A2E34</t>
  </si>
  <si>
    <t>#1B1919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</si>
</sst>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rgb="FF7F7F7F"/>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0" borderId="1" xfId="0" applyFont="1" applyBorder="1" applyAlignment="1">
      <alignment horizontal="center" vertical="top"/>
    </xf>
    <xf numFmtId="0" fontId="0" fillId="0" borderId="0" xfId="0" quotePrefix="1"/>
    <xf numFmtId="0" fontId="2" fillId="0" borderId="0" xfId="1"/>
    <xf numFmtId="0" fontId="1" fillId="0" borderId="1" xfId="0" applyFont="1" applyBorder="1" applyAlignment="1">
      <alignment horizontal="left" vertical="top"/>
    </xf>
    <xf numFmtId="0" fontId="2" fillId="0" borderId="0" xfId="1" applyAlignment="1">
      <alignment horizontal="left"/>
    </xf>
    <xf numFmtId="0" fontId="0" fillId="0" borderId="0" xfId="0" applyAlignment="1">
      <alignment horizontal="left"/>
    </xf>
    <xf numFmtId="0" fontId="2" fillId="0" borderId="0" xfId="1" applyAlignment="1">
      <alignment wrapText="1"/>
    </xf>
    <xf numFmtId="0" fontId="2" fillId="0" borderId="0" xfId="1" applyAlignment="1"/>
    <xf numFmtId="49" fontId="0" fillId="0" borderId="0" xfId="0" applyNumberFormat="1"/>
    <xf numFmtId="0" fontId="0" fillId="0" borderId="0" xfId="0" applyAlignment="1">
      <alignment wrapText="1"/>
    </xf>
  </cellXfs>
  <cellStyles count="2">
    <cellStyle name="Explanatory Text" xfId="1" builtinId="5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8</xdr:col>
      <xdr:colOff>386715</xdr:colOff>
      <xdr:row>0</xdr:row>
      <xdr:rowOff>0</xdr:rowOff>
    </xdr:from>
    <xdr:to>
      <xdr:col>12</xdr:col>
      <xdr:colOff>146685</xdr:colOff>
      <xdr:row>7</xdr:row>
      <xdr:rowOff>108585</xdr:rowOff>
    </xdr:to>
    <xdr:sp macro="" textlink="">
      <xdr:nvSpPr>
        <xdr:cNvPr id="2" name="Rectangle 1">
          <a:extLst>
            <a:ext uri="{FF2B5EF4-FFF2-40B4-BE49-F238E27FC236}">
              <a16:creationId xmlns:a16="http://schemas.microsoft.com/office/drawing/2014/main" id="{3126D2AB-C113-4FE7-CD3A-1D6C07CD7AF5}"/>
            </a:ext>
          </a:extLst>
        </xdr:cNvPr>
        <xdr:cNvSpPr/>
      </xdr:nvSpPr>
      <xdr:spPr>
        <a:xfrm>
          <a:off x="16777335" y="0"/>
          <a:ext cx="2350770" cy="13887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Full</a:t>
          </a:r>
          <a:r>
            <a:rPr lang="en-GB" sz="1100" baseline="0"/>
            <a:t> classification definition here: C:\Users\smurphy\OneDrive - Gambling Commission\YouGov Finance\Transaction Classification\Generative AI\ChatGPT_run_info_from_WBS_machine\Classification definition.xlsx</a:t>
          </a:r>
          <a:endParaRPr lang="en-GB" sz="1100"/>
        </a:p>
      </xdr:txBody>
    </xdr:sp>
    <xdr:clientData/>
  </xdr:twoCellAnchor>
  <xdr:twoCellAnchor>
    <xdr:from>
      <xdr:col>8</xdr:col>
      <xdr:colOff>380047</xdr:colOff>
      <xdr:row>7</xdr:row>
      <xdr:rowOff>206692</xdr:rowOff>
    </xdr:from>
    <xdr:to>
      <xdr:col>12</xdr:col>
      <xdr:colOff>137159</xdr:colOff>
      <xdr:row>9</xdr:row>
      <xdr:rowOff>92392</xdr:rowOff>
    </xdr:to>
    <xdr:sp macro="" textlink="">
      <xdr:nvSpPr>
        <xdr:cNvPr id="3" name="Rectangle 2">
          <a:extLst>
            <a:ext uri="{FF2B5EF4-FFF2-40B4-BE49-F238E27FC236}">
              <a16:creationId xmlns:a16="http://schemas.microsoft.com/office/drawing/2014/main" id="{7C82CC42-ED24-4F04-AD75-3C6E72DD9591}"/>
            </a:ext>
          </a:extLst>
        </xdr:cNvPr>
        <xdr:cNvSpPr/>
      </xdr:nvSpPr>
      <xdr:spPr>
        <a:xfrm>
          <a:off x="8586787" y="1486852"/>
          <a:ext cx="2347912" cy="975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aseline="0"/>
            <a:t>All codes between 1 and 12.2 inclusive align with official COICOP.</a:t>
          </a:r>
        </a:p>
        <a:p>
          <a:pPr algn="l"/>
          <a:endParaRPr lang="en-GB" sz="1100" baseline="0"/>
        </a:p>
        <a:p>
          <a:pPr algn="l"/>
          <a:r>
            <a:rPr lang="en-GB" sz="1100" baseline="0"/>
            <a:t>Exception: COICOP 09.4.7 extracted to codes 14 and 15</a:t>
          </a:r>
        </a:p>
        <a:p>
          <a:pPr algn="l"/>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390525</xdr:colOff>
      <xdr:row>1</xdr:row>
      <xdr:rowOff>128588</xdr:rowOff>
    </xdr:from>
    <xdr:to>
      <xdr:col>16</xdr:col>
      <xdr:colOff>142875</xdr:colOff>
      <xdr:row>2</xdr:row>
      <xdr:rowOff>166688</xdr:rowOff>
    </xdr:to>
    <xdr:sp macro="" textlink="">
      <xdr:nvSpPr>
        <xdr:cNvPr id="2" name="Rectangle 1">
          <a:extLst>
            <a:ext uri="{FF2B5EF4-FFF2-40B4-BE49-F238E27FC236}">
              <a16:creationId xmlns:a16="http://schemas.microsoft.com/office/drawing/2014/main" id="{7EC5801B-0FF0-4AA3-95EE-E1F7877DFC7A}"/>
            </a:ext>
          </a:extLst>
        </xdr:cNvPr>
        <xdr:cNvSpPr/>
      </xdr:nvSpPr>
      <xdr:spPr>
        <a:xfrm>
          <a:off x="9991725" y="309563"/>
          <a:ext cx="2343150" cy="2190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Full</a:t>
          </a:r>
          <a:r>
            <a:rPr lang="en-GB" sz="1100" baseline="0"/>
            <a:t> classification definition here: C:\Users\smurphy\OneDrive - Gambling Commission\YouGov Finance\Transaction Classification\Generative AI\ChatGPT_run_info_from_WBS_machine\Classification definition.xlsx</a:t>
          </a:r>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9" workbookViewId="0">
      <selection activeCell="G16" sqref="G16"/>
    </sheetView>
  </sheetViews>
  <sheetFormatPr defaultRowHeight="14.25" x14ac:dyDescent="0.45"/>
  <cols>
    <col min="2" max="2" width="13.6640625" customWidth="1"/>
    <col min="3" max="3" width="19.33203125" customWidth="1"/>
    <col min="4" max="4" width="12.59765625" bestFit="1" customWidth="1"/>
    <col min="5" max="5" width="57.86328125" bestFit="1" customWidth="1"/>
    <col min="6" max="6" width="23.265625" bestFit="1" customWidth="1"/>
    <col min="7" max="7" width="15.3984375" bestFit="1" customWidth="1"/>
    <col min="8" max="8" width="15.53125" style="6" bestFit="1" customWidth="1"/>
  </cols>
  <sheetData>
    <row r="1" spans="1:9" x14ac:dyDescent="0.45">
      <c r="A1" s="1" t="s">
        <v>0</v>
      </c>
      <c r="B1" s="1" t="s">
        <v>1</v>
      </c>
      <c r="C1" s="1" t="s">
        <v>2</v>
      </c>
      <c r="D1" s="1" t="s">
        <v>3</v>
      </c>
      <c r="E1" s="1" t="s">
        <v>4</v>
      </c>
      <c r="F1" s="1" t="s">
        <v>5</v>
      </c>
      <c r="G1" s="1" t="s">
        <v>6</v>
      </c>
      <c r="H1" s="4" t="s">
        <v>99</v>
      </c>
    </row>
    <row r="2" spans="1:9" s="3" customFormat="1" x14ac:dyDescent="0.45">
      <c r="A2" s="3">
        <v>-1</v>
      </c>
      <c r="B2" s="3" t="s">
        <v>87</v>
      </c>
      <c r="C2" s="3" t="s">
        <v>100</v>
      </c>
      <c r="D2" s="3" t="s">
        <v>114</v>
      </c>
      <c r="E2" s="3" t="s">
        <v>87</v>
      </c>
      <c r="F2" s="3" t="s">
        <v>87</v>
      </c>
      <c r="H2" s="5" t="s">
        <v>98</v>
      </c>
      <c r="I2"/>
    </row>
    <row r="3" spans="1:9" s="3" customFormat="1" x14ac:dyDescent="0.45">
      <c r="A3" s="3">
        <v>-1.1000000000000001</v>
      </c>
      <c r="B3" s="3" t="s">
        <v>88</v>
      </c>
      <c r="C3" s="3" t="s">
        <v>100</v>
      </c>
      <c r="D3" s="3" t="s">
        <v>108</v>
      </c>
      <c r="E3" s="3" t="s">
        <v>88</v>
      </c>
      <c r="F3" s="3" t="s">
        <v>104</v>
      </c>
      <c r="H3" s="5">
        <v>-1</v>
      </c>
      <c r="I3"/>
    </row>
    <row r="4" spans="1:9" s="3" customFormat="1" x14ac:dyDescent="0.45">
      <c r="A4" s="3">
        <v>-1.2</v>
      </c>
      <c r="B4" s="3" t="s">
        <v>89</v>
      </c>
      <c r="C4" s="3" t="s">
        <v>100</v>
      </c>
      <c r="D4" s="3" t="s">
        <v>109</v>
      </c>
      <c r="E4" s="3" t="s">
        <v>89</v>
      </c>
      <c r="F4" s="3" t="s">
        <v>105</v>
      </c>
      <c r="H4" s="5">
        <v>-1</v>
      </c>
      <c r="I4"/>
    </row>
    <row r="5" spans="1:9" s="3" customFormat="1" x14ac:dyDescent="0.45">
      <c r="A5" s="3">
        <v>-1.3</v>
      </c>
      <c r="B5" s="3" t="s">
        <v>90</v>
      </c>
      <c r="C5" s="3" t="s">
        <v>100</v>
      </c>
      <c r="D5" s="3" t="s">
        <v>110</v>
      </c>
      <c r="E5" s="3" t="s">
        <v>90</v>
      </c>
      <c r="F5" s="3" t="s">
        <v>106</v>
      </c>
      <c r="H5" s="5">
        <v>-1</v>
      </c>
      <c r="I5"/>
    </row>
    <row r="6" spans="1:9" s="3" customFormat="1" x14ac:dyDescent="0.45">
      <c r="A6" s="3">
        <v>0</v>
      </c>
      <c r="B6" s="3" t="s">
        <v>91</v>
      </c>
      <c r="C6" s="3" t="s">
        <v>101</v>
      </c>
      <c r="D6" s="3" t="s">
        <v>113</v>
      </c>
      <c r="E6" s="3" t="s">
        <v>91</v>
      </c>
      <c r="F6" s="3" t="s">
        <v>91</v>
      </c>
      <c r="H6" s="5" t="s">
        <v>98</v>
      </c>
      <c r="I6"/>
    </row>
    <row r="7" spans="1:9" s="3" customFormat="1" x14ac:dyDescent="0.45">
      <c r="A7" s="3">
        <v>0.1</v>
      </c>
      <c r="B7" s="3" t="s">
        <v>92</v>
      </c>
      <c r="C7" s="3" t="s">
        <v>121</v>
      </c>
      <c r="D7" s="3" t="s">
        <v>111</v>
      </c>
      <c r="E7" s="3" t="s">
        <v>92</v>
      </c>
      <c r="F7" s="3" t="s">
        <v>92</v>
      </c>
      <c r="H7" s="5">
        <v>0</v>
      </c>
      <c r="I7"/>
    </row>
    <row r="8" spans="1:9" s="3" customFormat="1" ht="242.25" x14ac:dyDescent="0.45">
      <c r="A8" s="3">
        <v>0.2</v>
      </c>
      <c r="B8" s="3" t="s">
        <v>93</v>
      </c>
      <c r="C8" s="7" t="s">
        <v>122</v>
      </c>
      <c r="D8" s="3" t="s">
        <v>112</v>
      </c>
      <c r="E8" s="3" t="s">
        <v>93</v>
      </c>
      <c r="F8" s="3" t="s">
        <v>107</v>
      </c>
      <c r="H8" s="5">
        <v>0</v>
      </c>
      <c r="I8"/>
    </row>
    <row r="9" spans="1:9" x14ac:dyDescent="0.45">
      <c r="A9">
        <v>1</v>
      </c>
      <c r="B9" t="s">
        <v>7</v>
      </c>
      <c r="C9" t="s">
        <v>73</v>
      </c>
      <c r="D9" t="s">
        <v>29</v>
      </c>
      <c r="E9" t="s">
        <v>47</v>
      </c>
      <c r="F9" t="s">
        <v>51</v>
      </c>
      <c r="G9" t="s">
        <v>148</v>
      </c>
      <c r="H9" s="6">
        <v>1</v>
      </c>
    </row>
    <row r="10" spans="1:9" x14ac:dyDescent="0.45">
      <c r="A10">
        <v>2</v>
      </c>
      <c r="B10" t="s">
        <v>8</v>
      </c>
      <c r="C10" t="s">
        <v>73</v>
      </c>
      <c r="D10" t="s">
        <v>30</v>
      </c>
      <c r="E10" t="s">
        <v>48</v>
      </c>
      <c r="F10" t="s">
        <v>52</v>
      </c>
      <c r="G10" t="s">
        <v>149</v>
      </c>
      <c r="H10" s="6">
        <v>2</v>
      </c>
    </row>
    <row r="11" spans="1:9" x14ac:dyDescent="0.45">
      <c r="A11">
        <v>3</v>
      </c>
      <c r="B11" t="s">
        <v>9</v>
      </c>
      <c r="C11" t="s">
        <v>73</v>
      </c>
      <c r="D11" t="s">
        <v>31</v>
      </c>
      <c r="E11" t="s">
        <v>9</v>
      </c>
      <c r="F11" t="s">
        <v>53</v>
      </c>
      <c r="G11" t="s">
        <v>150</v>
      </c>
      <c r="H11" s="6">
        <v>3</v>
      </c>
    </row>
    <row r="12" spans="1:9" x14ac:dyDescent="0.45">
      <c r="A12">
        <v>4</v>
      </c>
      <c r="B12" t="s">
        <v>10</v>
      </c>
      <c r="C12" t="s">
        <v>74</v>
      </c>
      <c r="D12" t="s">
        <v>32</v>
      </c>
      <c r="E12" t="s">
        <v>49</v>
      </c>
      <c r="F12" t="s">
        <v>61</v>
      </c>
      <c r="G12" t="s">
        <v>158</v>
      </c>
      <c r="H12" s="6">
        <v>4</v>
      </c>
    </row>
    <row r="13" spans="1:9" ht="28.5" x14ac:dyDescent="0.45">
      <c r="A13">
        <v>5</v>
      </c>
      <c r="B13" t="s">
        <v>11</v>
      </c>
      <c r="C13" t="s">
        <v>73</v>
      </c>
      <c r="D13" t="s">
        <v>33</v>
      </c>
      <c r="E13" s="10" t="s">
        <v>147</v>
      </c>
      <c r="F13" t="s">
        <v>54</v>
      </c>
      <c r="G13" t="s">
        <v>152</v>
      </c>
      <c r="H13" s="6">
        <v>5</v>
      </c>
    </row>
    <row r="14" spans="1:9" x14ac:dyDescent="0.45">
      <c r="A14">
        <v>6</v>
      </c>
      <c r="B14" t="s">
        <v>12</v>
      </c>
      <c r="C14" t="s">
        <v>73</v>
      </c>
      <c r="D14" t="s">
        <v>34</v>
      </c>
      <c r="E14" t="s">
        <v>12</v>
      </c>
      <c r="F14" t="s">
        <v>12</v>
      </c>
      <c r="G14" t="s">
        <v>153</v>
      </c>
      <c r="H14" s="6">
        <v>6</v>
      </c>
    </row>
    <row r="15" spans="1:9" x14ac:dyDescent="0.45">
      <c r="A15">
        <v>7</v>
      </c>
      <c r="B15" t="s">
        <v>13</v>
      </c>
      <c r="C15" t="s">
        <v>75</v>
      </c>
      <c r="D15" t="s">
        <v>35</v>
      </c>
      <c r="E15" t="s">
        <v>13</v>
      </c>
      <c r="F15" t="s">
        <v>13</v>
      </c>
      <c r="G15" t="s">
        <v>154</v>
      </c>
      <c r="H15" s="6">
        <v>7</v>
      </c>
    </row>
    <row r="16" spans="1:9" x14ac:dyDescent="0.45">
      <c r="A16">
        <v>8</v>
      </c>
      <c r="B16" t="s">
        <v>14</v>
      </c>
      <c r="C16" t="s">
        <v>73</v>
      </c>
      <c r="D16" t="s">
        <v>36</v>
      </c>
      <c r="E16" t="s">
        <v>14</v>
      </c>
      <c r="F16" t="s">
        <v>55</v>
      </c>
      <c r="G16" t="s">
        <v>151</v>
      </c>
      <c r="H16" s="6">
        <v>8</v>
      </c>
    </row>
    <row r="17" spans="1:9" x14ac:dyDescent="0.45">
      <c r="A17">
        <v>9</v>
      </c>
      <c r="B17" t="s">
        <v>15</v>
      </c>
      <c r="C17" t="s">
        <v>76</v>
      </c>
      <c r="D17" t="s">
        <v>37</v>
      </c>
      <c r="E17" t="s">
        <v>15</v>
      </c>
      <c r="F17" t="s">
        <v>56</v>
      </c>
      <c r="G17" t="s">
        <v>156</v>
      </c>
      <c r="H17" s="6">
        <v>9</v>
      </c>
    </row>
    <row r="18" spans="1:9" x14ac:dyDescent="0.45">
      <c r="A18">
        <v>10</v>
      </c>
      <c r="B18" t="s">
        <v>16</v>
      </c>
      <c r="C18" t="s">
        <v>77</v>
      </c>
      <c r="D18" t="s">
        <v>38</v>
      </c>
      <c r="E18" t="s">
        <v>16</v>
      </c>
      <c r="F18" t="s">
        <v>57</v>
      </c>
      <c r="G18" t="s">
        <v>157</v>
      </c>
      <c r="H18" s="6">
        <v>10</v>
      </c>
    </row>
    <row r="19" spans="1:9" x14ac:dyDescent="0.45">
      <c r="A19">
        <v>11</v>
      </c>
      <c r="B19" t="s">
        <v>17</v>
      </c>
      <c r="C19" t="s">
        <v>73</v>
      </c>
      <c r="D19" t="s">
        <v>39</v>
      </c>
      <c r="E19" t="s">
        <v>50</v>
      </c>
      <c r="F19" t="s">
        <v>58</v>
      </c>
      <c r="G19" t="s">
        <v>155</v>
      </c>
      <c r="H19" s="6">
        <v>11</v>
      </c>
    </row>
    <row r="20" spans="1:9" s="3" customFormat="1" x14ac:dyDescent="0.45">
      <c r="A20" s="3">
        <v>12</v>
      </c>
      <c r="B20" s="3" t="s">
        <v>94</v>
      </c>
      <c r="C20" s="3" t="s">
        <v>95</v>
      </c>
      <c r="D20" s="3" t="s">
        <v>115</v>
      </c>
      <c r="E20" s="3" t="s">
        <v>94</v>
      </c>
      <c r="F20" s="3" t="s">
        <v>118</v>
      </c>
      <c r="H20" s="5" t="s">
        <v>98</v>
      </c>
      <c r="I20"/>
    </row>
    <row r="21" spans="1:9" x14ac:dyDescent="0.45">
      <c r="A21">
        <v>12.1</v>
      </c>
      <c r="B21" t="s">
        <v>18</v>
      </c>
      <c r="C21" t="s">
        <v>123</v>
      </c>
      <c r="D21" t="s">
        <v>40</v>
      </c>
      <c r="E21" t="s">
        <v>18</v>
      </c>
      <c r="F21" t="s">
        <v>18</v>
      </c>
      <c r="G21" t="s">
        <v>162</v>
      </c>
      <c r="H21" s="6">
        <v>12.1</v>
      </c>
    </row>
    <row r="22" spans="1:9" s="3" customFormat="1" x14ac:dyDescent="0.45">
      <c r="A22" s="3">
        <v>12.2</v>
      </c>
      <c r="B22" s="3" t="s">
        <v>96</v>
      </c>
      <c r="C22" s="3" t="s">
        <v>97</v>
      </c>
      <c r="D22" s="3" t="s">
        <v>117</v>
      </c>
      <c r="E22" s="3" t="s">
        <v>96</v>
      </c>
      <c r="F22" s="3" t="s">
        <v>119</v>
      </c>
      <c r="H22" s="5" t="s">
        <v>98</v>
      </c>
      <c r="I22"/>
    </row>
    <row r="23" spans="1:9" ht="42.75" x14ac:dyDescent="0.45">
      <c r="A23">
        <v>12.21</v>
      </c>
      <c r="B23" s="10" t="s">
        <v>145</v>
      </c>
      <c r="C23" t="s">
        <v>78</v>
      </c>
      <c r="D23" t="s">
        <v>41</v>
      </c>
      <c r="E23" s="10" t="s">
        <v>145</v>
      </c>
      <c r="F23" t="s">
        <v>146</v>
      </c>
      <c r="G23" t="s">
        <v>160</v>
      </c>
      <c r="H23" s="6">
        <v>12.21</v>
      </c>
    </row>
    <row r="24" spans="1:9" x14ac:dyDescent="0.45">
      <c r="A24">
        <v>12.22</v>
      </c>
      <c r="B24" t="s">
        <v>20</v>
      </c>
      <c r="C24" t="s">
        <v>80</v>
      </c>
      <c r="D24" t="s">
        <v>42</v>
      </c>
      <c r="E24" t="s">
        <v>20</v>
      </c>
      <c r="F24" t="s">
        <v>20</v>
      </c>
      <c r="G24" t="s">
        <v>161</v>
      </c>
      <c r="H24" s="6">
        <v>12.22</v>
      </c>
    </row>
    <row r="25" spans="1:9" x14ac:dyDescent="0.45">
      <c r="A25">
        <v>12.23</v>
      </c>
      <c r="B25" t="s">
        <v>21</v>
      </c>
      <c r="C25" t="s">
        <v>81</v>
      </c>
      <c r="D25" t="s">
        <v>43</v>
      </c>
      <c r="E25" t="s">
        <v>21</v>
      </c>
      <c r="F25" t="s">
        <v>21</v>
      </c>
      <c r="G25" t="s">
        <v>159</v>
      </c>
      <c r="H25" s="6">
        <v>12.23</v>
      </c>
    </row>
    <row r="26" spans="1:9" x14ac:dyDescent="0.45">
      <c r="A26">
        <v>12.24</v>
      </c>
      <c r="B26" t="s">
        <v>22</v>
      </c>
      <c r="C26" t="s">
        <v>79</v>
      </c>
      <c r="D26" t="s">
        <v>44</v>
      </c>
      <c r="E26" t="s">
        <v>22</v>
      </c>
      <c r="F26" t="s">
        <v>22</v>
      </c>
      <c r="G26" t="s">
        <v>163</v>
      </c>
      <c r="H26" s="6">
        <v>12.24</v>
      </c>
    </row>
    <row r="27" spans="1:9" x14ac:dyDescent="0.45">
      <c r="A27">
        <v>12.25</v>
      </c>
      <c r="B27" t="s">
        <v>82</v>
      </c>
      <c r="C27" t="s">
        <v>85</v>
      </c>
      <c r="D27" t="s">
        <v>83</v>
      </c>
      <c r="E27" t="s">
        <v>82</v>
      </c>
      <c r="F27" t="s">
        <v>84</v>
      </c>
      <c r="G27" t="s">
        <v>165</v>
      </c>
      <c r="H27" s="6">
        <v>12.25</v>
      </c>
    </row>
    <row r="28" spans="1:9" s="3" customFormat="1" x14ac:dyDescent="0.45">
      <c r="A28" s="3">
        <v>13</v>
      </c>
      <c r="B28" s="3" t="s">
        <v>103</v>
      </c>
      <c r="C28" s="3" t="s">
        <v>102</v>
      </c>
      <c r="D28" s="3" t="s">
        <v>116</v>
      </c>
      <c r="E28" s="3" t="s">
        <v>103</v>
      </c>
      <c r="F28" s="3" t="s">
        <v>120</v>
      </c>
      <c r="H28" s="5">
        <v>13.1</v>
      </c>
    </row>
    <row r="29" spans="1:9" x14ac:dyDescent="0.45">
      <c r="A29">
        <v>13.1</v>
      </c>
      <c r="B29" t="s">
        <v>62</v>
      </c>
      <c r="C29" t="s">
        <v>65</v>
      </c>
      <c r="D29" t="s">
        <v>70</v>
      </c>
      <c r="E29" t="s">
        <v>68</v>
      </c>
      <c r="F29" t="s">
        <v>68</v>
      </c>
      <c r="G29" t="s">
        <v>168</v>
      </c>
      <c r="H29" s="6">
        <v>13.1</v>
      </c>
    </row>
    <row r="30" spans="1:9" x14ac:dyDescent="0.45">
      <c r="A30">
        <v>13.2</v>
      </c>
      <c r="B30" t="s">
        <v>63</v>
      </c>
      <c r="C30" t="s">
        <v>66</v>
      </c>
      <c r="D30" t="s">
        <v>71</v>
      </c>
      <c r="E30" t="s">
        <v>63</v>
      </c>
      <c r="F30" t="s">
        <v>63</v>
      </c>
      <c r="G30" t="s">
        <v>166</v>
      </c>
      <c r="H30" s="6">
        <v>13.2</v>
      </c>
    </row>
    <row r="31" spans="1:9" x14ac:dyDescent="0.45">
      <c r="A31">
        <v>13.3</v>
      </c>
      <c r="B31" t="s">
        <v>64</v>
      </c>
      <c r="C31" t="s">
        <v>67</v>
      </c>
      <c r="D31" t="s">
        <v>72</v>
      </c>
      <c r="E31" t="s">
        <v>69</v>
      </c>
      <c r="F31" t="s">
        <v>69</v>
      </c>
      <c r="G31" t="s">
        <v>167</v>
      </c>
      <c r="H31" s="6">
        <v>13.3</v>
      </c>
    </row>
    <row r="32" spans="1:9" x14ac:dyDescent="0.45">
      <c r="A32">
        <v>14</v>
      </c>
      <c r="B32" t="s">
        <v>23</v>
      </c>
      <c r="C32" t="s">
        <v>26</v>
      </c>
      <c r="D32" t="s">
        <v>45</v>
      </c>
      <c r="E32" t="s">
        <v>23</v>
      </c>
      <c r="F32" t="s">
        <v>23</v>
      </c>
      <c r="G32" t="s">
        <v>164</v>
      </c>
      <c r="H32" s="6">
        <v>14</v>
      </c>
    </row>
    <row r="33" spans="1:8" x14ac:dyDescent="0.45">
      <c r="A33">
        <v>15</v>
      </c>
      <c r="B33" t="s">
        <v>24</v>
      </c>
      <c r="C33" t="s">
        <v>27</v>
      </c>
      <c r="D33" t="s">
        <v>46</v>
      </c>
      <c r="E33" t="s">
        <v>24</v>
      </c>
      <c r="F33" t="s">
        <v>24</v>
      </c>
      <c r="G33" t="s">
        <v>169</v>
      </c>
      <c r="H33" s="6">
        <v>15</v>
      </c>
    </row>
    <row r="34" spans="1:8" x14ac:dyDescent="0.45">
      <c r="A34">
        <v>16</v>
      </c>
      <c r="B34" t="s">
        <v>25</v>
      </c>
      <c r="C34" t="s">
        <v>28</v>
      </c>
      <c r="D34" t="s">
        <v>60</v>
      </c>
      <c r="E34" t="s">
        <v>25</v>
      </c>
      <c r="F34" t="s">
        <v>59</v>
      </c>
      <c r="G34" t="s">
        <v>170</v>
      </c>
      <c r="H34" s="6">
        <v>16</v>
      </c>
    </row>
    <row r="39" spans="1:8" x14ac:dyDescent="0.45">
      <c r="B39" s="2"/>
    </row>
  </sheetData>
  <autoFilter ref="A1:H34" xr:uid="{00000000-0001-0000-0000-000000000000}"/>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632CB-529E-4310-A2EE-0E2EC4FEE184}">
  <dimension ref="A1:F34"/>
  <sheetViews>
    <sheetView topLeftCell="A5" zoomScaleNormal="100" workbookViewId="0">
      <selection activeCell="F2" sqref="F2:F34"/>
    </sheetView>
  </sheetViews>
  <sheetFormatPr defaultRowHeight="14.25" x14ac:dyDescent="0.45"/>
  <cols>
    <col min="2" max="2" width="61.53125" customWidth="1"/>
    <col min="3" max="4" width="23.1328125" customWidth="1"/>
    <col min="5" max="5" width="22.59765625" bestFit="1" customWidth="1"/>
    <col min="6" max="6" width="9.06640625" style="9"/>
  </cols>
  <sheetData>
    <row r="1" spans="1:6" x14ac:dyDescent="0.45">
      <c r="A1" s="1" t="s">
        <v>124</v>
      </c>
      <c r="B1" s="1" t="s">
        <v>86</v>
      </c>
      <c r="C1" s="1" t="s">
        <v>125</v>
      </c>
      <c r="D1" s="1" t="s">
        <v>129</v>
      </c>
      <c r="E1" s="1" t="s">
        <v>130</v>
      </c>
      <c r="F1" s="9" t="str">
        <f>A1 &amp; "  &amp;   " &amp; B1 &amp; "  &amp;   " &amp; C1 &amp; "  &amp;   " &amp; D1 &amp; "  &amp;   " &amp; E1 &amp; "  \\"</f>
        <v>Category  &amp;   Label  &amp;   Note  &amp;   Aligns with COICOP?  &amp;   Included in analysis?  \\</v>
      </c>
    </row>
    <row r="2" spans="1:6" x14ac:dyDescent="0.45">
      <c r="A2" s="3">
        <v>-1</v>
      </c>
      <c r="B2" s="3" t="s">
        <v>87</v>
      </c>
      <c r="C2" s="3"/>
      <c r="D2" s="3" t="s">
        <v>126</v>
      </c>
      <c r="E2" s="5" t="s">
        <v>126</v>
      </c>
      <c r="F2" s="9" t="str">
        <f t="shared" ref="F2:F34" si="0">A2 &amp; "  &amp;   " &amp; B2 &amp; "  &amp;   " &amp; C2 &amp; "  &amp;   " &amp; D2 &amp; "  &amp;   " &amp; E2 &amp; "  \\"</f>
        <v>-1  &amp;   Income  &amp;     &amp;   \cmark  &amp;   \cmark  \\</v>
      </c>
    </row>
    <row r="3" spans="1:6" x14ac:dyDescent="0.45">
      <c r="A3" s="3">
        <v>-1.1000000000000001</v>
      </c>
      <c r="B3" s="3" t="s">
        <v>88</v>
      </c>
      <c r="C3" s="3"/>
      <c r="D3" s="3" t="s">
        <v>126</v>
      </c>
      <c r="E3" s="5" t="s">
        <v>126</v>
      </c>
      <c r="F3" s="9" t="str">
        <f t="shared" si="0"/>
        <v>-1.1  &amp;   Wages and salaries  &amp;     &amp;   \cmark  &amp;   \cmark  \\</v>
      </c>
    </row>
    <row r="4" spans="1:6" x14ac:dyDescent="0.45">
      <c r="A4" s="3">
        <v>-1.2</v>
      </c>
      <c r="B4" s="3" t="s">
        <v>89</v>
      </c>
      <c r="C4" s="3"/>
      <c r="D4" s="3" t="s">
        <v>126</v>
      </c>
      <c r="E4" s="5" t="s">
        <v>126</v>
      </c>
      <c r="F4" s="9" t="str">
        <f t="shared" si="0"/>
        <v>-1.2  &amp;   Entitlements/ benefit payments received from government  &amp;     &amp;   \cmark  &amp;   \cmark  \\</v>
      </c>
    </row>
    <row r="5" spans="1:6" x14ac:dyDescent="0.45">
      <c r="A5" s="3">
        <v>-1.3</v>
      </c>
      <c r="B5" s="3" t="s">
        <v>90</v>
      </c>
      <c r="C5" s="3"/>
      <c r="D5" s="3" t="s">
        <v>126</v>
      </c>
      <c r="E5" s="5" t="s">
        <v>126</v>
      </c>
      <c r="F5" s="9" t="str">
        <f t="shared" si="0"/>
        <v>-1.3  &amp;   Charitible payments received  &amp;     &amp;   \cmark  &amp;   \cmark  \\</v>
      </c>
    </row>
    <row r="6" spans="1:6" x14ac:dyDescent="0.45">
      <c r="A6" s="3">
        <v>0</v>
      </c>
      <c r="B6" s="3" t="s">
        <v>91</v>
      </c>
      <c r="C6" s="3" t="s">
        <v>131</v>
      </c>
      <c r="D6" s="3" t="s">
        <v>126</v>
      </c>
      <c r="E6" s="5" t="s">
        <v>126</v>
      </c>
      <c r="F6" s="9" t="str">
        <f t="shared" si="0"/>
        <v>0  &amp;   Unclassified  &amp;   Unidentified and unidentifiable transactions, as well as transactions that are neither net credit or debit to the individual  &amp;   \cmark  &amp;   \cmark  \\</v>
      </c>
    </row>
    <row r="7" spans="1:6" x14ac:dyDescent="0.45">
      <c r="A7" s="3">
        <v>0.1</v>
      </c>
      <c r="B7" s="3" t="s">
        <v>92</v>
      </c>
      <c r="C7" s="3" t="s">
        <v>132</v>
      </c>
      <c r="D7" s="3" t="s">
        <v>126</v>
      </c>
      <c r="E7" s="5" t="s">
        <v>126</v>
      </c>
      <c r="F7" s="9" t="str">
        <f t="shared" si="0"/>
        <v>0.1  &amp;   Internal transfers  &amp;   Regular transfers between accounts belonging to the same individual  &amp;   \cmark  &amp;   \cmark  \\</v>
      </c>
    </row>
    <row r="8" spans="1:6" x14ac:dyDescent="0.45">
      <c r="A8" s="3">
        <v>0.2</v>
      </c>
      <c r="B8" s="3" t="s">
        <v>93</v>
      </c>
      <c r="C8" s="8" t="s">
        <v>128</v>
      </c>
      <c r="D8" s="8" t="s">
        <v>126</v>
      </c>
      <c r="E8" s="5" t="s">
        <v>126</v>
      </c>
      <c r="F8" s="9" t="str">
        <f t="shared" si="0"/>
        <v>0.2  &amp;   No brand or unrecognised brands  &amp;   For example alphanumeric identifiers and brands that cannot be recognised based on the available training data.   &amp;   \cmark  &amp;   \cmark  \\</v>
      </c>
    </row>
    <row r="9" spans="1:6" x14ac:dyDescent="0.45">
      <c r="A9">
        <v>1</v>
      </c>
      <c r="B9" t="s">
        <v>7</v>
      </c>
      <c r="D9" t="s">
        <v>127</v>
      </c>
      <c r="E9" s="6" t="s">
        <v>127</v>
      </c>
      <c r="F9" s="9" t="str">
        <f t="shared" si="0"/>
        <v>1  &amp;   Food and non-alcoholic beverages  &amp;     &amp;   \tmark  &amp;   \tmark  \\</v>
      </c>
    </row>
    <row r="10" spans="1:6" x14ac:dyDescent="0.45">
      <c r="A10">
        <v>2</v>
      </c>
      <c r="B10" t="s">
        <v>8</v>
      </c>
      <c r="D10" t="s">
        <v>127</v>
      </c>
      <c r="E10" s="6" t="s">
        <v>127</v>
      </c>
      <c r="F10" s="9" t="str">
        <f t="shared" si="0"/>
        <v>2  &amp;   Alcoholic beverages, tobacco and narcotics  &amp;     &amp;   \tmark  &amp;   \tmark  \\</v>
      </c>
    </row>
    <row r="11" spans="1:6" x14ac:dyDescent="0.45">
      <c r="A11">
        <v>3</v>
      </c>
      <c r="B11" t="s">
        <v>9</v>
      </c>
      <c r="D11" t="s">
        <v>127</v>
      </c>
      <c r="E11" s="6" t="s">
        <v>127</v>
      </c>
      <c r="F11" s="9" t="str">
        <f t="shared" si="0"/>
        <v>3  &amp;   Clothing and footwear  &amp;     &amp;   \tmark  &amp;   \tmark  \\</v>
      </c>
    </row>
    <row r="12" spans="1:6" x14ac:dyDescent="0.45">
      <c r="A12">
        <v>4</v>
      </c>
      <c r="B12" t="s">
        <v>10</v>
      </c>
      <c r="C12" t="s">
        <v>133</v>
      </c>
      <c r="D12" t="s">
        <v>127</v>
      </c>
      <c r="E12" s="6" t="s">
        <v>127</v>
      </c>
      <c r="F12" s="9" t="str">
        <f t="shared" si="0"/>
        <v>4  &amp;   Housing, water, electricity, gas and other fuels  &amp;   Includes rent and mortgage payments.  &amp;   \tmark  &amp;   \tmark  \\</v>
      </c>
    </row>
    <row r="13" spans="1:6" x14ac:dyDescent="0.45">
      <c r="A13">
        <v>5</v>
      </c>
      <c r="B13" t="s">
        <v>11</v>
      </c>
      <c r="D13" t="s">
        <v>127</v>
      </c>
      <c r="E13" s="6" t="s">
        <v>127</v>
      </c>
      <c r="F13" s="9" t="str">
        <f t="shared" si="0"/>
        <v>5  &amp;   Furnishings, household equipment and routine household maintenance  &amp;     &amp;   \tmark  &amp;   \tmark  \\</v>
      </c>
    </row>
    <row r="14" spans="1:6" x14ac:dyDescent="0.45">
      <c r="A14">
        <v>6</v>
      </c>
      <c r="B14" t="s">
        <v>12</v>
      </c>
      <c r="D14" t="s">
        <v>127</v>
      </c>
      <c r="E14" s="6" t="s">
        <v>127</v>
      </c>
      <c r="F14" s="9" t="str">
        <f t="shared" si="0"/>
        <v>6  &amp;   Health  &amp;     &amp;   \tmark  &amp;   \tmark  \\</v>
      </c>
    </row>
    <row r="15" spans="1:6" x14ac:dyDescent="0.45">
      <c r="A15">
        <v>7</v>
      </c>
      <c r="B15" t="s">
        <v>13</v>
      </c>
      <c r="C15" t="s">
        <v>134</v>
      </c>
      <c r="D15" t="s">
        <v>127</v>
      </c>
      <c r="E15" s="6" t="s">
        <v>127</v>
      </c>
      <c r="F15" s="9" t="str">
        <f t="shared" si="0"/>
        <v>7  &amp;   Transport  &amp;   Includes car loan repayments  &amp;   \tmark  &amp;   \tmark  \\</v>
      </c>
    </row>
    <row r="16" spans="1:6" x14ac:dyDescent="0.45">
      <c r="A16">
        <v>8</v>
      </c>
      <c r="B16" t="s">
        <v>14</v>
      </c>
      <c r="D16" t="s">
        <v>127</v>
      </c>
      <c r="E16" s="6" t="s">
        <v>127</v>
      </c>
      <c r="F16" s="9" t="str">
        <f t="shared" si="0"/>
        <v>8  &amp;   Information and communication  &amp;     &amp;   \tmark  &amp;   \tmark  \\</v>
      </c>
    </row>
    <row r="17" spans="1:6" x14ac:dyDescent="0.45">
      <c r="A17">
        <v>9</v>
      </c>
      <c r="B17" t="s">
        <v>15</v>
      </c>
      <c r="C17" t="s">
        <v>76</v>
      </c>
      <c r="D17" t="s">
        <v>126</v>
      </c>
      <c r="E17" s="6" t="s">
        <v>127</v>
      </c>
      <c r="F17" s="9" t="str">
        <f t="shared" si="0"/>
        <v>9  &amp;   Recreation, sport and culture  &amp;   Aligns with COICOP, but with COICOP 09.4.7 (gambling) extracted  &amp;   \cmark  &amp;   \tmark  \\</v>
      </c>
    </row>
    <row r="18" spans="1:6" x14ac:dyDescent="0.45">
      <c r="A18">
        <v>10</v>
      </c>
      <c r="B18" t="s">
        <v>16</v>
      </c>
      <c r="C18" t="s">
        <v>135</v>
      </c>
      <c r="D18" t="s">
        <v>127</v>
      </c>
      <c r="E18" s="6" t="s">
        <v>127</v>
      </c>
      <c r="F18" s="9" t="str">
        <f t="shared" si="0"/>
        <v>10  &amp;   Education services  &amp;   Includes tuition fees and student loan repayments.  &amp;   \tmark  &amp;   \tmark  \\</v>
      </c>
    </row>
    <row r="19" spans="1:6" x14ac:dyDescent="0.45">
      <c r="A19">
        <v>11</v>
      </c>
      <c r="B19" t="s">
        <v>17</v>
      </c>
      <c r="D19" t="s">
        <v>127</v>
      </c>
      <c r="E19" s="6" t="s">
        <v>127</v>
      </c>
      <c r="F19" s="9" t="str">
        <f t="shared" si="0"/>
        <v>11  &amp;   Restaurants and accommodation services  &amp;     &amp;   \tmark  &amp;   \tmark  \\</v>
      </c>
    </row>
    <row r="20" spans="1:6" x14ac:dyDescent="0.45">
      <c r="A20" s="3">
        <v>12</v>
      </c>
      <c r="B20" s="3" t="s">
        <v>94</v>
      </c>
      <c r="C20" s="3" t="s">
        <v>136</v>
      </c>
      <c r="D20" s="3" t="s">
        <v>127</v>
      </c>
      <c r="E20" s="5" t="s">
        <v>126</v>
      </c>
      <c r="F20" s="9" t="str">
        <f t="shared" si="0"/>
        <v>12  &amp;   Insurance and financial services  &amp;   It usually isn’t possible to identify which proportion of transfers to these brands will be taken as fees, and therefore would be considered as spending.  &amp;   \tmark  &amp;   \cmark  \\</v>
      </c>
    </row>
    <row r="21" spans="1:6" x14ac:dyDescent="0.45">
      <c r="A21">
        <v>12.1</v>
      </c>
      <c r="B21" t="s">
        <v>18</v>
      </c>
      <c r="D21" t="s">
        <v>127</v>
      </c>
      <c r="E21" s="6" t="s">
        <v>127</v>
      </c>
      <c r="F21" s="9" t="str">
        <f t="shared" si="0"/>
        <v>12.1  &amp;   Insurance  &amp;     &amp;   \tmark  &amp;   \tmark  \\</v>
      </c>
    </row>
    <row r="22" spans="1:6" x14ac:dyDescent="0.45">
      <c r="A22" s="3">
        <v>12.2</v>
      </c>
      <c r="B22" s="3" t="s">
        <v>96</v>
      </c>
      <c r="C22" s="3" t="s">
        <v>136</v>
      </c>
      <c r="D22" t="s">
        <v>127</v>
      </c>
      <c r="E22" s="5" t="s">
        <v>126</v>
      </c>
      <c r="F22" s="9" t="str">
        <f t="shared" si="0"/>
        <v>12.2  &amp;   Financial Services  &amp;   It usually isn’t possible to identify which proportion of transfers to these brands will be taken as fees, and therefore would be considered as spending.  &amp;   \tmark  &amp;   \cmark  \\</v>
      </c>
    </row>
    <row r="23" spans="1:6" x14ac:dyDescent="0.45">
      <c r="A23">
        <v>12.21</v>
      </c>
      <c r="B23" t="s">
        <v>19</v>
      </c>
      <c r="C23" t="s">
        <v>137</v>
      </c>
      <c r="D23" t="s">
        <v>126</v>
      </c>
      <c r="E23" s="6" t="s">
        <v>127</v>
      </c>
      <c r="F23" s="9" t="str">
        <f t="shared" si="0"/>
        <v>12.21  &amp;   Credit cards  &amp;   Fees and interest. Does not include payments made with credit cards.  &amp;   \cmark  &amp;   \tmark  \\</v>
      </c>
    </row>
    <row r="24" spans="1:6" x14ac:dyDescent="0.45">
      <c r="A24">
        <v>12.22</v>
      </c>
      <c r="B24" t="s">
        <v>20</v>
      </c>
      <c r="C24" t="s">
        <v>138</v>
      </c>
      <c r="D24" t="s">
        <v>126</v>
      </c>
      <c r="E24" s="6" t="s">
        <v>127</v>
      </c>
      <c r="F24" s="9" t="str">
        <f t="shared" si="0"/>
        <v>12.22  &amp;   Savings  &amp;   Regular or ad-hoc transfers for the purpose of saving  &amp;   \cmark  &amp;   \tmark  \\</v>
      </c>
    </row>
    <row r="25" spans="1:6" x14ac:dyDescent="0.45">
      <c r="A25">
        <v>12.23</v>
      </c>
      <c r="B25" t="s">
        <v>21</v>
      </c>
      <c r="D25" t="s">
        <v>126</v>
      </c>
      <c r="E25" s="6" t="s">
        <v>127</v>
      </c>
      <c r="F25" s="9" t="str">
        <f t="shared" si="0"/>
        <v>12.23  &amp;   Investments  &amp;     &amp;   \cmark  &amp;   \tmark  \\</v>
      </c>
    </row>
    <row r="26" spans="1:6" x14ac:dyDescent="0.45">
      <c r="A26">
        <v>12.24</v>
      </c>
      <c r="B26" t="s">
        <v>22</v>
      </c>
      <c r="D26" t="s">
        <v>126</v>
      </c>
      <c r="E26" s="6" t="s">
        <v>127</v>
      </c>
      <c r="F26" s="9" t="str">
        <f t="shared" si="0"/>
        <v>12.24  &amp;   Pensions  &amp;     &amp;   \cmark  &amp;   \tmark  \\</v>
      </c>
    </row>
    <row r="27" spans="1:6" x14ac:dyDescent="0.45">
      <c r="A27">
        <v>12.25</v>
      </c>
      <c r="B27" t="s">
        <v>82</v>
      </c>
      <c r="D27" t="s">
        <v>126</v>
      </c>
      <c r="E27" s="6" t="s">
        <v>127</v>
      </c>
      <c r="F27" s="9" t="str">
        <f t="shared" si="0"/>
        <v>12.25  &amp;   Loan repayments  &amp;     &amp;   \cmark  &amp;   \tmark  \\</v>
      </c>
    </row>
    <row r="28" spans="1:6" x14ac:dyDescent="0.45">
      <c r="A28" s="3">
        <v>13</v>
      </c>
      <c r="B28" s="3" t="s">
        <v>103</v>
      </c>
      <c r="C28" s="3" t="s">
        <v>139</v>
      </c>
      <c r="D28" s="3" t="s">
        <v>127</v>
      </c>
      <c r="E28" s="5" t="s">
        <v>127</v>
      </c>
      <c r="F28" s="9" t="str">
        <f t="shared" si="0"/>
        <v>13  &amp;   Miscellaneous goods, services, retailers, taxes and donations  &amp;   Outgoings that do not fit in other categories. Folded into 13.1.  &amp;   \tmark  &amp;   \tmark  \\</v>
      </c>
    </row>
    <row r="29" spans="1:6" x14ac:dyDescent="0.45">
      <c r="A29">
        <v>13.1</v>
      </c>
      <c r="B29" t="s">
        <v>68</v>
      </c>
      <c r="C29" t="s">
        <v>144</v>
      </c>
      <c r="D29" t="s">
        <v>126</v>
      </c>
      <c r="E29" s="6" t="s">
        <v>127</v>
      </c>
      <c r="F29" s="9" t="str">
        <f t="shared" si="0"/>
        <v>13.1  &amp;   General retailers  &amp;   Brands that sell a wide variety of products and cannot reasonably be classified into a dominant product type. For example Amazon.  &amp;   \cmark  &amp;   \tmark  \\</v>
      </c>
    </row>
    <row r="30" spans="1:6" x14ac:dyDescent="0.45">
      <c r="A30">
        <v>13.2</v>
      </c>
      <c r="B30" t="s">
        <v>63</v>
      </c>
      <c r="D30" t="s">
        <v>126</v>
      </c>
      <c r="E30" s="6" t="s">
        <v>127</v>
      </c>
      <c r="F30" s="9" t="str">
        <f t="shared" si="0"/>
        <v>13.2  &amp;   Taxes  &amp;     &amp;   \cmark  &amp;   \tmark  \\</v>
      </c>
    </row>
    <row r="31" spans="1:6" x14ac:dyDescent="0.45">
      <c r="A31">
        <v>13.3</v>
      </c>
      <c r="B31" t="s">
        <v>69</v>
      </c>
      <c r="C31" t="s">
        <v>140</v>
      </c>
      <c r="D31" t="s">
        <v>126</v>
      </c>
      <c r="E31" s="6" t="s">
        <v>127</v>
      </c>
      <c r="F31" s="9" t="str">
        <f t="shared" si="0"/>
        <v>13.3  &amp;   Donations  &amp;   13.6 in COICOP  &amp;   \cmark  &amp;   \tmark  \\</v>
      </c>
    </row>
    <row r="32" spans="1:6" x14ac:dyDescent="0.45">
      <c r="A32">
        <v>14</v>
      </c>
      <c r="B32" t="s">
        <v>23</v>
      </c>
      <c r="C32" t="s">
        <v>141</v>
      </c>
      <c r="D32" t="s">
        <v>126</v>
      </c>
      <c r="E32" s="6" t="s">
        <v>127</v>
      </c>
      <c r="F32" s="9" t="str">
        <f t="shared" si="0"/>
        <v>14  &amp;   Gambling  &amp;   09.4.7 in COICOP  &amp;   \cmark  &amp;   \tmark  \\</v>
      </c>
    </row>
    <row r="33" spans="1:6" x14ac:dyDescent="0.45">
      <c r="A33">
        <v>15</v>
      </c>
      <c r="B33" t="s">
        <v>24</v>
      </c>
      <c r="C33" t="s">
        <v>142</v>
      </c>
      <c r="D33" t="s">
        <v>126</v>
      </c>
      <c r="E33" s="6" t="s">
        <v>127</v>
      </c>
      <c r="F33" s="9" t="str">
        <f t="shared" si="0"/>
        <v>15  &amp;   Lotteries  &amp;   Extracted from 14 (which itself is extracted from 9)  &amp;   \cmark  &amp;   \tmark  \\</v>
      </c>
    </row>
    <row r="34" spans="1:6" x14ac:dyDescent="0.45">
      <c r="A34">
        <v>16</v>
      </c>
      <c r="B34" t="s">
        <v>25</v>
      </c>
      <c r="C34" t="s">
        <v>143</v>
      </c>
      <c r="D34" t="s">
        <v>126</v>
      </c>
      <c r="E34" s="6" t="s">
        <v>127</v>
      </c>
      <c r="F34" s="9" t="str">
        <f t="shared" si="0"/>
        <v>16  &amp;   Coffee shops  &amp;   Extracted from 1   &amp;   \cmark  &amp;   \tmark  \\</v>
      </c>
    </row>
  </sheetData>
  <autoFilter ref="A1:F34" xr:uid="{102632CB-529E-4310-A2EE-0E2EC4FEE184}"/>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lookup</vt:lpstr>
      <vt:lpstr>latex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Steven Murphy</cp:lastModifiedBy>
  <cp:lastPrinted>2025-08-19T11:48:53Z</cp:lastPrinted>
  <dcterms:created xsi:type="dcterms:W3CDTF">2024-11-14T12:09:33Z</dcterms:created>
  <dcterms:modified xsi:type="dcterms:W3CDTF">2026-01-16T10:45:26Z</dcterms:modified>
</cp:coreProperties>
</file>